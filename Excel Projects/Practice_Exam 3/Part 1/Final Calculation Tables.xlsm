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ele\Desktop\K327 Exam 3\Part 1\"/>
    </mc:Choice>
  </mc:AlternateContent>
  <xr:revisionPtr revIDLastSave="0" documentId="13_ncr:1_{25A33599-A127-41C3-B660-1E56135A2E70}" xr6:coauthVersionLast="31" xr6:coauthVersionMax="31" xr10:uidLastSave="{00000000-0000-0000-0000-000000000000}"/>
  <bookViews>
    <workbookView xWindow="0" yWindow="0" windowWidth="23040" windowHeight="8232" firstSheet="1" activeTab="1" xr2:uid="{00000000-000D-0000-FFFF-FFFF00000000}"/>
  </bookViews>
  <sheets>
    <sheet name="Main Menu" sheetId="3" r:id="rId1"/>
    <sheet name="Nozzle Selection" sheetId="4" r:id="rId2"/>
    <sheet name="Low Limit Calaculator" sheetId="8" r:id="rId3"/>
    <sheet name="Production Pump" sheetId="9" r:id="rId4"/>
    <sheet name="Density Conversion Factor" sheetId="10" r:id="rId5"/>
    <sheet name="Additional Units of Measure" sheetId="11" r:id="rId6"/>
    <sheet name="Controls" sheetId="6" r:id="rId7"/>
    <sheet name="Tables" sheetId="1" r:id="rId8"/>
    <sheet name="Nozzle Desc" sheetId="7" r:id="rId9"/>
    <sheet name="Kelley Honor Code" sheetId="2" r:id="rId10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4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pp_Type">IF(Controls!$D$10=Tables!$B$15,Tables!$E$16:$E$19,Tables!$E$24:$E$25)</definedName>
    <definedName name="Boom_Size">Tables!$C$3:$C$10</definedName>
    <definedName name="Contact_1">Tables!$J$30:$J$40</definedName>
    <definedName name="Contact_2">Tables!$K$30:$K$40</definedName>
    <definedName name="Contact_3">Tables!$L$30:$L$40</definedName>
    <definedName name="Contact_4">Tables!$M$30:$M$40</definedName>
    <definedName name="Contact_App">Tables!$E$20:$E$23</definedName>
    <definedName name="Conversion">INDIRECT("Unit"&amp;Controls!$C$34)</definedName>
    <definedName name="Conversion_Factor">Tables!$I$10:$I$18</definedName>
    <definedName name="Gallons">Tables!$D$3:$D$12</definedName>
    <definedName name="Liquid_1">Tables!$N$30:$N$40</definedName>
    <definedName name="Liquid_2">Tables!$O$30:$O$40</definedName>
    <definedName name="Liquid_Apps">Tables!$E$24:$E$25</definedName>
    <definedName name="Nozzle_Desc">'Nozzle Desc'!$B$4:$B$91</definedName>
    <definedName name="Nozzle_Options">IF(Controls!$D$10=Tables!$B$16,INDIRECT("Liquid_"&amp;Controls!$C$11),INDIRECT('Nozzle Selection'!$K$12&amp;"_"&amp;Controls!$C$11))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7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pacing">Tables!$B$3:$B$5</definedName>
    <definedName name="Specific_Gravity">Tables!$H$10:$H$18</definedName>
    <definedName name="Sys_Cont_List">IF(Controls!$D$10=Tables!$B$16,"",Systemic_or_Contact)</definedName>
    <definedName name="Systemic_1">Tables!$F$30:$F$40</definedName>
    <definedName name="Systemic_2">Tables!$G$30:$G$40</definedName>
    <definedName name="Systemic_3">Tables!$H$30:$H$40</definedName>
    <definedName name="Systemic_4">Tables!$I$30:$I$40</definedName>
    <definedName name="Systemic_Apps">Tables!$E$16:$E$19</definedName>
    <definedName name="Systemic_or_Contact">Tables!$B$19:$B$20</definedName>
    <definedName name="Type_of_Product">Tables!$B$15:$B$16</definedName>
    <definedName name="Unit">Tables!$P$5:$P$11</definedName>
    <definedName name="Unit1">Tables!$I$4:$I$8</definedName>
    <definedName name="Unit2">Tables!$J$4:$J$8</definedName>
    <definedName name="Unit3">Tables!$K$4:$K$8</definedName>
    <definedName name="Unit4">Tables!$L$4:$L$8</definedName>
    <definedName name="Unit5">Tables!$M$4:$M$8</definedName>
    <definedName name="Unit6">Tables!$N$4:$N$8</definedName>
    <definedName name="Unit7">Tables!$O$4:$O$8</definedName>
    <definedName name="Weight_of_Solution">Tables!$G$10:$G$18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K3" i="1"/>
  <c r="L3" i="1"/>
  <c r="M3" i="1"/>
  <c r="N3" i="1"/>
  <c r="O3" i="1"/>
  <c r="I3" i="1"/>
  <c r="C31" i="6"/>
  <c r="F9" i="10" s="1"/>
  <c r="C30" i="6"/>
  <c r="F6" i="10" s="1"/>
  <c r="D29" i="6"/>
  <c r="B5" i="10" s="1"/>
  <c r="D25" i="6"/>
  <c r="G14" i="9" s="1"/>
  <c r="D23" i="6"/>
  <c r="D15" i="9" s="1"/>
  <c r="H26" i="9" s="1"/>
  <c r="D24" i="6"/>
  <c r="G9" i="9" s="1"/>
  <c r="D18" i="6"/>
  <c r="D14" i="8" s="1"/>
  <c r="D12" i="9"/>
  <c r="D9" i="9"/>
  <c r="D17" i="6"/>
  <c r="F8" i="8" s="1"/>
  <c r="C8" i="8"/>
  <c r="G29" i="1"/>
  <c r="H29" i="1"/>
  <c r="I29" i="1"/>
  <c r="J29" i="1"/>
  <c r="K29" i="1"/>
  <c r="L29" i="1"/>
  <c r="M29" i="1"/>
  <c r="N29" i="1"/>
  <c r="O29" i="1"/>
  <c r="F29" i="1"/>
  <c r="D10" i="6"/>
  <c r="D11" i="6" s="1"/>
  <c r="D6" i="6"/>
  <c r="E6" i="4" s="1"/>
  <c r="C10" i="4"/>
  <c r="C7" i="4"/>
  <c r="D18" i="8" l="1"/>
  <c r="D23" i="9"/>
  <c r="D26" i="6"/>
  <c r="D26" i="9" s="1"/>
  <c r="C13" i="4"/>
  <c r="D12" i="6"/>
  <c r="O16" i="4" l="1"/>
  <c r="F29" i="9"/>
  <c r="H23" i="9"/>
</calcChain>
</file>

<file path=xl/sharedStrings.xml><?xml version="1.0" encoding="utf-8"?>
<sst xmlns="http://schemas.openxmlformats.org/spreadsheetml/2006/main" count="300" uniqueCount="166">
  <si>
    <t>Spacing</t>
  </si>
  <si>
    <t>Boom Size</t>
  </si>
  <si>
    <t>Gallons</t>
  </si>
  <si>
    <t>MHP</t>
  </si>
  <si>
    <t>MIN= 1</t>
  </si>
  <si>
    <t>Max = 40</t>
  </si>
  <si>
    <t>GPA</t>
  </si>
  <si>
    <t>MIN = 1</t>
  </si>
  <si>
    <t>MAX = 100</t>
  </si>
  <si>
    <t>Kelley Honor Code</t>
  </si>
  <si>
    <t>I have neither given nor received aid on K327, Exam 3.</t>
  </si>
  <si>
    <t>(Name)</t>
  </si>
  <si>
    <t>Michael Zelenka</t>
  </si>
  <si>
    <t>Gallons/Acre</t>
  </si>
  <si>
    <t>Nozzle Flow Rate</t>
  </si>
  <si>
    <t>Miles/Hour</t>
  </si>
  <si>
    <t>Nozzle Spacing(inches)</t>
  </si>
  <si>
    <t>Type of Product</t>
  </si>
  <si>
    <t>Nozzle Options</t>
  </si>
  <si>
    <t>Crop Protection</t>
  </si>
  <si>
    <t>Liquid Fertilizer</t>
  </si>
  <si>
    <t>Systemic or Contact</t>
  </si>
  <si>
    <t>Systemic</t>
  </si>
  <si>
    <t>Contact</t>
  </si>
  <si>
    <t>Type of Application</t>
  </si>
  <si>
    <t>Broadcast Spraying</t>
  </si>
  <si>
    <t>Banding</t>
  </si>
  <si>
    <t>Directed Spraying</t>
  </si>
  <si>
    <t>Mechanical Air Assisted</t>
  </si>
  <si>
    <t>Crop Pro</t>
  </si>
  <si>
    <t>AI3070 TeeJet® Air Induction Dual Pattern Flat Spray Tips</t>
  </si>
  <si>
    <t>EXCELLENT penetration and seed head coverage for fungicide spraying on cereal crops and VERY GOOD drift control</t>
  </si>
  <si>
    <t>Air Induction Turbo TwinJet® Twin Flat Spray Tips</t>
  </si>
  <si>
    <t>EXCELLENT drift control with coarse to very coarse droplets</t>
  </si>
  <si>
    <t>Turbo TeeJet® Wide Angle Flat Spray Tips</t>
  </si>
  <si>
    <t>EXCELLENT at pressures below 30 psi (2 bar) / VERY GOOD at all other pressures</t>
  </si>
  <si>
    <t>Turbo TwinJet® Twin Flat Spray Tips</t>
  </si>
  <si>
    <t>EXCELLENT - Offers superior leaf coverage and canopy penetration</t>
  </si>
  <si>
    <t>Turbo TeeJet® Induction Flat Spray Tips</t>
  </si>
  <si>
    <t>EXCELLENT - Offers superior drift management while producing large, air-filled drops through a Venturi air aspirator.</t>
  </si>
  <si>
    <t>AIXR TeeJet® Air Induction XR Flat Spray Tips</t>
  </si>
  <si>
    <t>EXCELLENT - Offers good drift management while producing large, air-filled drops through a Venturi air aspirator.</t>
  </si>
  <si>
    <t>AI TeeJet® Air Induction Flat Spray Tips</t>
  </si>
  <si>
    <t>EXCELLENT - Stainless steel insert produces a tapered edge flat spray pattern for uniform coverage.</t>
  </si>
  <si>
    <t>AIC TeeJet® Air Induction Flat Spray Tips</t>
  </si>
  <si>
    <t>EXCELLENT - Stainless steel insert produces a tapered edge flat spray pattern for uniform coverage complete. AI TeeJet nozzle molded into Quick TeeJet cap provides automatic spray alignment.</t>
  </si>
  <si>
    <t>DG TwinJet® Drift Guard Twin Flat Spray Tips</t>
  </si>
  <si>
    <t>EXCELLENT - Dual 110º, tapered edge, flat fan spray patterns spraying 60º forward to back providing uniform coverage.</t>
  </si>
  <si>
    <t>Turbo TeeJet® Duo Dual Polymer Flat Fan Spray Tips</t>
  </si>
  <si>
    <t>EXCELLENT - Provides more versatility than the standard twin-type spray tip, offers superior leaf coverage and canopy penetration.</t>
  </si>
  <si>
    <t>AirMatic® AirJet® Sprayer Control</t>
  </si>
  <si>
    <t>EXCELLENT - Enables a system to maintain a consistent droplet size when ground speed and/or application rate changes.</t>
  </si>
  <si>
    <t>AI TeeJet® Air Induction Even Flat Spray Tips</t>
  </si>
  <si>
    <t>EXCELLENT- Produces large air-filled drops through the use of a Venturi air aspirator while reducing drift.</t>
  </si>
  <si>
    <t>DG TeeJet® Drift Guard Even Flat Spray Tips</t>
  </si>
  <si>
    <t>VERY GOOD - Produces large droplets to reduce drift while providing uniform distribution throughout the flat spray pattern.</t>
  </si>
  <si>
    <t>TeeJet® Even Flat Spray Tips</t>
  </si>
  <si>
    <t>GOOD - Provides uniform distribution throughout the flat spray pattern.</t>
  </si>
  <si>
    <t>AIUB TeeJet® Banding and Directed Spray Nozzles</t>
  </si>
  <si>
    <t>EXCELLENT - Produces larger droplets for less drift providing an off-center spray pattern with flat spray characteristics.</t>
  </si>
  <si>
    <t>AITX ConeJet® Air Induction Hollow Cone Spray Tip</t>
  </si>
  <si>
    <t>EXCELLENT - balance of drift control and coverage – precisely-sized, large, air-filled drops stay on target and cover the entire plant.</t>
  </si>
  <si>
    <t>ConeJet® Ceramic VisiFlo® Spray Tips</t>
  </si>
  <si>
    <t>GOOD - A finely atomized spray pattern provides thorough coverage.</t>
  </si>
  <si>
    <t>TeeJet® Disc-Core Type Cone Spray Tips</t>
  </si>
  <si>
    <t>GOOD - Produces smaller droplets for thorough coverage.</t>
  </si>
  <si>
    <t>EXCELLENT - Provides drift-reducing properties with increased canopy coverage and penetration.</t>
  </si>
  <si>
    <t>XR TeeJet® Extended Range Flat Spray Tips</t>
  </si>
  <si>
    <t>EXCELLENT at pressures above 30 psi (2 bar) / GOOD at all other pressures.</t>
  </si>
  <si>
    <t>XRC TeeJet® Extended Range Flat Spray Tips</t>
  </si>
  <si>
    <t>TwinJet® Twin Flat Spray Tips</t>
  </si>
  <si>
    <t>EXCELLENT - Smaller droplets for penetrating crop residue or dense foliage.</t>
  </si>
  <si>
    <t>EXCELLENT at most pressures / VERY GOOD at lower pressures.</t>
  </si>
  <si>
    <t>TwinJet® Even Flat Spray Tips</t>
  </si>
  <si>
    <t>EXCELLENT - The smaller droplet size makes this tip ideal for providing a thorough, penetrating coverage.</t>
  </si>
  <si>
    <t>VERY GOOD - Provides uniform distribution throughout the flat spray pattern.</t>
  </si>
  <si>
    <t>ConeJet® VisiFlo® Hollow Cone Spray Tips</t>
  </si>
  <si>
    <t>EXCELLENT - Finely atomized hollow cone spray pattern provides thorough coverage.</t>
  </si>
  <si>
    <t>VERY GOOD - The smaller droplet size makes this tip ideal for providing a thorough, penetrating coverage.</t>
  </si>
  <si>
    <t>GOOD - Fewer driftable droplets at higher pressures than most other tips</t>
  </si>
  <si>
    <t>EXCELLENT - A finely atomized spray pattern provides thorough coverage.</t>
  </si>
  <si>
    <t>EXCELLENT - Produces smaller droplets for thorough coverage.</t>
  </si>
  <si>
    <t>Liquid</t>
  </si>
  <si>
    <t>Turbo FloodJet® Wide Angle Flat Spray Tips</t>
  </si>
  <si>
    <t>EXCELLENT - Nozzle design incorporates a pre-orifice to produce larger droplets for less drift and provides excellent spray distribution for uniform coverage along the boom.</t>
  </si>
  <si>
    <t>Quick Turbo FloodJet® Wide Angle Flat Spray Tips</t>
  </si>
  <si>
    <t>EXCELLENT - Patented turbulence chamber creates a dramatic improvement in pattern uniformity.</t>
  </si>
  <si>
    <t>TurfJet® Wide Angle Flat Fan Spray Nozzles</t>
  </si>
  <si>
    <t>EXCELLENT - More precise flow and distribution pattern with a large orifice to reduce clogging.</t>
  </si>
  <si>
    <t>StreamJet® SJ7 Fertilizer Nozzles</t>
  </si>
  <si>
    <t>EXCELLENT - Creates seven identical fluid streams of equal velocity and capacity for an excellent spray distribution quality.</t>
  </si>
  <si>
    <t>EXCELLENT - Offers superior drift managment while producing large, air-filled drops through a Venturi air aspirator.</t>
  </si>
  <si>
    <t>StreamJet® SJ3 Fertilizer Nozzles</t>
  </si>
  <si>
    <t>VERY GOOD - Three solid streams of equal velocity and capacity.</t>
  </si>
  <si>
    <t>EXCELLENT - Three solid streams of equal velocity and capacity.</t>
  </si>
  <si>
    <t>StreamJet® Solid Stream Spray Nozzles</t>
  </si>
  <si>
    <t>EXCELLENT - Large orifices with no internal obstructions permit non-clogging suspension applications. Also permits for banding fluids at high rig speeds.</t>
  </si>
  <si>
    <t>VERY GOOD - Creates seven identical fluid streams of equal velocity and capacity for an excellent spray distribution quality.</t>
  </si>
  <si>
    <t>Select Systeminc or Contact</t>
  </si>
  <si>
    <t>Part</t>
  </si>
  <si>
    <t>Desc</t>
  </si>
  <si>
    <t>Nozzle Description</t>
  </si>
  <si>
    <t>Nozzle Selection Formula</t>
  </si>
  <si>
    <t>Low Limit</t>
  </si>
  <si>
    <t>Last Digit</t>
  </si>
  <si>
    <t>Last Digit in Nozzle Number</t>
  </si>
  <si>
    <t>Size of Boom</t>
  </si>
  <si>
    <t>Nozzle Spacing</t>
  </si>
  <si>
    <t>Low Limit Claculator</t>
  </si>
  <si>
    <t>Production Pump</t>
  </si>
  <si>
    <t>Tank Size(Gallons)</t>
  </si>
  <si>
    <t>Nozzle Spacing (inches)</t>
  </si>
  <si>
    <t>Boom Size (Feet)</t>
  </si>
  <si>
    <t>Results</t>
  </si>
  <si>
    <t># Nozzles</t>
  </si>
  <si>
    <t>Total US GPM (Boom)</t>
  </si>
  <si>
    <t>Total US GPM (Agitation)</t>
  </si>
  <si>
    <t>Total GPM Required</t>
  </si>
  <si>
    <t>Nozzle Spacing Flow Rate</t>
  </si>
  <si>
    <t>Weight of Solution</t>
  </si>
  <si>
    <t>Specific Gravity</t>
  </si>
  <si>
    <t>Conversion Factor</t>
  </si>
  <si>
    <t>7.0 lbs/gal.</t>
  </si>
  <si>
    <t>8.0 lbs/gal.</t>
  </si>
  <si>
    <t>9.0 lbs/gal.</t>
  </si>
  <si>
    <t>10.0 lbs/gal.</t>
  </si>
  <si>
    <t>11.0 lbs/gal.</t>
  </si>
  <si>
    <t>12.0 lbs/gal.</t>
  </si>
  <si>
    <t>14.0 lbs/gal.</t>
  </si>
  <si>
    <t>8.34 lbs/gal. (water)</t>
  </si>
  <si>
    <t>10.65 lbs/gal. (28% nitrogen)</t>
  </si>
  <si>
    <t>Density Conversion</t>
  </si>
  <si>
    <t>Weight of Solutions</t>
  </si>
  <si>
    <t>Units of Measure</t>
  </si>
  <si>
    <t>One Acre</t>
  </si>
  <si>
    <t>= 43.560 square feet</t>
  </si>
  <si>
    <t>= 43.56 1000FT2  blocks</t>
  </si>
  <si>
    <t>= 0.405 Hectare</t>
  </si>
  <si>
    <t>One Hectare</t>
  </si>
  <si>
    <t>= 2.41 Acres</t>
  </si>
  <si>
    <t>One Gallon Per Acre (GPA)</t>
  </si>
  <si>
    <t>= 2.9 Fluid Ounces per 1000FT2</t>
  </si>
  <si>
    <t>= 9.35 Liters per Hectare</t>
  </si>
  <si>
    <t>One Gallon Per 1000FT2</t>
  </si>
  <si>
    <t>= 43.56 GPA</t>
  </si>
  <si>
    <t>One Mile</t>
  </si>
  <si>
    <t>= 5,280 Feet</t>
  </si>
  <si>
    <t>= 1,610 Meters</t>
  </si>
  <si>
    <t>= 1.61 Kilometers</t>
  </si>
  <si>
    <t>One Gallon</t>
  </si>
  <si>
    <t>= 128 Fluid Ounces</t>
  </si>
  <si>
    <t>= 8 Pints</t>
  </si>
  <si>
    <t>= 4 Quarts</t>
  </si>
  <si>
    <t>= 3.79 Liters</t>
  </si>
  <si>
    <t>= 0.83 Imperial Gallon</t>
  </si>
  <si>
    <t>One Pound Per Square Inch (PSI)</t>
  </si>
  <si>
    <t>= 0.069 bar</t>
  </si>
  <si>
    <t>= 6.896 Kilopascals</t>
  </si>
  <si>
    <t>Unit</t>
  </si>
  <si>
    <t>Additional</t>
  </si>
  <si>
    <t>Conversion</t>
  </si>
  <si>
    <t>Main Menu</t>
  </si>
  <si>
    <t>Production Pump Calculator</t>
  </si>
  <si>
    <t>Conversion Factors</t>
  </si>
  <si>
    <t>Nozzle Flow Rate Calculation</t>
  </si>
  <si>
    <t>Low Limit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</si>
</sst>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1" fillId="2" borderId="2" xfId="0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 applyAlignment="1">
      <alignment vertical="center"/>
    </xf>
    <xf numFmtId="0" fontId="0" fillId="2" borderId="0" xfId="0" applyFill="1" applyBorder="1"/>
    <xf numFmtId="0" fontId="0" fillId="2" borderId="5" xfId="0" applyFill="1" applyBorder="1"/>
    <xf numFmtId="0" fontId="2" fillId="2" borderId="4" xfId="0" applyFont="1" applyFill="1" applyBorder="1" applyAlignment="1">
      <alignment vertical="center"/>
    </xf>
    <xf numFmtId="0" fontId="0" fillId="2" borderId="4" xfId="0" applyFill="1" applyBorder="1"/>
    <xf numFmtId="0" fontId="2" fillId="2" borderId="6" xfId="0" applyFont="1" applyFill="1" applyBorder="1" applyAlignment="1">
      <alignment horizontal="left" vertical="center" indent="15"/>
    </xf>
    <xf numFmtId="0" fontId="0" fillId="2" borderId="7" xfId="0" applyFill="1" applyBorder="1"/>
    <xf numFmtId="0" fontId="0" fillId="2" borderId="8" xfId="0" applyFill="1" applyBorder="1"/>
    <xf numFmtId="0" fontId="0" fillId="2" borderId="0" xfId="0" applyFill="1"/>
    <xf numFmtId="0" fontId="0" fillId="2" borderId="6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3" borderId="0" xfId="0" applyFill="1" applyBorder="1"/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Border="1"/>
    <xf numFmtId="0" fontId="3" fillId="2" borderId="14" xfId="0" applyFont="1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4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wrapText="1"/>
    </xf>
    <xf numFmtId="164" fontId="0" fillId="3" borderId="0" xfId="0" applyNumberFormat="1" applyFill="1" applyBorder="1"/>
    <xf numFmtId="0" fontId="0" fillId="0" borderId="0" xfId="0" applyAlignment="1"/>
    <xf numFmtId="0" fontId="0" fillId="3" borderId="0" xfId="0" applyFill="1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top" wrapText="1"/>
    </xf>
    <xf numFmtId="0" fontId="0" fillId="2" borderId="2" xfId="0" applyFill="1" applyBorder="1" applyAlignment="1">
      <alignment horizontal="center" vertical="top" wrapText="1"/>
    </xf>
    <xf numFmtId="0" fontId="0" fillId="2" borderId="3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center" vertical="top" wrapText="1"/>
    </xf>
    <xf numFmtId="0" fontId="0" fillId="2" borderId="0" xfId="0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top" wrapText="1"/>
    </xf>
    <xf numFmtId="0" fontId="0" fillId="2" borderId="6" xfId="0" applyFill="1" applyBorder="1" applyAlignment="1">
      <alignment horizontal="center" vertical="top" wrapText="1"/>
    </xf>
    <xf numFmtId="0" fontId="0" fillId="2" borderId="7" xfId="0" applyFill="1" applyBorder="1" applyAlignment="1">
      <alignment horizontal="center" vertical="top" wrapText="1"/>
    </xf>
    <xf numFmtId="0" fontId="0" fillId="2" borderId="8" xfId="0" applyFill="1" applyBorder="1" applyAlignment="1">
      <alignment horizontal="center" vertical="top" wrapText="1"/>
    </xf>
    <xf numFmtId="0" fontId="3" fillId="2" borderId="14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0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auto="1"/>
      </font>
      <fill>
        <patternFill>
          <bgColor rgb="FFFFFF00"/>
        </patternFill>
      </fill>
      <border>
        <left style="thin">
          <color auto="1"/>
        </left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48" fmlaLink="Controls!$C$4" max="100" min="1" page="10"/>
</file>

<file path=xl/ctrlProps/ctrlProp7.xml><?xml version="1.0" encoding="utf-8"?>
<formControlPr xmlns="http://schemas.microsoft.com/office/spreadsheetml/2009/9/main" objectType="Spin" dx="48" fmlaLink="Controls!$C$5" max="40" min="1" page="10"/>
</file>

<file path=xl/ctrlProps/ctrlProp8.xml><?xml version="1.0" encoding="utf-8"?>
<formControlPr xmlns="http://schemas.microsoft.com/office/spreadsheetml/2009/9/main" objectType="List" dx="48" fmlaLink="Controls!$C$6" fmlaRange="Tables!$B$3:$B$5" noThreeD="1" sel="0" val="0"/>
</file>

<file path=xl/ctrlProps/ctrlProp9.xml><?xml version="1.0" encoding="utf-8"?>
<formControlPr xmlns="http://schemas.microsoft.com/office/spreadsheetml/2009/9/main" objectType="List" dx="48" fmlaLink="Controls!$C$10" fmlaRange="Tables!$B$15:$B$16" noThreeD="1" sel="0" val="0"/>
</file>

<file path=xl/ctrlProps/ctrlProp10.xml><?xml version="1.0" encoding="utf-8"?>
<formControlPr xmlns="http://schemas.microsoft.com/office/spreadsheetml/2009/9/main" objectType="List" dx="48" fmlaLink="Controls!$C$11" fmlaRange="App_Type" noThreeD="1" sel="0" val="0"/>
</file>

<file path=xl/ctrlProps/ctrlProp11.xml><?xml version="1.0" encoding="utf-8"?>
<formControlPr xmlns="http://schemas.microsoft.com/office/spreadsheetml/2009/9/main" objectType="List" dx="48" fmlaLink="Controls!$C$12" fmlaRange="Nozzle_Options" noThreeD="1" sel="0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pin" dx="48" fmlaLink="Controls!$C$16" max="9" page="10" val="0"/>
</file>

<file path=xl/ctrlProps/ctrlProp16.xml><?xml version="1.0" encoding="utf-8"?>
<formControlPr xmlns="http://schemas.microsoft.com/office/spreadsheetml/2009/9/main" objectType="List" dx="48" fmlaLink="Controls!$C$17" fmlaRange="Tables!$C$3:$C$10" noThreeD="1" sel="0" val="0"/>
</file>

<file path=xl/ctrlProps/ctrlProp17.xml><?xml version="1.0" encoding="utf-8"?>
<formControlPr xmlns="http://schemas.microsoft.com/office/spreadsheetml/2009/9/main" objectType="List" dx="48" fmlaLink="Controls!$C$18" fmlaRange="Tables!$B$3:$B$5" noThreeD="1" sel="0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Spin" dx="48" fmlaLink="Controls!$C$21" max="100" min="1" page="10"/>
</file>

<file path=xl/ctrlProps/ctrlProp21.xml><?xml version="1.0" encoding="utf-8"?>
<formControlPr xmlns="http://schemas.microsoft.com/office/spreadsheetml/2009/9/main" objectType="Spin" dx="48" fmlaLink="Controls!$C$22" max="40" min="1" page="10"/>
</file>

<file path=xl/ctrlProps/ctrlProp22.xml><?xml version="1.0" encoding="utf-8"?>
<formControlPr xmlns="http://schemas.microsoft.com/office/spreadsheetml/2009/9/main" objectType="List" dx="48" fmlaLink="Controls!$C$23" fmlaRange="Tables!$D$3:$D$12" noThreeD="1" sel="0" val="2"/>
</file>

<file path=xl/ctrlProps/ctrlProp23.xml><?xml version="1.0" encoding="utf-8"?>
<formControlPr xmlns="http://schemas.microsoft.com/office/spreadsheetml/2009/9/main" objectType="List" dx="48" fmlaLink="Controls!$C$24" fmlaRange="Spacing" noThreeD="1" sel="0" val="0"/>
</file>

<file path=xl/ctrlProps/ctrlProp24.xml><?xml version="1.0" encoding="utf-8"?>
<formControlPr xmlns="http://schemas.microsoft.com/office/spreadsheetml/2009/9/main" objectType="List" dx="48" fmlaLink="Controls!$C$25" fmlaRange="Tables!$C$3:$C$10" noThreeD="1" sel="0" val="0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List" dx="48" fmlaLink="Controls!$C$29" fmlaRange="Tables!$G$10:$G$18" noThreeD="1" sel="8" val="0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List" dx="48" fmlaLink="Controls!$C$34" fmlaRange="Tables!$P$5:$P$11" noThreeD="1" sel="4" val="0"/>
</file>

<file path=xl/ctrlProps/ctrlProp30.xml><?xml version="1.0" encoding="utf-8"?>
<formControlPr xmlns="http://schemas.microsoft.com/office/spreadsheetml/2009/9/main" objectType="List" dx="48" fmlaLink="Controls!$C$35" fmlaRange="Conversion" noThreeD="1" sel="1" val="0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7</xdr:row>
          <xdr:rowOff>0</xdr:rowOff>
        </xdr:from>
        <xdr:to>
          <xdr:col>4</xdr:col>
          <xdr:colOff>361950</xdr:colOff>
          <xdr:row>10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Nozzle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11</xdr:row>
          <xdr:rowOff>125730</xdr:rowOff>
        </xdr:from>
        <xdr:to>
          <xdr:col>4</xdr:col>
          <xdr:colOff>388620</xdr:colOff>
          <xdr:row>14</xdr:row>
          <xdr:rowOff>140970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Low Limit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125730</xdr:colOff>
          <xdr:row>16</xdr:row>
          <xdr:rowOff>41910</xdr:rowOff>
        </xdr:from>
        <xdr:to>
          <xdr:col>4</xdr:col>
          <xdr:colOff>400050</xdr:colOff>
          <xdr:row>19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Production Pump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186690</xdr:colOff>
          <xdr:row>20</xdr:row>
          <xdr:rowOff>171450</xdr:rowOff>
        </xdr:from>
        <xdr:to>
          <xdr:col>4</xdr:col>
          <xdr:colOff>461010</xdr:colOff>
          <xdr:row>24</xdr:row>
          <xdr:rowOff>3810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Density Conversion Factors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25</xdr:row>
          <xdr:rowOff>148590</xdr:rowOff>
        </xdr:from>
        <xdr:to>
          <xdr:col>4</xdr:col>
          <xdr:colOff>449580</xdr:colOff>
          <xdr:row>28</xdr:row>
          <xdr:rowOff>163830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Additional Conversion Factors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</xdr:colOff>
          <xdr:row>4</xdr:row>
          <xdr:rowOff>179070</xdr:rowOff>
        </xdr:from>
        <xdr:to>
          <xdr:col>3</xdr:col>
          <xdr:colOff>194310</xdr:colOff>
          <xdr:row>6</xdr:row>
          <xdr:rowOff>175260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3810</xdr:rowOff>
        </xdr:from>
        <xdr:to>
          <xdr:col>3</xdr:col>
          <xdr:colOff>220980</xdr:colOff>
          <xdr:row>10</xdr:row>
          <xdr:rowOff>7620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</xdr:row>
          <xdr:rowOff>15240</xdr:rowOff>
        </xdr:from>
        <xdr:to>
          <xdr:col>6</xdr:col>
          <xdr:colOff>571500</xdr:colOff>
          <xdr:row>8</xdr:row>
          <xdr:rowOff>53340</xdr:rowOff>
        </xdr:to>
        <xdr:sp macro="" textlink="">
          <xdr:nvSpPr>
            <xdr:cNvPr id="2052" name="List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</xdr:rowOff>
        </xdr:from>
        <xdr:to>
          <xdr:col>11</xdr:col>
          <xdr:colOff>240030</xdr:colOff>
          <xdr:row>9</xdr:row>
          <xdr:rowOff>34290</xdr:rowOff>
        </xdr:to>
        <xdr:sp macro="" textlink="">
          <xdr:nvSpPr>
            <xdr:cNvPr id="2056" name="List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</xdr:colOff>
          <xdr:row>15</xdr:row>
          <xdr:rowOff>26670</xdr:rowOff>
        </xdr:from>
        <xdr:to>
          <xdr:col>11</xdr:col>
          <xdr:colOff>3810</xdr:colOff>
          <xdr:row>18</xdr:row>
          <xdr:rowOff>57150</xdr:rowOff>
        </xdr:to>
        <xdr:sp macro="" textlink="">
          <xdr:nvSpPr>
            <xdr:cNvPr id="2058" name="List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544830</xdr:colOff>
          <xdr:row>6</xdr:row>
          <xdr:rowOff>26670</xdr:rowOff>
        </xdr:from>
        <xdr:to>
          <xdr:col>20</xdr:col>
          <xdr:colOff>419100</xdr:colOff>
          <xdr:row>13</xdr:row>
          <xdr:rowOff>133350</xdr:rowOff>
        </xdr:to>
        <xdr:sp macro="" textlink="">
          <xdr:nvSpPr>
            <xdr:cNvPr id="2060" name="List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369570</xdr:colOff>
          <xdr:row>19</xdr:row>
          <xdr:rowOff>179070</xdr:rowOff>
        </xdr:from>
        <xdr:to>
          <xdr:col>11</xdr:col>
          <xdr:colOff>327660</xdr:colOff>
          <xdr:row>22</xdr:row>
          <xdr:rowOff>38100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15</xdr:row>
          <xdr:rowOff>148590</xdr:rowOff>
        </xdr:from>
        <xdr:to>
          <xdr:col>2</xdr:col>
          <xdr:colOff>727710</xdr:colOff>
          <xdr:row>17</xdr:row>
          <xdr:rowOff>152400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468630</xdr:colOff>
          <xdr:row>21</xdr:row>
          <xdr:rowOff>118110</xdr:rowOff>
        </xdr:from>
        <xdr:to>
          <xdr:col>7</xdr:col>
          <xdr:colOff>377190</xdr:colOff>
          <xdr:row>25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</xdr:colOff>
          <xdr:row>6</xdr:row>
          <xdr:rowOff>3810</xdr:rowOff>
        </xdr:from>
        <xdr:to>
          <xdr:col>3</xdr:col>
          <xdr:colOff>411480</xdr:colOff>
          <xdr:row>7</xdr:row>
          <xdr:rowOff>15240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6</xdr:row>
          <xdr:rowOff>80010</xdr:rowOff>
        </xdr:from>
        <xdr:to>
          <xdr:col>7</xdr:col>
          <xdr:colOff>453390</xdr:colOff>
          <xdr:row>8</xdr:row>
          <xdr:rowOff>68580</xdr:rowOff>
        </xdr:to>
        <xdr:sp macro="" textlink="">
          <xdr:nvSpPr>
            <xdr:cNvPr id="7170" name="List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12</xdr:row>
          <xdr:rowOff>53340</xdr:rowOff>
        </xdr:from>
        <xdr:to>
          <xdr:col>5</xdr:col>
          <xdr:colOff>262890</xdr:colOff>
          <xdr:row>14</xdr:row>
          <xdr:rowOff>41910</xdr:rowOff>
        </xdr:to>
        <xdr:sp macro="" textlink="">
          <xdr:nvSpPr>
            <xdr:cNvPr id="7171" name="List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16</xdr:row>
          <xdr:rowOff>121920</xdr:rowOff>
        </xdr:from>
        <xdr:to>
          <xdr:col>7</xdr:col>
          <xdr:colOff>483870</xdr:colOff>
          <xdr:row>19</xdr:row>
          <xdr:rowOff>95250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331470</xdr:colOff>
          <xdr:row>20</xdr:row>
          <xdr:rowOff>175260</xdr:rowOff>
        </xdr:from>
        <xdr:to>
          <xdr:col>8</xdr:col>
          <xdr:colOff>240030</xdr:colOff>
          <xdr:row>24</xdr:row>
          <xdr:rowOff>60960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7</xdr:row>
          <xdr:rowOff>80010</xdr:rowOff>
        </xdr:from>
        <xdr:to>
          <xdr:col>4</xdr:col>
          <xdr:colOff>358140</xdr:colOff>
          <xdr:row>9</xdr:row>
          <xdr:rowOff>83820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10</xdr:row>
          <xdr:rowOff>64770</xdr:rowOff>
        </xdr:from>
        <xdr:to>
          <xdr:col>4</xdr:col>
          <xdr:colOff>373380</xdr:colOff>
          <xdr:row>12</xdr:row>
          <xdr:rowOff>133350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</xdr:colOff>
          <xdr:row>13</xdr:row>
          <xdr:rowOff>171450</xdr:rowOff>
        </xdr:from>
        <xdr:to>
          <xdr:col>5</xdr:col>
          <xdr:colOff>87630</xdr:colOff>
          <xdr:row>19</xdr:row>
          <xdr:rowOff>99060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358140</xdr:colOff>
          <xdr:row>8</xdr:row>
          <xdr:rowOff>68580</xdr:rowOff>
        </xdr:from>
        <xdr:to>
          <xdr:col>9</xdr:col>
          <xdr:colOff>99060</xdr:colOff>
          <xdr:row>11</xdr:row>
          <xdr:rowOff>19050</xdr:rowOff>
        </xdr:to>
        <xdr:sp macro="" textlink="">
          <xdr:nvSpPr>
            <xdr:cNvPr id="8198" name="List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</xdr:colOff>
          <xdr:row>13</xdr:row>
          <xdr:rowOff>60960</xdr:rowOff>
        </xdr:from>
        <xdr:to>
          <xdr:col>8</xdr:col>
          <xdr:colOff>533400</xdr:colOff>
          <xdr:row>18</xdr:row>
          <xdr:rowOff>106680</xdr:rowOff>
        </xdr:to>
        <xdr:sp macro="" textlink="">
          <xdr:nvSpPr>
            <xdr:cNvPr id="8199" name="List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27</xdr:row>
          <xdr:rowOff>57150</xdr:rowOff>
        </xdr:from>
        <xdr:to>
          <xdr:col>4</xdr:col>
          <xdr:colOff>49530</xdr:colOff>
          <xdr:row>30</xdr:row>
          <xdr:rowOff>30480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27</xdr:row>
          <xdr:rowOff>140970</xdr:rowOff>
        </xdr:from>
        <xdr:to>
          <xdr:col>9</xdr:col>
          <xdr:colOff>461010</xdr:colOff>
          <xdr:row>30</xdr:row>
          <xdr:rowOff>72390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49530</xdr:rowOff>
        </xdr:from>
        <xdr:to>
          <xdr:col>3</xdr:col>
          <xdr:colOff>605790</xdr:colOff>
          <xdr:row>12</xdr:row>
          <xdr:rowOff>110490</xdr:rowOff>
        </xdr:to>
        <xdr:sp macro="" textlink="">
          <xdr:nvSpPr>
            <xdr:cNvPr id="9219" name="List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</xdr:colOff>
          <xdr:row>12</xdr:row>
          <xdr:rowOff>140970</xdr:rowOff>
        </xdr:from>
        <xdr:to>
          <xdr:col>7</xdr:col>
          <xdr:colOff>461010</xdr:colOff>
          <xdr:row>15</xdr:row>
          <xdr:rowOff>72390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121920</xdr:rowOff>
        </xdr:from>
        <xdr:to>
          <xdr:col>4</xdr:col>
          <xdr:colOff>571500</xdr:colOff>
          <xdr:row>10</xdr:row>
          <xdr:rowOff>167640</xdr:rowOff>
        </xdr:to>
        <xdr:sp macro="" textlink="">
          <xdr:nvSpPr>
            <xdr:cNvPr id="10241" name="List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14</xdr:row>
          <xdr:rowOff>3810</xdr:rowOff>
        </xdr:from>
        <xdr:to>
          <xdr:col>3</xdr:col>
          <xdr:colOff>628650</xdr:colOff>
          <xdr:row>20</xdr:row>
          <xdr:rowOff>76200</xdr:rowOff>
        </xdr:to>
        <xdr:sp macro="" textlink="">
          <xdr:nvSpPr>
            <xdr:cNvPr id="10244" name="List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15</xdr:row>
          <xdr:rowOff>140970</xdr:rowOff>
        </xdr:from>
        <xdr:to>
          <xdr:col>8</xdr:col>
          <xdr:colOff>461010</xdr:colOff>
          <xdr:row>18</xdr:row>
          <xdr:rowOff>72390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7</xdr:row>
      <xdr:rowOff>733425</xdr:rowOff>
    </xdr:from>
    <xdr:to>
      <xdr:col>11</xdr:col>
      <xdr:colOff>9525</xdr:colOff>
      <xdr:row>7</xdr:row>
      <xdr:rowOff>742950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>
          <a:off x="1228725" y="2543175"/>
          <a:ext cx="5486400" cy="9525"/>
        </a:xfrm>
        <a:prstGeom prst="line">
          <a:avLst/>
        </a:prstGeom>
        <a:ln w="4762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ctrlProp" Target="../ctrlProps/ctrlProp20.xml"/><Relationship Id="rId7" Type="http://schemas.openxmlformats.org/officeDocument/2006/relationships/ctrlProp" Target="../ctrlProps/ctrlProp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://www.teejet.de/english/home/selection-guides/spray-nozzles/liquid-fertilizer.aspx" TargetMode="External"/><Relationship Id="rId1" Type="http://schemas.openxmlformats.org/officeDocument/2006/relationships/hyperlink" Target="http://www.teejet.de/english/home/selection-guides/spray-nozzles/crop-protection.aspx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A9B72-61D5-4952-BB7E-DD7434DF1C1A}">
  <sheetPr codeName="Sheet1"/>
  <dimension ref="C4:E30"/>
  <sheetViews>
    <sheetView workbookViewId="0"/>
  </sheetViews>
  <sheetFormatPr defaultRowHeight="14.4" x14ac:dyDescent="0.55000000000000004"/>
  <sheetData>
    <row r="4" spans="3:5" ht="14.7" thickBot="1" x14ac:dyDescent="0.6"/>
    <row r="5" spans="3:5" x14ac:dyDescent="0.55000000000000004">
      <c r="C5" s="41" t="s">
        <v>161</v>
      </c>
      <c r="D5" s="42"/>
      <c r="E5" s="43"/>
    </row>
    <row r="6" spans="3:5" ht="14.7" thickBot="1" x14ac:dyDescent="0.6">
      <c r="C6" s="44"/>
      <c r="D6" s="45"/>
      <c r="E6" s="46"/>
    </row>
    <row r="7" spans="3:5" x14ac:dyDescent="0.55000000000000004">
      <c r="C7" s="2"/>
      <c r="D7" s="3"/>
      <c r="E7" s="5"/>
    </row>
    <row r="8" spans="3:5" x14ac:dyDescent="0.55000000000000004">
      <c r="C8" s="10"/>
      <c r="D8" s="7"/>
      <c r="E8" s="8"/>
    </row>
    <row r="9" spans="3:5" x14ac:dyDescent="0.55000000000000004">
      <c r="C9" s="10"/>
      <c r="D9" s="7"/>
      <c r="E9" s="8"/>
    </row>
    <row r="10" spans="3:5" x14ac:dyDescent="0.55000000000000004">
      <c r="C10" s="10"/>
      <c r="D10" s="7"/>
      <c r="E10" s="8"/>
    </row>
    <row r="11" spans="3:5" x14ac:dyDescent="0.55000000000000004">
      <c r="C11" s="10"/>
      <c r="D11" s="7"/>
      <c r="E11" s="8"/>
    </row>
    <row r="12" spans="3:5" x14ac:dyDescent="0.55000000000000004">
      <c r="C12" s="10"/>
      <c r="D12" s="7"/>
      <c r="E12" s="8"/>
    </row>
    <row r="13" spans="3:5" x14ac:dyDescent="0.55000000000000004">
      <c r="C13" s="10"/>
      <c r="D13" s="7"/>
      <c r="E13" s="8"/>
    </row>
    <row r="14" spans="3:5" x14ac:dyDescent="0.55000000000000004">
      <c r="C14" s="10"/>
      <c r="D14" s="7"/>
      <c r="E14" s="8"/>
    </row>
    <row r="15" spans="3:5" x14ac:dyDescent="0.55000000000000004">
      <c r="C15" s="10"/>
      <c r="D15" s="7"/>
      <c r="E15" s="8"/>
    </row>
    <row r="16" spans="3:5" x14ac:dyDescent="0.55000000000000004">
      <c r="C16" s="10"/>
      <c r="D16" s="7"/>
      <c r="E16" s="8"/>
    </row>
    <row r="17" spans="3:5" x14ac:dyDescent="0.55000000000000004">
      <c r="C17" s="10"/>
      <c r="D17" s="7"/>
      <c r="E17" s="8"/>
    </row>
    <row r="18" spans="3:5" x14ac:dyDescent="0.55000000000000004">
      <c r="C18" s="10"/>
      <c r="D18" s="7"/>
      <c r="E18" s="8"/>
    </row>
    <row r="19" spans="3:5" x14ac:dyDescent="0.55000000000000004">
      <c r="C19" s="10"/>
      <c r="D19" s="7"/>
      <c r="E19" s="8"/>
    </row>
    <row r="20" spans="3:5" x14ac:dyDescent="0.55000000000000004">
      <c r="C20" s="10"/>
      <c r="D20" s="7"/>
      <c r="E20" s="8"/>
    </row>
    <row r="21" spans="3:5" x14ac:dyDescent="0.55000000000000004">
      <c r="C21" s="10"/>
      <c r="D21" s="7"/>
      <c r="E21" s="8"/>
    </row>
    <row r="22" spans="3:5" x14ac:dyDescent="0.55000000000000004">
      <c r="C22" s="10"/>
      <c r="D22" s="7"/>
      <c r="E22" s="8"/>
    </row>
    <row r="23" spans="3:5" x14ac:dyDescent="0.55000000000000004">
      <c r="C23" s="10"/>
      <c r="D23" s="7"/>
      <c r="E23" s="8"/>
    </row>
    <row r="24" spans="3:5" x14ac:dyDescent="0.55000000000000004">
      <c r="C24" s="10"/>
      <c r="D24" s="7"/>
      <c r="E24" s="8"/>
    </row>
    <row r="25" spans="3:5" x14ac:dyDescent="0.55000000000000004">
      <c r="C25" s="10"/>
      <c r="D25" s="7"/>
      <c r="E25" s="8"/>
    </row>
    <row r="26" spans="3:5" x14ac:dyDescent="0.55000000000000004">
      <c r="C26" s="10"/>
      <c r="D26" s="7"/>
      <c r="E26" s="8"/>
    </row>
    <row r="27" spans="3:5" x14ac:dyDescent="0.55000000000000004">
      <c r="C27" s="10"/>
      <c r="D27" s="7"/>
      <c r="E27" s="8"/>
    </row>
    <row r="28" spans="3:5" x14ac:dyDescent="0.55000000000000004">
      <c r="C28" s="10"/>
      <c r="D28" s="7"/>
      <c r="E28" s="8"/>
    </row>
    <row r="29" spans="3:5" x14ac:dyDescent="0.55000000000000004">
      <c r="C29" s="10"/>
      <c r="D29" s="7"/>
      <c r="E29" s="8"/>
    </row>
    <row r="30" spans="3:5" ht="14.7" thickBot="1" x14ac:dyDescent="0.6">
      <c r="C30" s="15"/>
      <c r="D30" s="12"/>
      <c r="E30" s="13"/>
    </row>
  </sheetData>
  <mergeCells count="1">
    <mergeCell ref="C5:E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FRMM">
                <anchor moveWithCells="1" sizeWithCells="1">
                  <from>
                    <xdr:col>2</xdr:col>
                    <xdr:colOff>68580</xdr:colOff>
                    <xdr:row>7</xdr:row>
                    <xdr:rowOff>0</xdr:rowOff>
                  </from>
                  <to>
                    <xdr:col>4</xdr:col>
                    <xdr:colOff>361950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LCMM">
                <anchor moveWithCells="1" sizeWithCells="1">
                  <from>
                    <xdr:col>2</xdr:col>
                    <xdr:colOff>114300</xdr:colOff>
                    <xdr:row>11</xdr:row>
                    <xdr:rowOff>125730</xdr:rowOff>
                  </from>
                  <to>
                    <xdr:col>4</xdr:col>
                    <xdr:colOff>388620</xdr:colOff>
                    <xdr:row>14</xdr:row>
                    <xdr:rowOff>140970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PMM">
                <anchor moveWithCells="1" sizeWithCells="1">
                  <from>
                    <xdr:col>2</xdr:col>
                    <xdr:colOff>125730</xdr:colOff>
                    <xdr:row>16</xdr:row>
                    <xdr:rowOff>41910</xdr:rowOff>
                  </from>
                  <to>
                    <xdr:col>4</xdr:col>
                    <xdr:colOff>400050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DCF">
                <anchor moveWithCells="1" sizeWithCells="1">
                  <from>
                    <xdr:col>2</xdr:col>
                    <xdr:colOff>186690</xdr:colOff>
                    <xdr:row>20</xdr:row>
                    <xdr:rowOff>171450</xdr:rowOff>
                  </from>
                  <to>
                    <xdr:col>4</xdr:col>
                    <xdr:colOff>461010</xdr:colOff>
                    <xdr:row>24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AUM">
                <anchor moveWithCells="1" sizeWithCells="1">
                  <from>
                    <xdr:col>2</xdr:col>
                    <xdr:colOff>175260</xdr:colOff>
                    <xdr:row>25</xdr:row>
                    <xdr:rowOff>148590</xdr:rowOff>
                  </from>
                  <to>
                    <xdr:col>4</xdr:col>
                    <xdr:colOff>449580</xdr:colOff>
                    <xdr:row>28</xdr:row>
                    <xdr:rowOff>163830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814FB-8C1F-49FC-9FEB-97637D52C3E2}">
  <sheetPr codeName="Sheet3"/>
  <dimension ref="B2:V23"/>
  <sheetViews>
    <sheetView tabSelected="1" workbookViewId="0">
      <selection activeCell="K12" sqref="K12:L12"/>
    </sheetView>
  </sheetViews>
  <sheetFormatPr defaultRowHeight="14.4" x14ac:dyDescent="0.55000000000000004"/>
  <cols>
    <col min="3" max="3" width="10.7890625" bestFit="1" customWidth="1"/>
    <col min="11" max="11" width="15.83984375" bestFit="1" customWidth="1"/>
  </cols>
  <sheetData>
    <row r="2" spans="2:22" ht="14.7" thickBot="1" x14ac:dyDescent="0.6"/>
    <row r="3" spans="2:22" x14ac:dyDescent="0.55000000000000004">
      <c r="B3" s="2"/>
      <c r="C3" s="3"/>
      <c r="D3" s="3" t="s">
        <v>164</v>
      </c>
      <c r="E3" s="3"/>
      <c r="F3" s="3"/>
      <c r="G3" s="3"/>
      <c r="H3" s="5"/>
      <c r="K3" s="28"/>
      <c r="L3" s="29"/>
      <c r="M3" s="29"/>
      <c r="N3" s="29"/>
      <c r="O3" s="29"/>
      <c r="P3" s="29"/>
      <c r="Q3" s="29"/>
      <c r="R3" s="29"/>
      <c r="S3" s="29"/>
      <c r="T3" s="29"/>
      <c r="U3" s="29"/>
      <c r="V3" s="30"/>
    </row>
    <row r="4" spans="2:22" x14ac:dyDescent="0.55000000000000004">
      <c r="B4" s="10"/>
      <c r="C4" s="7"/>
      <c r="E4" s="7"/>
      <c r="F4" s="7"/>
      <c r="G4" s="7"/>
      <c r="H4" s="8"/>
      <c r="K4" s="31"/>
      <c r="L4" s="7"/>
      <c r="M4" s="7" t="s">
        <v>102</v>
      </c>
      <c r="N4" s="7"/>
      <c r="O4" s="7"/>
      <c r="P4" s="7"/>
      <c r="Q4" s="7"/>
      <c r="R4" s="7"/>
      <c r="S4" s="7"/>
      <c r="T4" s="7"/>
      <c r="U4" s="7"/>
      <c r="V4" s="32"/>
    </row>
    <row r="5" spans="2:22" x14ac:dyDescent="0.55000000000000004">
      <c r="B5" s="10"/>
      <c r="C5" s="7"/>
      <c r="D5" s="7"/>
      <c r="E5" s="7" t="s">
        <v>16</v>
      </c>
      <c r="F5" s="7"/>
      <c r="G5" s="7"/>
      <c r="H5" s="8"/>
      <c r="K5" s="31"/>
      <c r="L5" s="7"/>
      <c r="M5" s="7"/>
      <c r="N5" s="7"/>
      <c r="O5" s="7"/>
      <c r="P5" s="7"/>
      <c r="Q5" s="7"/>
      <c r="R5" s="7"/>
      <c r="S5" s="7"/>
      <c r="T5" s="7"/>
      <c r="U5" s="7"/>
      <c r="V5" s="32"/>
    </row>
    <row r="6" spans="2:22" x14ac:dyDescent="0.55000000000000004">
      <c r="B6" s="10"/>
      <c r="C6" s="7" t="s">
        <v>13</v>
      </c>
      <c r="D6" s="7"/>
      <c r="E6" s="7" t="e">
        <f>Controls!D6</f>
        <v>#VALUE!</v>
      </c>
      <c r="F6" s="7"/>
      <c r="G6" s="7"/>
      <c r="H6" s="8"/>
      <c r="K6" s="31" t="s">
        <v>17</v>
      </c>
      <c r="L6" s="7"/>
      <c r="M6" s="7"/>
      <c r="N6" s="7"/>
      <c r="O6" s="7" t="s">
        <v>18</v>
      </c>
      <c r="P6" s="7"/>
      <c r="Q6" s="7"/>
      <c r="R6" s="7"/>
      <c r="S6" s="7"/>
      <c r="T6" s="7"/>
      <c r="U6" s="7"/>
      <c r="V6" s="32"/>
    </row>
    <row r="7" spans="2:22" x14ac:dyDescent="0.55000000000000004">
      <c r="B7" s="10"/>
      <c r="C7" s="7">
        <f>Controls!$C$4</f>
        <v>0</v>
      </c>
      <c r="D7" s="7"/>
      <c r="E7" s="7"/>
      <c r="F7" s="7"/>
      <c r="G7" s="7"/>
      <c r="H7" s="8"/>
      <c r="K7" s="31"/>
      <c r="L7" s="7"/>
      <c r="M7" s="7"/>
      <c r="N7" s="7"/>
      <c r="O7" s="7"/>
      <c r="P7" s="7"/>
      <c r="Q7" s="7"/>
      <c r="R7" s="7"/>
      <c r="S7" s="7"/>
      <c r="T7" s="7"/>
      <c r="U7" s="7"/>
      <c r="V7" s="32"/>
    </row>
    <row r="8" spans="2:22" x14ac:dyDescent="0.55000000000000004">
      <c r="B8" s="10"/>
      <c r="C8" s="7"/>
      <c r="D8" s="7"/>
      <c r="E8" s="7"/>
      <c r="F8" s="7"/>
      <c r="G8" s="7"/>
      <c r="H8" s="8"/>
      <c r="K8" s="31"/>
      <c r="L8" s="7"/>
      <c r="M8" s="7"/>
      <c r="N8" s="25"/>
      <c r="O8" s="7"/>
      <c r="P8" s="7"/>
      <c r="Q8" s="7"/>
      <c r="R8" s="7"/>
      <c r="S8" s="7"/>
      <c r="T8" s="7"/>
      <c r="U8" s="7"/>
      <c r="V8" s="32"/>
    </row>
    <row r="9" spans="2:22" x14ac:dyDescent="0.55000000000000004">
      <c r="B9" s="10"/>
      <c r="C9" s="7" t="s">
        <v>15</v>
      </c>
      <c r="D9" s="7"/>
      <c r="E9" s="7"/>
      <c r="F9" s="7"/>
      <c r="G9" s="7"/>
      <c r="H9" s="8"/>
      <c r="K9" s="31"/>
      <c r="L9" s="7"/>
      <c r="M9" s="7"/>
      <c r="N9" s="7"/>
      <c r="O9" s="7"/>
      <c r="P9" s="7"/>
      <c r="Q9" s="7"/>
      <c r="R9" s="7"/>
      <c r="S9" s="7"/>
      <c r="T9" s="7"/>
      <c r="U9" s="7"/>
      <c r="V9" s="32"/>
    </row>
    <row r="10" spans="2:22" x14ac:dyDescent="0.55000000000000004">
      <c r="B10" s="10"/>
      <c r="C10" s="7">
        <f>Controls!$C$5</f>
        <v>0</v>
      </c>
      <c r="D10" s="7"/>
      <c r="E10" s="7"/>
      <c r="F10" s="7"/>
      <c r="G10" s="7"/>
      <c r="H10" s="8"/>
      <c r="K10" s="27"/>
      <c r="L10" s="26"/>
      <c r="M10" s="7"/>
      <c r="N10" s="7"/>
      <c r="O10" s="7"/>
      <c r="P10" s="7"/>
      <c r="Q10" s="7"/>
      <c r="R10" s="7"/>
      <c r="S10" s="7"/>
      <c r="T10" s="7"/>
      <c r="U10" s="7"/>
      <c r="V10" s="32"/>
    </row>
    <row r="11" spans="2:22" x14ac:dyDescent="0.55000000000000004">
      <c r="B11" s="10"/>
      <c r="C11" s="7"/>
      <c r="D11" s="7"/>
      <c r="E11" s="7"/>
      <c r="F11" s="7"/>
      <c r="G11" s="7"/>
      <c r="H11" s="8"/>
      <c r="K11" s="56" t="s">
        <v>98</v>
      </c>
      <c r="L11" s="57"/>
      <c r="M11" s="7"/>
      <c r="N11" s="7"/>
      <c r="O11" s="7"/>
      <c r="P11" s="7"/>
      <c r="Q11" s="7"/>
      <c r="R11" s="7"/>
      <c r="S11" s="7"/>
      <c r="T11" s="7"/>
      <c r="U11" s="7"/>
      <c r="V11" s="32"/>
    </row>
    <row r="12" spans="2:22" x14ac:dyDescent="0.55000000000000004">
      <c r="B12" s="10"/>
      <c r="C12" s="7" t="s">
        <v>14</v>
      </c>
      <c r="D12" s="7"/>
      <c r="E12" s="7"/>
      <c r="F12" s="7"/>
      <c r="G12" s="7"/>
      <c r="H12" s="8"/>
      <c r="K12" s="56"/>
      <c r="L12" s="57"/>
      <c r="M12" s="7"/>
      <c r="N12" s="7"/>
      <c r="O12" s="7"/>
      <c r="P12" s="7"/>
      <c r="Q12" s="7"/>
      <c r="R12" s="7"/>
      <c r="S12" s="7"/>
      <c r="T12" s="7"/>
      <c r="U12" s="7"/>
      <c r="V12" s="32"/>
    </row>
    <row r="13" spans="2:22" x14ac:dyDescent="0.55000000000000004">
      <c r="B13" s="10"/>
      <c r="C13" s="7" t="e">
        <f>ROUND((C7*C10*E6)/5940,4)&amp;" GPM"</f>
        <v>#VALUE!</v>
      </c>
      <c r="D13" s="7"/>
      <c r="E13" s="7"/>
      <c r="F13" s="7"/>
      <c r="G13" s="7"/>
      <c r="H13" s="8"/>
      <c r="K13" s="27"/>
      <c r="L13" s="26"/>
      <c r="M13" s="7"/>
      <c r="N13" s="7"/>
      <c r="O13" s="7"/>
      <c r="P13" s="7"/>
      <c r="Q13" s="7"/>
      <c r="R13" s="7"/>
      <c r="S13" s="7"/>
      <c r="T13" s="7"/>
      <c r="U13" s="7"/>
      <c r="V13" s="32"/>
    </row>
    <row r="14" spans="2:22" x14ac:dyDescent="0.55000000000000004">
      <c r="B14" s="10"/>
      <c r="C14" s="7"/>
      <c r="D14" s="7"/>
      <c r="E14" s="7"/>
      <c r="F14" s="7"/>
      <c r="G14" s="7"/>
      <c r="H14" s="8"/>
      <c r="K14" s="27"/>
      <c r="L14" s="26"/>
      <c r="M14" s="7"/>
      <c r="N14" s="7"/>
      <c r="O14" s="7"/>
      <c r="P14" s="7"/>
      <c r="Q14" s="7"/>
      <c r="R14" s="7"/>
      <c r="S14" s="7"/>
      <c r="T14" s="7"/>
      <c r="U14" s="7"/>
      <c r="V14" s="32"/>
    </row>
    <row r="15" spans="2:22" ht="14.7" thickBot="1" x14ac:dyDescent="0.6">
      <c r="B15" s="10"/>
      <c r="C15" s="7"/>
      <c r="D15" s="7"/>
      <c r="E15" s="7"/>
      <c r="F15" s="7"/>
      <c r="G15" s="7"/>
      <c r="H15" s="8"/>
      <c r="K15" s="31" t="s">
        <v>24</v>
      </c>
      <c r="L15" s="7"/>
      <c r="M15" s="7"/>
      <c r="N15" s="7"/>
      <c r="O15" s="7" t="s">
        <v>101</v>
      </c>
      <c r="P15" s="7"/>
      <c r="Q15" s="7"/>
      <c r="R15" s="7"/>
      <c r="S15" s="7"/>
      <c r="T15" s="7"/>
      <c r="U15" s="7"/>
      <c r="V15" s="32"/>
    </row>
    <row r="16" spans="2:22" x14ac:dyDescent="0.55000000000000004">
      <c r="B16" s="10"/>
      <c r="C16" s="7"/>
      <c r="D16" s="7"/>
      <c r="E16" s="7"/>
      <c r="F16" s="7"/>
      <c r="G16" s="7"/>
      <c r="H16" s="8"/>
      <c r="K16" s="31"/>
      <c r="L16" s="7"/>
      <c r="M16" s="7"/>
      <c r="N16" s="7"/>
      <c r="O16" s="47" t="e">
        <f ca="1">INDEX(Nozzle_Desc,MATCH(Controls!$D$12,Nozzle_Desc,0)+1)</f>
        <v>#VALUE!</v>
      </c>
      <c r="P16" s="48"/>
      <c r="Q16" s="48"/>
      <c r="R16" s="48"/>
      <c r="S16" s="48"/>
      <c r="T16" s="48"/>
      <c r="U16" s="49"/>
      <c r="V16" s="32"/>
    </row>
    <row r="17" spans="2:22" x14ac:dyDescent="0.55000000000000004">
      <c r="B17" s="10"/>
      <c r="C17" s="7"/>
      <c r="D17" s="7"/>
      <c r="E17" s="7"/>
      <c r="F17" s="7"/>
      <c r="G17" s="7"/>
      <c r="H17" s="8"/>
      <c r="K17" s="31"/>
      <c r="L17" s="7"/>
      <c r="M17" s="7"/>
      <c r="N17" s="7"/>
      <c r="O17" s="50"/>
      <c r="P17" s="51"/>
      <c r="Q17" s="51"/>
      <c r="R17" s="51"/>
      <c r="S17" s="51"/>
      <c r="T17" s="51"/>
      <c r="U17" s="52"/>
      <c r="V17" s="32"/>
    </row>
    <row r="18" spans="2:22" x14ac:dyDescent="0.55000000000000004">
      <c r="B18" s="10"/>
      <c r="C18" s="7"/>
      <c r="D18" s="7"/>
      <c r="E18" s="7"/>
      <c r="F18" s="7"/>
      <c r="G18" s="7"/>
      <c r="H18" s="8"/>
      <c r="K18" s="31"/>
      <c r="L18" s="7"/>
      <c r="M18" s="7"/>
      <c r="N18" s="7"/>
      <c r="O18" s="50"/>
      <c r="P18" s="51"/>
      <c r="Q18" s="51"/>
      <c r="R18" s="51"/>
      <c r="S18" s="51"/>
      <c r="T18" s="51"/>
      <c r="U18" s="52"/>
      <c r="V18" s="32"/>
    </row>
    <row r="19" spans="2:22" ht="14.7" thickBot="1" x14ac:dyDescent="0.6">
      <c r="B19" s="15"/>
      <c r="C19" s="12"/>
      <c r="D19" s="12"/>
      <c r="E19" s="12"/>
      <c r="F19" s="12"/>
      <c r="G19" s="12"/>
      <c r="H19" s="13"/>
      <c r="K19" s="31"/>
      <c r="L19" s="7"/>
      <c r="M19" s="7"/>
      <c r="N19" s="7"/>
      <c r="O19" s="50"/>
      <c r="P19" s="51"/>
      <c r="Q19" s="51"/>
      <c r="R19" s="51"/>
      <c r="S19" s="51"/>
      <c r="T19" s="51"/>
      <c r="U19" s="52"/>
      <c r="V19" s="32"/>
    </row>
    <row r="20" spans="2:22" x14ac:dyDescent="0.55000000000000004">
      <c r="K20" s="31"/>
      <c r="L20" s="7"/>
      <c r="M20" s="7"/>
      <c r="N20" s="7"/>
      <c r="O20" s="50"/>
      <c r="P20" s="51"/>
      <c r="Q20" s="51"/>
      <c r="R20" s="51"/>
      <c r="S20" s="51"/>
      <c r="T20" s="51"/>
      <c r="U20" s="52"/>
      <c r="V20" s="32"/>
    </row>
    <row r="21" spans="2:22" x14ac:dyDescent="0.55000000000000004">
      <c r="K21" s="31"/>
      <c r="L21" s="7"/>
      <c r="M21" s="7"/>
      <c r="N21" s="7"/>
      <c r="O21" s="50"/>
      <c r="P21" s="51"/>
      <c r="Q21" s="51"/>
      <c r="R21" s="51"/>
      <c r="S21" s="51"/>
      <c r="T21" s="51"/>
      <c r="U21" s="52"/>
      <c r="V21" s="32"/>
    </row>
    <row r="22" spans="2:22" ht="14.7" thickBot="1" x14ac:dyDescent="0.6">
      <c r="K22" s="31"/>
      <c r="L22" s="7"/>
      <c r="M22" s="7"/>
      <c r="N22" s="7"/>
      <c r="O22" s="53"/>
      <c r="P22" s="54"/>
      <c r="Q22" s="54"/>
      <c r="R22" s="54"/>
      <c r="S22" s="54"/>
      <c r="T22" s="54"/>
      <c r="U22" s="55"/>
      <c r="V22" s="32"/>
    </row>
    <row r="23" spans="2:22" x14ac:dyDescent="0.55000000000000004">
      <c r="K23" s="33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5"/>
    </row>
  </sheetData>
  <mergeCells count="3">
    <mergeCell ref="O16:U22"/>
    <mergeCell ref="K12:L12"/>
    <mergeCell ref="K11:L11"/>
  </mergeCells>
  <dataValidations count="1">
    <dataValidation type="list" allowBlank="1" showInputMessage="1" showErrorMessage="1" sqref="K12" xr:uid="{04EDBFCC-9FBA-4569-B851-847C6568D6EC}">
      <formula1>Sys_Cont_List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pinner 2">
              <controlPr defaultSize="0" autoPict="0">
                <anchor moveWithCells="1" sizeWithCells="1">
                  <from>
                    <xdr:col>3</xdr:col>
                    <xdr:colOff>11430</xdr:colOff>
                    <xdr:row>4</xdr:row>
                    <xdr:rowOff>179070</xdr:rowOff>
                  </from>
                  <to>
                    <xdr:col>3</xdr:col>
                    <xdr:colOff>194310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>
                <anchor moveWithCells="1" sizeWithCells="1">
                  <from>
                    <xdr:col>3</xdr:col>
                    <xdr:colOff>30480</xdr:colOff>
                    <xdr:row>8</xdr:row>
                    <xdr:rowOff>3810</xdr:rowOff>
                  </from>
                  <to>
                    <xdr:col>3</xdr:col>
                    <xdr:colOff>220980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List Box 4">
              <controlPr defaultSize="0" autoLine="0" autoPict="0">
                <anchor moveWithCells="1">
                  <from>
                    <xdr:col>5</xdr:col>
                    <xdr:colOff>38100</xdr:colOff>
                    <xdr:row>5</xdr:row>
                    <xdr:rowOff>15240</xdr:rowOff>
                  </from>
                  <to>
                    <xdr:col>6</xdr:col>
                    <xdr:colOff>571500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List Box 8">
              <controlPr defaultSize="0" autoLine="0" autoPict="0">
                <anchor moveWithCells="1">
                  <from>
                    <xdr:col>10</xdr:col>
                    <xdr:colOff>38100</xdr:colOff>
                    <xdr:row>6</xdr:row>
                    <xdr:rowOff>3810</xdr:rowOff>
                  </from>
                  <to>
                    <xdr:col>11</xdr:col>
                    <xdr:colOff>240030</xdr:colOff>
                    <xdr:row>9</xdr:row>
                    <xdr:rowOff>34290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List Box 10">
              <controlPr defaultSize="0" autoLine="0" autoPict="0">
                <anchor moveWithCells="1">
                  <from>
                    <xdr:col>10</xdr:col>
                    <xdr:colOff>41910</xdr:colOff>
                    <xdr:row>15</xdr:row>
                    <xdr:rowOff>26670</xdr:rowOff>
                  </from>
                  <to>
                    <xdr:col>11</xdr:col>
                    <xdr:colOff>3810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List Box 12">
              <controlPr defaultSize="0" autoLine="0" autoPict="0">
                <anchor moveWithCells="1">
                  <from>
                    <xdr:col>13</xdr:col>
                    <xdr:colOff>544830</xdr:colOff>
                    <xdr:row>6</xdr:row>
                    <xdr:rowOff>26670</xdr:rowOff>
                  </from>
                  <to>
                    <xdr:col>20</xdr:col>
                    <xdr:colOff>419100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0" name="Button 19">
              <controlPr defaultSize="0" print="0" autoFill="0" autoPict="0" macro="[0]!NFR_2">
                <anchor moveWithCells="1" sizeWithCells="1">
                  <from>
                    <xdr:col>10</xdr:col>
                    <xdr:colOff>369570</xdr:colOff>
                    <xdr:row>19</xdr:row>
                    <xdr:rowOff>179070</xdr:rowOff>
                  </from>
                  <to>
                    <xdr:col>11</xdr:col>
                    <xdr:colOff>327660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1" name="Button 20">
              <controlPr defaultSize="0" print="0" autoFill="0" autoPict="0" macro="[0]!NFR_1">
                <anchor moveWithCells="1" sizeWithCells="1">
                  <from>
                    <xdr:col>1</xdr:col>
                    <xdr:colOff>289560</xdr:colOff>
                    <xdr:row>15</xdr:row>
                    <xdr:rowOff>148590</xdr:rowOff>
                  </from>
                  <to>
                    <xdr:col>2</xdr:col>
                    <xdr:colOff>727710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2" name="Button 21">
              <controlPr defaultSize="0" print="0" autoFill="0" autoPict="0" macro="[0]!MainMenu">
                <anchor moveWithCells="1" sizeWithCells="1">
                  <from>
                    <xdr:col>4</xdr:col>
                    <xdr:colOff>468630</xdr:colOff>
                    <xdr:row>21</xdr:row>
                    <xdr:rowOff>118110</xdr:rowOff>
                  </from>
                  <to>
                    <xdr:col>7</xdr:col>
                    <xdr:colOff>377190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C2368C7-825A-448E-8DEF-2C7967584C51}">
            <xm:f>IF(Controls!$D$10&lt;&gt;Tables!$B$16,TRUE,FALSE)</xm:f>
            <x14:dxf>
              <font>
                <color auto="1"/>
              </font>
              <fill>
                <patternFill>
                  <bgColor rgb="FFFFFF0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K12:L12 K11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C67A1-35DF-4297-9274-ED9DA1E3C7A2}">
  <sheetPr codeName="Sheet4"/>
  <dimension ref="B4:J25"/>
  <sheetViews>
    <sheetView topLeftCell="A3" workbookViewId="0">
      <selection activeCell="I12" sqref="I12"/>
    </sheetView>
  </sheetViews>
  <sheetFormatPr defaultRowHeight="14.4" x14ac:dyDescent="0.55000000000000004"/>
  <sheetData>
    <row r="4" spans="2:10" x14ac:dyDescent="0.55000000000000004">
      <c r="B4" s="28"/>
      <c r="C4" s="29"/>
      <c r="D4" s="29"/>
      <c r="E4" s="29"/>
      <c r="F4" s="29"/>
      <c r="G4" s="29"/>
      <c r="H4" s="29"/>
      <c r="I4" s="29"/>
      <c r="J4" s="30"/>
    </row>
    <row r="5" spans="2:10" x14ac:dyDescent="0.55000000000000004">
      <c r="B5" s="31"/>
      <c r="C5" s="7"/>
      <c r="D5" s="7"/>
      <c r="E5" s="7" t="s">
        <v>108</v>
      </c>
      <c r="F5" s="7"/>
      <c r="G5" s="7"/>
      <c r="H5" s="7"/>
      <c r="I5" s="7"/>
      <c r="J5" s="32"/>
    </row>
    <row r="6" spans="2:10" x14ac:dyDescent="0.55000000000000004">
      <c r="B6" s="31"/>
      <c r="C6" s="7"/>
      <c r="D6" s="7"/>
      <c r="E6" s="7"/>
      <c r="F6" s="7"/>
      <c r="G6" s="7"/>
      <c r="H6" s="7"/>
      <c r="I6" s="7"/>
      <c r="J6" s="32"/>
    </row>
    <row r="7" spans="2:10" ht="43.2" x14ac:dyDescent="0.55000000000000004">
      <c r="B7" s="31"/>
      <c r="C7" s="36" t="s">
        <v>105</v>
      </c>
      <c r="D7" s="7"/>
      <c r="E7" s="7"/>
      <c r="F7" s="36" t="s">
        <v>106</v>
      </c>
      <c r="G7" s="7"/>
      <c r="H7" s="7"/>
      <c r="I7" s="7"/>
      <c r="J7" s="32"/>
    </row>
    <row r="8" spans="2:10" x14ac:dyDescent="0.55000000000000004">
      <c r="B8" s="31"/>
      <c r="C8" s="24">
        <f>Controls!C16</f>
        <v>0</v>
      </c>
      <c r="D8" s="7"/>
      <c r="E8" s="7"/>
      <c r="F8" s="24" t="e">
        <f>Controls!D17</f>
        <v>#VALUE!</v>
      </c>
      <c r="G8" s="7"/>
      <c r="H8" s="7"/>
      <c r="I8" s="7"/>
      <c r="J8" s="32"/>
    </row>
    <row r="9" spans="2:10" x14ac:dyDescent="0.55000000000000004">
      <c r="B9" s="31"/>
      <c r="D9" s="7"/>
      <c r="E9" s="7"/>
      <c r="F9" s="7"/>
      <c r="G9" s="7"/>
      <c r="H9" s="7"/>
      <c r="I9" s="7"/>
      <c r="J9" s="32"/>
    </row>
    <row r="10" spans="2:10" x14ac:dyDescent="0.55000000000000004">
      <c r="B10" s="31"/>
      <c r="C10" s="7"/>
      <c r="D10" s="7"/>
      <c r="E10" s="7"/>
      <c r="F10" s="7"/>
      <c r="G10" s="7"/>
      <c r="H10" s="7"/>
      <c r="I10" s="7"/>
      <c r="J10" s="32"/>
    </row>
    <row r="11" spans="2:10" x14ac:dyDescent="0.55000000000000004">
      <c r="B11" s="31"/>
      <c r="C11" s="7"/>
      <c r="D11" s="7"/>
      <c r="E11" s="7"/>
      <c r="F11" s="7"/>
      <c r="G11" s="7"/>
      <c r="H11" s="7"/>
      <c r="I11" s="7"/>
      <c r="J11" s="32"/>
    </row>
    <row r="12" spans="2:10" x14ac:dyDescent="0.55000000000000004">
      <c r="B12" s="31"/>
      <c r="C12" s="7"/>
      <c r="D12" s="7"/>
      <c r="E12" s="7"/>
      <c r="F12" s="7"/>
      <c r="G12" s="7"/>
      <c r="H12" s="7"/>
      <c r="I12" s="7"/>
      <c r="J12" s="32"/>
    </row>
    <row r="13" spans="2:10" ht="28.8" x14ac:dyDescent="0.55000000000000004">
      <c r="B13" s="31"/>
      <c r="C13" s="7"/>
      <c r="D13" s="37" t="s">
        <v>107</v>
      </c>
      <c r="E13" s="7"/>
      <c r="F13" s="7"/>
      <c r="G13" s="7"/>
      <c r="H13" s="7"/>
      <c r="I13" s="7"/>
      <c r="J13" s="32"/>
    </row>
    <row r="14" spans="2:10" x14ac:dyDescent="0.55000000000000004">
      <c r="B14" s="31"/>
      <c r="C14" s="7"/>
      <c r="D14" s="24" t="e">
        <f>Controls!$D$18</f>
        <v>#VALUE!</v>
      </c>
      <c r="E14" s="7"/>
      <c r="F14" s="7"/>
      <c r="G14" s="7"/>
      <c r="H14" s="7"/>
      <c r="I14" s="7"/>
      <c r="J14" s="32"/>
    </row>
    <row r="15" spans="2:10" x14ac:dyDescent="0.55000000000000004">
      <c r="B15" s="31"/>
      <c r="C15" s="7"/>
      <c r="D15" s="7"/>
      <c r="E15" s="7"/>
      <c r="F15" s="7"/>
      <c r="G15" s="7"/>
      <c r="H15" s="7"/>
      <c r="I15" s="7"/>
      <c r="J15" s="32"/>
    </row>
    <row r="16" spans="2:10" x14ac:dyDescent="0.55000000000000004">
      <c r="B16" s="31"/>
      <c r="C16" s="7"/>
      <c r="D16" s="7"/>
      <c r="E16" s="7"/>
      <c r="F16" s="7"/>
      <c r="G16" s="7"/>
      <c r="H16" s="7"/>
      <c r="I16" s="7"/>
      <c r="J16" s="32"/>
    </row>
    <row r="17" spans="2:10" x14ac:dyDescent="0.55000000000000004">
      <c r="B17" s="31"/>
      <c r="C17" s="7"/>
      <c r="D17" s="7" t="s">
        <v>165</v>
      </c>
      <c r="E17" s="7"/>
      <c r="F17" s="7"/>
      <c r="G17" s="7"/>
      <c r="H17" s="7"/>
      <c r="I17" s="7"/>
      <c r="J17" s="32"/>
    </row>
    <row r="18" spans="2:10" x14ac:dyDescent="0.55000000000000004">
      <c r="B18" s="31"/>
      <c r="C18" s="7"/>
      <c r="D18" s="24" t="e">
        <f>(0.06*C8*((F8*12)/D14))&amp;" GPM"</f>
        <v>#VALUE!</v>
      </c>
      <c r="E18" s="7"/>
      <c r="F18" s="7"/>
      <c r="G18" s="7"/>
      <c r="H18" s="7"/>
      <c r="I18" s="7"/>
      <c r="J18" s="32"/>
    </row>
    <row r="19" spans="2:10" x14ac:dyDescent="0.55000000000000004">
      <c r="B19" s="31"/>
      <c r="C19" s="7"/>
      <c r="D19" s="7"/>
      <c r="E19" s="7"/>
      <c r="F19" s="7"/>
      <c r="G19" s="7"/>
      <c r="H19" s="7"/>
      <c r="I19" s="7"/>
      <c r="J19" s="32"/>
    </row>
    <row r="20" spans="2:10" x14ac:dyDescent="0.55000000000000004">
      <c r="B20" s="31"/>
      <c r="C20" s="7"/>
      <c r="D20" s="7"/>
      <c r="E20" s="7"/>
      <c r="F20" s="7"/>
      <c r="G20" s="7"/>
      <c r="H20" s="7"/>
      <c r="I20" s="7"/>
      <c r="J20" s="32"/>
    </row>
    <row r="21" spans="2:10" x14ac:dyDescent="0.55000000000000004">
      <c r="B21" s="31"/>
      <c r="C21" s="7"/>
      <c r="D21" s="7"/>
      <c r="E21" s="7"/>
      <c r="F21" s="7"/>
      <c r="G21" s="7"/>
      <c r="H21" s="7"/>
      <c r="I21" s="7"/>
      <c r="J21" s="32"/>
    </row>
    <row r="22" spans="2:10" x14ac:dyDescent="0.55000000000000004">
      <c r="B22" s="31"/>
      <c r="C22" s="7"/>
      <c r="D22" s="7"/>
      <c r="E22" s="7"/>
      <c r="F22" s="7"/>
      <c r="G22" s="7"/>
      <c r="H22" s="7"/>
      <c r="I22" s="7"/>
      <c r="J22" s="32"/>
    </row>
    <row r="23" spans="2:10" x14ac:dyDescent="0.55000000000000004">
      <c r="B23" s="31"/>
      <c r="C23" s="7"/>
      <c r="D23" s="7"/>
      <c r="E23" s="7"/>
      <c r="F23" s="7"/>
      <c r="G23" s="7"/>
      <c r="H23" s="7"/>
      <c r="I23" s="7"/>
      <c r="J23" s="32"/>
    </row>
    <row r="24" spans="2:10" x14ac:dyDescent="0.55000000000000004">
      <c r="B24" s="31"/>
      <c r="C24" s="7"/>
      <c r="D24" s="7"/>
      <c r="E24" s="7"/>
      <c r="F24" s="7"/>
      <c r="G24" s="7"/>
      <c r="H24" s="7"/>
      <c r="I24" s="7"/>
      <c r="J24" s="32"/>
    </row>
    <row r="25" spans="2:10" x14ac:dyDescent="0.55000000000000004">
      <c r="B25" s="33"/>
      <c r="C25" s="34"/>
      <c r="D25" s="34"/>
      <c r="E25" s="34"/>
      <c r="F25" s="34"/>
      <c r="G25" s="34"/>
      <c r="H25" s="34"/>
      <c r="I25" s="34"/>
      <c r="J25" s="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3</xdr:col>
                    <xdr:colOff>41910</xdr:colOff>
                    <xdr:row>6</xdr:row>
                    <xdr:rowOff>3810</xdr:rowOff>
                  </from>
                  <to>
                    <xdr:col>3</xdr:col>
                    <xdr:colOff>411480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List Box 2">
              <controlPr defaultSize="0" autoLine="0" autoPict="0">
                <anchor moveWithCells="1">
                  <from>
                    <xdr:col>6</xdr:col>
                    <xdr:colOff>45720</xdr:colOff>
                    <xdr:row>6</xdr:row>
                    <xdr:rowOff>80010</xdr:rowOff>
                  </from>
                  <to>
                    <xdr:col>7</xdr:col>
                    <xdr:colOff>453390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List Box 3">
              <controlPr defaultSize="0" autoLine="0" autoPict="0">
                <anchor moveWithCells="1">
                  <from>
                    <xdr:col>4</xdr:col>
                    <xdr:colOff>15240</xdr:colOff>
                    <xdr:row>12</xdr:row>
                    <xdr:rowOff>53340</xdr:rowOff>
                  </from>
                  <to>
                    <xdr:col>5</xdr:col>
                    <xdr:colOff>262890</xdr:colOff>
                    <xdr:row>14</xdr:row>
                    <xdr:rowOff>41910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LLC">
                <anchor moveWithCells="1" sizeWithCells="1">
                  <from>
                    <xdr:col>5</xdr:col>
                    <xdr:colOff>609600</xdr:colOff>
                    <xdr:row>16</xdr:row>
                    <xdr:rowOff>121920</xdr:rowOff>
                  </from>
                  <to>
                    <xdr:col>7</xdr:col>
                    <xdr:colOff>483870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ainMenu">
                <anchor moveWithCells="1" sizeWithCells="1">
                  <from>
                    <xdr:col>5</xdr:col>
                    <xdr:colOff>331470</xdr:colOff>
                    <xdr:row>20</xdr:row>
                    <xdr:rowOff>175260</xdr:rowOff>
                  </from>
                  <to>
                    <xdr:col>8</xdr:col>
                    <xdr:colOff>240030</xdr:colOff>
                    <xdr:row>24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7D142-36F1-497F-B1A5-47A51605283D}">
  <sheetPr codeName="Sheet5"/>
  <dimension ref="C4:J31"/>
  <sheetViews>
    <sheetView topLeftCell="B10" workbookViewId="0">
      <selection activeCell="K21" sqref="K21"/>
    </sheetView>
  </sheetViews>
  <sheetFormatPr defaultRowHeight="14.4" x14ac:dyDescent="0.55000000000000004"/>
  <cols>
    <col min="8" max="8" width="8.83984375" customWidth="1"/>
  </cols>
  <sheetData>
    <row r="4" spans="3:10" x14ac:dyDescent="0.55000000000000004">
      <c r="C4" s="28"/>
      <c r="D4" s="29"/>
      <c r="E4" s="29"/>
      <c r="F4" s="29"/>
      <c r="G4" s="29"/>
      <c r="H4" s="29"/>
      <c r="I4" s="29"/>
      <c r="J4" s="30"/>
    </row>
    <row r="5" spans="3:10" x14ac:dyDescent="0.55000000000000004">
      <c r="C5" s="31"/>
      <c r="D5" s="7"/>
      <c r="E5" s="7"/>
      <c r="F5" s="7"/>
      <c r="G5" s="7"/>
      <c r="H5" s="7"/>
      <c r="I5" s="7"/>
      <c r="J5" s="32"/>
    </row>
    <row r="6" spans="3:10" x14ac:dyDescent="0.55000000000000004">
      <c r="C6" s="31"/>
      <c r="D6" s="7"/>
      <c r="E6" s="7" t="s">
        <v>162</v>
      </c>
      <c r="F6" s="7"/>
      <c r="G6" s="7"/>
      <c r="H6" s="7"/>
      <c r="I6" s="7"/>
      <c r="J6" s="32"/>
    </row>
    <row r="7" spans="3:10" x14ac:dyDescent="0.55000000000000004">
      <c r="C7" s="31"/>
      <c r="D7" s="14"/>
      <c r="E7" s="14"/>
      <c r="F7" s="7"/>
      <c r="G7" s="7"/>
      <c r="H7" s="7"/>
      <c r="I7" s="7"/>
      <c r="J7" s="32"/>
    </row>
    <row r="8" spans="3:10" x14ac:dyDescent="0.55000000000000004">
      <c r="C8" s="31"/>
      <c r="D8" s="7" t="s">
        <v>13</v>
      </c>
      <c r="E8" s="14"/>
      <c r="F8" s="7"/>
      <c r="G8" s="7" t="s">
        <v>111</v>
      </c>
      <c r="H8" s="14"/>
      <c r="I8" s="7"/>
      <c r="J8" s="32"/>
    </row>
    <row r="9" spans="3:10" x14ac:dyDescent="0.55000000000000004">
      <c r="C9" s="31"/>
      <c r="D9" s="24">
        <f>Controls!C21</f>
        <v>0</v>
      </c>
      <c r="E9" s="14"/>
      <c r="F9" s="7"/>
      <c r="G9" s="24" t="e">
        <f>Controls!D24</f>
        <v>#VALUE!</v>
      </c>
      <c r="H9" s="7"/>
      <c r="I9" s="7"/>
      <c r="J9" s="32"/>
    </row>
    <row r="10" spans="3:10" x14ac:dyDescent="0.55000000000000004">
      <c r="C10" s="31"/>
      <c r="D10" s="7"/>
      <c r="E10" s="14"/>
      <c r="F10" s="7"/>
      <c r="G10" s="7"/>
      <c r="H10" s="7"/>
      <c r="I10" s="7"/>
      <c r="J10" s="32"/>
    </row>
    <row r="11" spans="3:10" x14ac:dyDescent="0.55000000000000004">
      <c r="C11" s="31"/>
      <c r="D11" s="7" t="s">
        <v>15</v>
      </c>
      <c r="E11" s="14"/>
      <c r="F11" s="7"/>
      <c r="G11" s="7"/>
      <c r="H11" s="7"/>
      <c r="I11" s="7"/>
      <c r="J11" s="32"/>
    </row>
    <row r="12" spans="3:10" x14ac:dyDescent="0.55000000000000004">
      <c r="C12" s="31"/>
      <c r="D12" s="24">
        <f>Controls!C22</f>
        <v>0</v>
      </c>
      <c r="E12" s="7"/>
      <c r="F12" s="7"/>
      <c r="G12" s="7"/>
      <c r="H12" s="7"/>
      <c r="I12" s="7"/>
      <c r="J12" s="32"/>
    </row>
    <row r="13" spans="3:10" x14ac:dyDescent="0.55000000000000004">
      <c r="C13" s="31"/>
      <c r="D13" s="7"/>
      <c r="E13" s="7"/>
      <c r="F13" s="7"/>
      <c r="G13" s="7" t="s">
        <v>112</v>
      </c>
      <c r="H13" s="7"/>
      <c r="I13" s="7"/>
      <c r="J13" s="32"/>
    </row>
    <row r="14" spans="3:10" x14ac:dyDescent="0.55000000000000004">
      <c r="C14" s="31"/>
      <c r="D14" s="7" t="s">
        <v>110</v>
      </c>
      <c r="E14" s="7"/>
      <c r="F14" s="7"/>
      <c r="G14" s="24" t="e">
        <f>Controls!D25</f>
        <v>#VALUE!</v>
      </c>
      <c r="H14" s="7"/>
      <c r="I14" s="7"/>
      <c r="J14" s="32"/>
    </row>
    <row r="15" spans="3:10" x14ac:dyDescent="0.55000000000000004">
      <c r="C15" s="31"/>
      <c r="D15" s="24" t="e">
        <f>Controls!D23</f>
        <v>#VALUE!</v>
      </c>
      <c r="E15" s="7"/>
      <c r="F15" s="7"/>
      <c r="G15" s="7"/>
      <c r="H15" s="7"/>
      <c r="I15" s="7"/>
      <c r="J15" s="32"/>
    </row>
    <row r="16" spans="3:10" x14ac:dyDescent="0.55000000000000004">
      <c r="C16" s="31"/>
      <c r="D16" s="7"/>
      <c r="E16" s="7"/>
      <c r="F16" s="7"/>
      <c r="G16" s="7"/>
      <c r="H16" s="7"/>
      <c r="I16" s="7"/>
      <c r="J16" s="32"/>
    </row>
    <row r="17" spans="3:10" x14ac:dyDescent="0.55000000000000004">
      <c r="C17" s="31"/>
      <c r="D17" s="7"/>
      <c r="E17" s="7"/>
      <c r="F17" s="7"/>
      <c r="G17" s="7"/>
      <c r="H17" s="7"/>
      <c r="I17" s="7"/>
      <c r="J17" s="32"/>
    </row>
    <row r="18" spans="3:10" x14ac:dyDescent="0.55000000000000004">
      <c r="C18" s="31"/>
      <c r="D18" s="7"/>
      <c r="E18" s="7"/>
      <c r="F18" s="7"/>
      <c r="G18" s="7"/>
      <c r="H18" s="7"/>
      <c r="I18" s="7"/>
      <c r="J18" s="32"/>
    </row>
    <row r="19" spans="3:10" x14ac:dyDescent="0.55000000000000004">
      <c r="C19" s="31"/>
      <c r="D19" s="7"/>
      <c r="E19" s="7"/>
      <c r="F19" s="7"/>
      <c r="G19" s="7"/>
      <c r="H19" s="7"/>
      <c r="I19" s="7"/>
      <c r="J19" s="32"/>
    </row>
    <row r="20" spans="3:10" x14ac:dyDescent="0.55000000000000004">
      <c r="C20" s="31"/>
      <c r="D20" s="7"/>
      <c r="E20" s="7"/>
      <c r="F20" s="7"/>
      <c r="G20" s="7"/>
      <c r="H20" s="7"/>
      <c r="I20" s="7"/>
      <c r="J20" s="32"/>
    </row>
    <row r="21" spans="3:10" x14ac:dyDescent="0.55000000000000004">
      <c r="C21" s="31"/>
      <c r="D21" s="58" t="s">
        <v>113</v>
      </c>
      <c r="E21" s="59"/>
      <c r="F21" s="59"/>
      <c r="G21" s="59"/>
      <c r="H21" s="59"/>
      <c r="I21" s="60"/>
      <c r="J21" s="32"/>
    </row>
    <row r="22" spans="3:10" x14ac:dyDescent="0.55000000000000004">
      <c r="C22" s="31"/>
      <c r="D22" s="7" t="s">
        <v>114</v>
      </c>
      <c r="E22" s="7"/>
      <c r="F22" s="7"/>
      <c r="G22" s="7"/>
      <c r="H22" s="7" t="s">
        <v>14</v>
      </c>
      <c r="I22" s="7"/>
      <c r="J22" s="32"/>
    </row>
    <row r="23" spans="3:10" x14ac:dyDescent="0.55000000000000004">
      <c r="C23" s="31"/>
      <c r="D23" s="24" t="e">
        <f>(G14*12)/G9</f>
        <v>#VALUE!</v>
      </c>
      <c r="E23" s="7"/>
      <c r="F23" s="7"/>
      <c r="G23" s="7"/>
      <c r="H23" s="24" t="e">
        <f>Controls!D26&amp;" GPM"</f>
        <v>#VALUE!</v>
      </c>
      <c r="I23" s="7"/>
      <c r="J23" s="32"/>
    </row>
    <row r="24" spans="3:10" x14ac:dyDescent="0.55000000000000004">
      <c r="C24" s="31"/>
      <c r="D24" s="7"/>
      <c r="E24" s="7"/>
      <c r="F24" s="7"/>
      <c r="G24" s="7"/>
      <c r="H24" s="7"/>
      <c r="I24" s="7"/>
      <c r="J24" s="32"/>
    </row>
    <row r="25" spans="3:10" x14ac:dyDescent="0.55000000000000004">
      <c r="C25" s="31"/>
      <c r="D25" s="7" t="s">
        <v>115</v>
      </c>
      <c r="E25" s="7"/>
      <c r="F25" s="7"/>
      <c r="G25" s="7"/>
      <c r="H25" s="7" t="s">
        <v>116</v>
      </c>
      <c r="I25" s="7"/>
      <c r="J25" s="32"/>
    </row>
    <row r="26" spans="3:10" x14ac:dyDescent="0.55000000000000004">
      <c r="C26" s="31"/>
      <c r="D26" s="24" t="e">
        <f>ROUND(D23*Controls!D26,3)</f>
        <v>#VALUE!</v>
      </c>
      <c r="E26" s="7"/>
      <c r="F26" s="7"/>
      <c r="G26" s="7"/>
      <c r="H26" s="24" t="e">
        <f>D15*0.05</f>
        <v>#VALUE!</v>
      </c>
      <c r="I26" s="7"/>
      <c r="J26" s="32"/>
    </row>
    <row r="27" spans="3:10" x14ac:dyDescent="0.55000000000000004">
      <c r="C27" s="31"/>
      <c r="D27" s="7"/>
      <c r="E27" s="7"/>
      <c r="F27" s="7"/>
      <c r="G27" s="7"/>
      <c r="H27" s="7"/>
      <c r="I27" s="7"/>
      <c r="J27" s="32"/>
    </row>
    <row r="28" spans="3:10" x14ac:dyDescent="0.55000000000000004">
      <c r="C28" s="31"/>
      <c r="D28" s="7"/>
      <c r="E28" s="7"/>
      <c r="F28" s="7" t="s">
        <v>117</v>
      </c>
      <c r="G28" s="7"/>
      <c r="H28" s="7"/>
      <c r="I28" s="7"/>
      <c r="J28" s="32"/>
    </row>
    <row r="29" spans="3:10" x14ac:dyDescent="0.55000000000000004">
      <c r="C29" s="31"/>
      <c r="D29" s="7"/>
      <c r="E29" s="7"/>
      <c r="F29" s="24" t="e">
        <f>D26+H26</f>
        <v>#VALUE!</v>
      </c>
      <c r="G29" s="7"/>
      <c r="H29" s="7"/>
      <c r="I29" s="7"/>
      <c r="J29" s="32"/>
    </row>
    <row r="30" spans="3:10" x14ac:dyDescent="0.55000000000000004">
      <c r="C30" s="31"/>
      <c r="D30" s="7"/>
      <c r="E30" s="7"/>
      <c r="F30" s="7"/>
      <c r="G30" s="7"/>
      <c r="H30" s="7"/>
      <c r="I30" s="7"/>
      <c r="J30" s="32"/>
    </row>
    <row r="31" spans="3:10" x14ac:dyDescent="0.55000000000000004">
      <c r="C31" s="33"/>
      <c r="D31" s="34"/>
      <c r="E31" s="34"/>
      <c r="F31" s="34"/>
      <c r="G31" s="34"/>
      <c r="H31" s="34"/>
      <c r="I31" s="34"/>
      <c r="J31" s="35"/>
    </row>
  </sheetData>
  <mergeCells count="1">
    <mergeCell ref="D21:I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Spinner 2">
              <controlPr defaultSize="0" autoPict="0">
                <anchor moveWithCells="1" sizeWithCells="1">
                  <from>
                    <xdr:col>4</xdr:col>
                    <xdr:colOff>137160</xdr:colOff>
                    <xdr:row>7</xdr:row>
                    <xdr:rowOff>80010</xdr:rowOff>
                  </from>
                  <to>
                    <xdr:col>4</xdr:col>
                    <xdr:colOff>358140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Spinner 3">
              <controlPr defaultSize="0" autoPict="0">
                <anchor moveWithCells="1" sizeWithCells="1">
                  <from>
                    <xdr:col>4</xdr:col>
                    <xdr:colOff>121920</xdr:colOff>
                    <xdr:row>10</xdr:row>
                    <xdr:rowOff>64770</xdr:rowOff>
                  </from>
                  <to>
                    <xdr:col>4</xdr:col>
                    <xdr:colOff>373380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List Box 5">
              <controlPr defaultSize="0" autoLine="0" autoPict="0">
                <anchor moveWithCells="1">
                  <from>
                    <xdr:col>4</xdr:col>
                    <xdr:colOff>34290</xdr:colOff>
                    <xdr:row>13</xdr:row>
                    <xdr:rowOff>171450</xdr:rowOff>
                  </from>
                  <to>
                    <xdr:col>5</xdr:col>
                    <xdr:colOff>87630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List Box 6">
              <controlPr defaultSize="0" autoLine="0" autoPict="0">
                <anchor moveWithCells="1">
                  <from>
                    <xdr:col>7</xdr:col>
                    <xdr:colOff>358140</xdr:colOff>
                    <xdr:row>8</xdr:row>
                    <xdr:rowOff>68580</xdr:rowOff>
                  </from>
                  <to>
                    <xdr:col>9</xdr:col>
                    <xdr:colOff>99060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List Box 7">
              <controlPr defaultSize="0" autoLine="0" autoPict="0">
                <anchor moveWithCells="1">
                  <from>
                    <xdr:col>7</xdr:col>
                    <xdr:colOff>140970</xdr:colOff>
                    <xdr:row>13</xdr:row>
                    <xdr:rowOff>60960</xdr:rowOff>
                  </from>
                  <to>
                    <xdr:col>8</xdr:col>
                    <xdr:colOff>533400</xdr:colOff>
                    <xdr:row>18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Button 8">
              <controlPr defaultSize="0" print="0" autoFill="0" autoPict="0" macro="[0]!PP">
                <anchor moveWithCells="1" sizeWithCells="1">
                  <from>
                    <xdr:col>2</xdr:col>
                    <xdr:colOff>175260</xdr:colOff>
                    <xdr:row>27</xdr:row>
                    <xdr:rowOff>57150</xdr:rowOff>
                  </from>
                  <to>
                    <xdr:col>4</xdr:col>
                    <xdr:colOff>49530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Button 9">
              <controlPr defaultSize="0" print="0" autoFill="0" autoPict="0" macro="[0]!MainMenu">
                <anchor moveWithCells="1" sizeWithCells="1">
                  <from>
                    <xdr:col>7</xdr:col>
                    <xdr:colOff>99060</xdr:colOff>
                    <xdr:row>27</xdr:row>
                    <xdr:rowOff>140970</xdr:rowOff>
                  </from>
                  <to>
                    <xdr:col>9</xdr:col>
                    <xdr:colOff>461010</xdr:colOff>
                    <xdr:row>30</xdr:row>
                    <xdr:rowOff>72390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F7408-F4C7-4E7A-A2F2-896E5BF116B9}">
  <sheetPr codeName="Sheet6"/>
  <dimension ref="B2:F9"/>
  <sheetViews>
    <sheetView workbookViewId="0">
      <selection activeCell="E12" sqref="E12"/>
    </sheetView>
  </sheetViews>
  <sheetFormatPr defaultRowHeight="14.4" x14ac:dyDescent="0.55000000000000004"/>
  <sheetData>
    <row r="2" spans="2:6" x14ac:dyDescent="0.55000000000000004">
      <c r="C2" t="s">
        <v>163</v>
      </c>
    </row>
    <row r="4" spans="2:6" x14ac:dyDescent="0.55000000000000004">
      <c r="B4" t="s">
        <v>132</v>
      </c>
    </row>
    <row r="5" spans="2:6" x14ac:dyDescent="0.55000000000000004">
      <c r="B5" t="str">
        <f>Controls!D29</f>
        <v>12.0 lbs/gal.</v>
      </c>
      <c r="F5" t="s">
        <v>120</v>
      </c>
    </row>
    <row r="6" spans="2:6" x14ac:dyDescent="0.55000000000000004">
      <c r="F6" s="40">
        <f>Controls!$C$30</f>
        <v>1.44</v>
      </c>
    </row>
    <row r="8" spans="2:6" x14ac:dyDescent="0.55000000000000004">
      <c r="F8" t="s">
        <v>121</v>
      </c>
    </row>
    <row r="9" spans="2:6" x14ac:dyDescent="0.55000000000000004">
      <c r="F9" s="40">
        <f>Controls!$C$31</f>
        <v>1.2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List Box 3">
              <controlPr defaultSize="0" autoLine="0" autoPict="0">
                <anchor moveWithCells="1">
                  <from>
                    <xdr:col>1</xdr:col>
                    <xdr:colOff>19050</xdr:colOff>
                    <xdr:row>5</xdr:row>
                    <xdr:rowOff>49530</xdr:rowOff>
                  </from>
                  <to>
                    <xdr:col>3</xdr:col>
                    <xdr:colOff>605790</xdr:colOff>
                    <xdr:row>12</xdr:row>
                    <xdr:rowOff>110490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MainMenu">
                <anchor moveWithCells="1" sizeWithCells="1">
                  <from>
                    <xdr:col>5</xdr:col>
                    <xdr:colOff>99060</xdr:colOff>
                    <xdr:row>12</xdr:row>
                    <xdr:rowOff>140970</xdr:rowOff>
                  </from>
                  <to>
                    <xdr:col>7</xdr:col>
                    <xdr:colOff>461010</xdr:colOff>
                    <xdr:row>15</xdr:row>
                    <xdr:rowOff>72390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B3BBA-190A-4265-939C-9B93B9823E37}">
  <sheetPr codeName="Sheet7"/>
  <dimension ref="B4:B14"/>
  <sheetViews>
    <sheetView workbookViewId="0">
      <selection activeCell="F13" sqref="F13"/>
    </sheetView>
  </sheetViews>
  <sheetFormatPr defaultRowHeight="14.4" x14ac:dyDescent="0.55000000000000004"/>
  <sheetData>
    <row r="4" spans="2:2" x14ac:dyDescent="0.55000000000000004">
      <c r="B4" t="s">
        <v>133</v>
      </c>
    </row>
    <row r="14" spans="2:2" x14ac:dyDescent="0.55000000000000004">
      <c r="B14" t="s">
        <v>160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List Box 1">
              <controlPr defaultSize="0" autoLine="0" autoPict="0">
                <anchor moveWithCells="1">
                  <from>
                    <xdr:col>1</xdr:col>
                    <xdr:colOff>38100</xdr:colOff>
                    <xdr:row>4</xdr:row>
                    <xdr:rowOff>121920</xdr:rowOff>
                  </from>
                  <to>
                    <xdr:col>4</xdr:col>
                    <xdr:colOff>571500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List Box 4">
              <controlPr defaultSize="0" autoLine="0" autoPict="0">
                <anchor moveWithCells="1">
                  <from>
                    <xdr:col>0</xdr:col>
                    <xdr:colOff>632460</xdr:colOff>
                    <xdr:row>14</xdr:row>
                    <xdr:rowOff>3810</xdr:rowOff>
                  </from>
                  <to>
                    <xdr:col>3</xdr:col>
                    <xdr:colOff>628650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MainMenu">
                <anchor moveWithCells="1" sizeWithCells="1">
                  <from>
                    <xdr:col>6</xdr:col>
                    <xdr:colOff>99060</xdr:colOff>
                    <xdr:row>15</xdr:row>
                    <xdr:rowOff>140970</xdr:rowOff>
                  </from>
                  <to>
                    <xdr:col>8</xdr:col>
                    <xdr:colOff>461010</xdr:colOff>
                    <xdr:row>18</xdr:row>
                    <xdr:rowOff>72390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B9B8A-60FA-449E-9C1C-DC559FF53525}">
  <sheetPr codeName="Sheet2"/>
  <dimension ref="B3:D35"/>
  <sheetViews>
    <sheetView topLeftCell="A4" workbookViewId="0">
      <selection activeCell="C12" sqref="C12"/>
    </sheetView>
  </sheetViews>
  <sheetFormatPr defaultRowHeight="14.4" x14ac:dyDescent="0.55000000000000004"/>
  <cols>
    <col min="2" max="2" width="18.578125" bestFit="1" customWidth="1"/>
    <col min="4" max="4" width="9.15625" bestFit="1" customWidth="1"/>
  </cols>
  <sheetData>
    <row r="3" spans="2:4" x14ac:dyDescent="0.55000000000000004">
      <c r="B3" s="61" t="s">
        <v>14</v>
      </c>
      <c r="C3" s="61"/>
    </row>
    <row r="4" spans="2:4" x14ac:dyDescent="0.55000000000000004">
      <c r="B4" t="s">
        <v>13</v>
      </c>
    </row>
    <row r="5" spans="2:4" x14ac:dyDescent="0.55000000000000004">
      <c r="B5" t="s">
        <v>15</v>
      </c>
    </row>
    <row r="6" spans="2:4" x14ac:dyDescent="0.55000000000000004">
      <c r="B6" t="s">
        <v>16</v>
      </c>
      <c r="D6" t="e">
        <f>INDEX(Spacing,$C$6)</f>
        <v>#VALUE!</v>
      </c>
    </row>
    <row r="9" spans="2:4" x14ac:dyDescent="0.55000000000000004">
      <c r="B9" s="61" t="s">
        <v>102</v>
      </c>
      <c r="C9" s="61"/>
    </row>
    <row r="10" spans="2:4" x14ac:dyDescent="0.55000000000000004">
      <c r="B10" t="s">
        <v>17</v>
      </c>
      <c r="D10" t="e">
        <f>INDEX(Type_of_Product,$C$10)</f>
        <v>#VALUE!</v>
      </c>
    </row>
    <row r="11" spans="2:4" x14ac:dyDescent="0.55000000000000004">
      <c r="B11" t="s">
        <v>24</v>
      </c>
      <c r="D11" t="e">
        <f>INDEX(App_Type,$C$11)</f>
        <v>#VALUE!</v>
      </c>
    </row>
    <row r="12" spans="2:4" x14ac:dyDescent="0.55000000000000004">
      <c r="B12" t="s">
        <v>18</v>
      </c>
      <c r="D12" t="e">
        <f ca="1">INDEX(IF(Controls!$D$10=Tables!$B$16,INDIRECT("Liquid_"&amp;Controls!$C$11),INDIRECT('Nozzle Selection'!$K$12&amp;"_"&amp;Controls!$C$11)),$C$12)</f>
        <v>#VALUE!</v>
      </c>
    </row>
    <row r="15" spans="2:4" x14ac:dyDescent="0.55000000000000004">
      <c r="B15" t="s">
        <v>103</v>
      </c>
    </row>
    <row r="16" spans="2:4" x14ac:dyDescent="0.55000000000000004">
      <c r="B16" t="s">
        <v>104</v>
      </c>
    </row>
    <row r="17" spans="2:4" x14ac:dyDescent="0.55000000000000004">
      <c r="B17" t="s">
        <v>1</v>
      </c>
      <c r="D17" t="e">
        <f>INDEX(Boom_Size,C17)</f>
        <v>#VALUE!</v>
      </c>
    </row>
    <row r="18" spans="2:4" x14ac:dyDescent="0.55000000000000004">
      <c r="B18" t="s">
        <v>107</v>
      </c>
      <c r="D18" t="e">
        <f>INDEX(Spacing,C18)</f>
        <v>#VALUE!</v>
      </c>
    </row>
    <row r="20" spans="2:4" x14ac:dyDescent="0.55000000000000004">
      <c r="B20" t="s">
        <v>109</v>
      </c>
    </row>
    <row r="21" spans="2:4" x14ac:dyDescent="0.55000000000000004">
      <c r="B21" t="s">
        <v>13</v>
      </c>
    </row>
    <row r="22" spans="2:4" x14ac:dyDescent="0.55000000000000004">
      <c r="B22" t="s">
        <v>15</v>
      </c>
    </row>
    <row r="23" spans="2:4" x14ac:dyDescent="0.55000000000000004">
      <c r="B23" t="s">
        <v>110</v>
      </c>
      <c r="D23" t="e">
        <f>INDEX(Gallons,C23)</f>
        <v>#VALUE!</v>
      </c>
    </row>
    <row r="24" spans="2:4" x14ac:dyDescent="0.55000000000000004">
      <c r="B24" t="s">
        <v>111</v>
      </c>
      <c r="D24" t="e">
        <f>INDEX(Spacing,C24)</f>
        <v>#VALUE!</v>
      </c>
    </row>
    <row r="25" spans="2:4" x14ac:dyDescent="0.55000000000000004">
      <c r="B25" t="s">
        <v>112</v>
      </c>
      <c r="D25" t="e">
        <f>INDEX(Boom_Size,C25)</f>
        <v>#VALUE!</v>
      </c>
    </row>
    <row r="26" spans="2:4" x14ac:dyDescent="0.55000000000000004">
      <c r="B26" t="s">
        <v>118</v>
      </c>
      <c r="D26" s="38" t="e">
        <f>ROUNDDOWN(('Production Pump'!D9*'Production Pump'!D12*'Production Pump'!G9)/5940,3)</f>
        <v>#VALUE!</v>
      </c>
    </row>
    <row r="28" spans="2:4" x14ac:dyDescent="0.55000000000000004">
      <c r="B28" t="s">
        <v>131</v>
      </c>
    </row>
    <row r="29" spans="2:4" x14ac:dyDescent="0.55000000000000004">
      <c r="B29" t="s">
        <v>132</v>
      </c>
      <c r="C29">
        <v>8</v>
      </c>
      <c r="D29" t="str">
        <f>INDEX(Weight_of_Solution,C29)</f>
        <v>12.0 lbs/gal.</v>
      </c>
    </row>
    <row r="30" spans="2:4" x14ac:dyDescent="0.55000000000000004">
      <c r="B30" t="s">
        <v>120</v>
      </c>
      <c r="C30">
        <f>INDEX(Specific_Gravity,C29)</f>
        <v>1.44</v>
      </c>
    </row>
    <row r="31" spans="2:4" x14ac:dyDescent="0.55000000000000004">
      <c r="B31" t="s">
        <v>121</v>
      </c>
      <c r="C31">
        <f>INDEX(Conversion_Factor,C29)</f>
        <v>1.2</v>
      </c>
    </row>
    <row r="33" spans="2:3" x14ac:dyDescent="0.55000000000000004">
      <c r="B33" t="s">
        <v>159</v>
      </c>
    </row>
    <row r="34" spans="2:3" x14ac:dyDescent="0.55000000000000004">
      <c r="B34" t="s">
        <v>133</v>
      </c>
      <c r="C34">
        <v>4</v>
      </c>
    </row>
    <row r="35" spans="2:3" x14ac:dyDescent="0.55000000000000004">
      <c r="B35" t="s">
        <v>160</v>
      </c>
      <c r="C35">
        <v>1</v>
      </c>
    </row>
  </sheetData>
  <mergeCells count="2">
    <mergeCell ref="B3:C3"/>
    <mergeCell ref="B9:C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2:Q40"/>
  <sheetViews>
    <sheetView topLeftCell="F3" zoomScaleNormal="100" workbookViewId="0">
      <selection activeCell="F38" sqref="F38"/>
    </sheetView>
  </sheetViews>
  <sheetFormatPr defaultRowHeight="14.4" x14ac:dyDescent="0.55000000000000004"/>
  <cols>
    <col min="3" max="3" width="10.15625" bestFit="1" customWidth="1"/>
    <col min="4" max="5" width="19.20703125" bestFit="1" customWidth="1"/>
    <col min="6" max="6" width="9.578125" bestFit="1" customWidth="1"/>
    <col min="7" max="7" width="16" customWidth="1"/>
    <col min="8" max="8" width="16.83984375" customWidth="1"/>
    <col min="9" max="9" width="15.68359375" customWidth="1"/>
  </cols>
  <sheetData>
    <row r="2" spans="2:17" x14ac:dyDescent="0.55000000000000004">
      <c r="B2" s="1" t="s">
        <v>0</v>
      </c>
      <c r="C2" s="1" t="s">
        <v>1</v>
      </c>
      <c r="D2" s="1" t="s">
        <v>2</v>
      </c>
      <c r="G2" s="1" t="s">
        <v>3</v>
      </c>
      <c r="H2" s="1" t="s">
        <v>6</v>
      </c>
    </row>
    <row r="3" spans="2:17" x14ac:dyDescent="0.55000000000000004">
      <c r="B3" s="1">
        <v>15</v>
      </c>
      <c r="C3" s="1">
        <v>50</v>
      </c>
      <c r="D3" s="1">
        <v>400</v>
      </c>
      <c r="G3" t="s">
        <v>4</v>
      </c>
      <c r="H3" t="s">
        <v>7</v>
      </c>
      <c r="I3" t="str">
        <f>$P$4&amp;COUNTA($I$4:I4)</f>
        <v>Unit1</v>
      </c>
      <c r="J3" t="str">
        <f>$P$4&amp;COUNTA($I$4:J4)</f>
        <v>Unit2</v>
      </c>
      <c r="K3" t="str">
        <f>$P$4&amp;COUNTA($I$4:K4)</f>
        <v>Unit3</v>
      </c>
      <c r="L3" t="str">
        <f>$P$4&amp;COUNTA($I$4:L4)</f>
        <v>Unit4</v>
      </c>
      <c r="M3" t="str">
        <f>$P$4&amp;COUNTA($I$4:M4)</f>
        <v>Unit5</v>
      </c>
      <c r="N3" t="str">
        <f>$P$4&amp;COUNTA($I$4:N4)</f>
        <v>Unit6</v>
      </c>
      <c r="O3" t="str">
        <f>$P$4&amp;COUNTA($I$4:O4)</f>
        <v>Unit7</v>
      </c>
    </row>
    <row r="4" spans="2:17" x14ac:dyDescent="0.55000000000000004">
      <c r="B4" s="1">
        <v>20</v>
      </c>
      <c r="C4" s="1">
        <v>60</v>
      </c>
      <c r="D4" s="1">
        <v>500</v>
      </c>
      <c r="G4" t="s">
        <v>5</v>
      </c>
      <c r="H4" t="s">
        <v>8</v>
      </c>
      <c r="I4" t="s">
        <v>135</v>
      </c>
      <c r="J4" t="s">
        <v>139</v>
      </c>
      <c r="K4" t="s">
        <v>141</v>
      </c>
      <c r="L4" t="s">
        <v>144</v>
      </c>
      <c r="M4" t="s">
        <v>146</v>
      </c>
      <c r="N4" t="s">
        <v>150</v>
      </c>
      <c r="O4" t="s">
        <v>156</v>
      </c>
      <c r="P4" t="s">
        <v>158</v>
      </c>
    </row>
    <row r="5" spans="2:17" x14ac:dyDescent="0.55000000000000004">
      <c r="B5" s="1">
        <v>30</v>
      </c>
      <c r="C5" s="1">
        <v>70</v>
      </c>
      <c r="D5" s="1">
        <v>600</v>
      </c>
      <c r="I5" t="s">
        <v>136</v>
      </c>
      <c r="K5" t="s">
        <v>142</v>
      </c>
      <c r="M5" t="s">
        <v>147</v>
      </c>
      <c r="N5" t="s">
        <v>151</v>
      </c>
      <c r="O5" t="s">
        <v>157</v>
      </c>
      <c r="P5" t="s">
        <v>134</v>
      </c>
      <c r="Q5">
        <v>1</v>
      </c>
    </row>
    <row r="6" spans="2:17" x14ac:dyDescent="0.55000000000000004">
      <c r="C6" s="1">
        <v>80</v>
      </c>
      <c r="D6" s="1">
        <v>700</v>
      </c>
      <c r="I6" t="s">
        <v>137</v>
      </c>
      <c r="M6" t="s">
        <v>148</v>
      </c>
      <c r="N6" t="s">
        <v>152</v>
      </c>
      <c r="P6" t="s">
        <v>138</v>
      </c>
      <c r="Q6">
        <v>2</v>
      </c>
    </row>
    <row r="7" spans="2:17" x14ac:dyDescent="0.55000000000000004">
      <c r="C7" s="1">
        <v>90</v>
      </c>
      <c r="D7" s="1">
        <v>750</v>
      </c>
      <c r="N7" t="s">
        <v>153</v>
      </c>
      <c r="P7" t="s">
        <v>140</v>
      </c>
      <c r="Q7">
        <v>3</v>
      </c>
    </row>
    <row r="8" spans="2:17" x14ac:dyDescent="0.55000000000000004">
      <c r="C8" s="1">
        <v>100</v>
      </c>
      <c r="D8" s="1">
        <v>800</v>
      </c>
      <c r="N8" t="s">
        <v>154</v>
      </c>
      <c r="P8" t="s">
        <v>143</v>
      </c>
      <c r="Q8">
        <v>4</v>
      </c>
    </row>
    <row r="9" spans="2:17" x14ac:dyDescent="0.55000000000000004">
      <c r="C9" s="1">
        <v>110</v>
      </c>
      <c r="D9" s="1">
        <v>850</v>
      </c>
      <c r="G9" t="s">
        <v>119</v>
      </c>
      <c r="H9" t="s">
        <v>120</v>
      </c>
      <c r="I9" t="s">
        <v>121</v>
      </c>
      <c r="K9" s="39"/>
      <c r="P9" t="s">
        <v>145</v>
      </c>
      <c r="Q9">
        <v>5</v>
      </c>
    </row>
    <row r="10" spans="2:17" x14ac:dyDescent="0.55000000000000004">
      <c r="C10" s="1">
        <v>120</v>
      </c>
      <c r="D10" s="1">
        <v>1000</v>
      </c>
      <c r="G10" t="s">
        <v>122</v>
      </c>
      <c r="H10">
        <v>0.84</v>
      </c>
      <c r="I10">
        <v>0.92</v>
      </c>
      <c r="K10" s="39"/>
      <c r="P10" t="s">
        <v>149</v>
      </c>
      <c r="Q10">
        <v>6</v>
      </c>
    </row>
    <row r="11" spans="2:17" x14ac:dyDescent="0.55000000000000004">
      <c r="C11" s="1"/>
      <c r="D11" s="1">
        <v>1200</v>
      </c>
      <c r="G11" t="s">
        <v>123</v>
      </c>
      <c r="H11">
        <v>0.96</v>
      </c>
      <c r="I11">
        <v>0.88</v>
      </c>
      <c r="P11" t="s">
        <v>155</v>
      </c>
      <c r="Q11">
        <v>7</v>
      </c>
    </row>
    <row r="12" spans="2:17" x14ac:dyDescent="0.55000000000000004">
      <c r="C12" s="1"/>
      <c r="D12" s="1">
        <v>1600</v>
      </c>
      <c r="G12" t="s">
        <v>129</v>
      </c>
      <c r="H12">
        <v>1</v>
      </c>
      <c r="I12">
        <v>1</v>
      </c>
      <c r="K12" s="39" t="s">
        <v>145</v>
      </c>
      <c r="L12" t="s">
        <v>146</v>
      </c>
    </row>
    <row r="13" spans="2:17" x14ac:dyDescent="0.55000000000000004">
      <c r="G13" t="s">
        <v>124</v>
      </c>
      <c r="H13">
        <v>1.08</v>
      </c>
      <c r="I13">
        <v>1.04</v>
      </c>
      <c r="K13" s="39"/>
      <c r="L13" t="s">
        <v>147</v>
      </c>
    </row>
    <row r="14" spans="2:17" ht="14.7" thickBot="1" x14ac:dyDescent="0.6">
      <c r="B14" t="s">
        <v>17</v>
      </c>
      <c r="E14" t="s">
        <v>29</v>
      </c>
      <c r="G14" t="s">
        <v>125</v>
      </c>
      <c r="H14">
        <v>1.2</v>
      </c>
      <c r="I14">
        <v>1.1000000000000001</v>
      </c>
      <c r="K14" s="39"/>
      <c r="L14" t="s">
        <v>148</v>
      </c>
    </row>
    <row r="15" spans="2:17" ht="14.7" thickBot="1" x14ac:dyDescent="0.6">
      <c r="B15" s="20" t="s">
        <v>19</v>
      </c>
      <c r="E15" s="21" t="s">
        <v>24</v>
      </c>
      <c r="F15" s="17"/>
      <c r="G15" t="s">
        <v>130</v>
      </c>
      <c r="H15">
        <v>1.28</v>
      </c>
      <c r="I15">
        <v>1.1299999999999999</v>
      </c>
      <c r="K15" s="61" t="s">
        <v>149</v>
      </c>
    </row>
    <row r="16" spans="2:17" ht="14.7" thickBot="1" x14ac:dyDescent="0.6">
      <c r="B16" s="20" t="s">
        <v>20</v>
      </c>
      <c r="D16" s="22" t="s">
        <v>22</v>
      </c>
      <c r="E16" s="16" t="s">
        <v>25</v>
      </c>
      <c r="F16" s="17"/>
      <c r="G16" t="s">
        <v>126</v>
      </c>
      <c r="H16">
        <v>1.32</v>
      </c>
      <c r="I16">
        <v>1.1499999999999999</v>
      </c>
      <c r="K16" s="61"/>
    </row>
    <row r="17" spans="2:15" ht="14.7" thickBot="1" x14ac:dyDescent="0.6">
      <c r="D17" s="22" t="s">
        <v>22</v>
      </c>
      <c r="E17" s="18" t="s">
        <v>26</v>
      </c>
      <c r="F17" s="17"/>
      <c r="G17" t="s">
        <v>127</v>
      </c>
      <c r="H17">
        <v>1.44</v>
      </c>
      <c r="I17">
        <v>1.2</v>
      </c>
      <c r="K17" s="61"/>
    </row>
    <row r="18" spans="2:15" ht="14.7" thickBot="1" x14ac:dyDescent="0.6">
      <c r="B18" t="s">
        <v>21</v>
      </c>
      <c r="D18" s="22" t="s">
        <v>22</v>
      </c>
      <c r="E18" s="18" t="s">
        <v>27</v>
      </c>
      <c r="F18" s="17"/>
      <c r="G18" t="s">
        <v>128</v>
      </c>
      <c r="H18">
        <v>1.68</v>
      </c>
      <c r="I18">
        <v>1.3</v>
      </c>
      <c r="K18" s="61"/>
    </row>
    <row r="19" spans="2:15" ht="14.7" thickBot="1" x14ac:dyDescent="0.6">
      <c r="B19" s="20" t="s">
        <v>22</v>
      </c>
      <c r="D19" s="22" t="s">
        <v>22</v>
      </c>
      <c r="E19" s="19" t="s">
        <v>28</v>
      </c>
      <c r="F19" s="17"/>
      <c r="K19" s="61"/>
    </row>
    <row r="20" spans="2:15" ht="24.3" customHeight="1" thickBot="1" x14ac:dyDescent="0.6">
      <c r="B20" s="20" t="s">
        <v>23</v>
      </c>
      <c r="D20" s="22" t="s">
        <v>23</v>
      </c>
      <c r="E20" s="16" t="s">
        <v>25</v>
      </c>
      <c r="F20" s="17"/>
      <c r="K20" s="61" t="s">
        <v>155</v>
      </c>
    </row>
    <row r="21" spans="2:15" ht="14.7" thickBot="1" x14ac:dyDescent="0.6">
      <c r="D21" s="22" t="s">
        <v>23</v>
      </c>
      <c r="E21" s="18" t="s">
        <v>26</v>
      </c>
      <c r="F21" s="17"/>
      <c r="K21" s="61"/>
    </row>
    <row r="22" spans="2:15" ht="14.7" thickBot="1" x14ac:dyDescent="0.6">
      <c r="D22" s="22" t="s">
        <v>23</v>
      </c>
      <c r="E22" s="18" t="s">
        <v>27</v>
      </c>
      <c r="F22" s="17"/>
    </row>
    <row r="23" spans="2:15" ht="14.7" thickBot="1" x14ac:dyDescent="0.6">
      <c r="D23" s="22" t="s">
        <v>23</v>
      </c>
      <c r="E23" s="19" t="s">
        <v>28</v>
      </c>
      <c r="F23" s="17"/>
    </row>
    <row r="24" spans="2:15" x14ac:dyDescent="0.55000000000000004">
      <c r="D24" s="22" t="s">
        <v>82</v>
      </c>
      <c r="E24" s="16" t="s">
        <v>25</v>
      </c>
      <c r="F24" s="17"/>
    </row>
    <row r="25" spans="2:15" ht="14.7" thickBot="1" x14ac:dyDescent="0.6">
      <c r="D25" s="23" t="s">
        <v>82</v>
      </c>
      <c r="E25" s="19" t="s">
        <v>27</v>
      </c>
      <c r="F25" s="17"/>
    </row>
    <row r="26" spans="2:15" ht="14.7" thickBot="1" x14ac:dyDescent="0.6">
      <c r="F26">
        <v>1</v>
      </c>
      <c r="G26">
        <v>2</v>
      </c>
      <c r="H26">
        <v>3</v>
      </c>
      <c r="I26">
        <v>4</v>
      </c>
      <c r="J26">
        <v>1</v>
      </c>
      <c r="K26">
        <v>2</v>
      </c>
      <c r="L26">
        <v>3</v>
      </c>
      <c r="M26">
        <v>4</v>
      </c>
      <c r="N26">
        <v>1</v>
      </c>
      <c r="O26">
        <v>2</v>
      </c>
    </row>
    <row r="27" spans="2:15" ht="14.7" thickBot="1" x14ac:dyDescent="0.6">
      <c r="F27" s="22" t="s">
        <v>22</v>
      </c>
      <c r="G27" s="22" t="s">
        <v>22</v>
      </c>
      <c r="H27" s="22" t="s">
        <v>22</v>
      </c>
      <c r="I27" s="22" t="s">
        <v>22</v>
      </c>
      <c r="J27" s="22" t="s">
        <v>23</v>
      </c>
      <c r="K27" s="22" t="s">
        <v>23</v>
      </c>
      <c r="L27" s="22" t="s">
        <v>23</v>
      </c>
      <c r="M27" s="22" t="s">
        <v>23</v>
      </c>
      <c r="N27" s="22" t="s">
        <v>82</v>
      </c>
      <c r="O27" s="23" t="s">
        <v>82</v>
      </c>
    </row>
    <row r="28" spans="2:15" ht="14.7" thickBot="1" x14ac:dyDescent="0.6">
      <c r="E28" s="21" t="s">
        <v>24</v>
      </c>
      <c r="F28" s="16" t="s">
        <v>25</v>
      </c>
      <c r="G28" s="18" t="s">
        <v>26</v>
      </c>
      <c r="H28" s="18" t="s">
        <v>27</v>
      </c>
      <c r="I28" s="19" t="s">
        <v>28</v>
      </c>
      <c r="J28" s="16" t="s">
        <v>25</v>
      </c>
      <c r="K28" s="18" t="s">
        <v>26</v>
      </c>
      <c r="L28" s="18" t="s">
        <v>27</v>
      </c>
      <c r="M28" s="19" t="s">
        <v>28</v>
      </c>
      <c r="N28" s="16" t="s">
        <v>25</v>
      </c>
      <c r="O28" s="19" t="s">
        <v>27</v>
      </c>
    </row>
    <row r="29" spans="2:15" x14ac:dyDescent="0.55000000000000004">
      <c r="E29" s="17"/>
      <c r="F29" s="17" t="str">
        <f>F27&amp;"_"&amp;F26</f>
        <v>Systemic_1</v>
      </c>
      <c r="G29" s="17" t="str">
        <f t="shared" ref="G29:O29" si="0">G27&amp;"_"&amp;G26</f>
        <v>Systemic_2</v>
      </c>
      <c r="H29" s="17" t="str">
        <f t="shared" si="0"/>
        <v>Systemic_3</v>
      </c>
      <c r="I29" s="17" t="str">
        <f t="shared" si="0"/>
        <v>Systemic_4</v>
      </c>
      <c r="J29" s="17" t="str">
        <f t="shared" si="0"/>
        <v>Contact_1</v>
      </c>
      <c r="K29" s="17" t="str">
        <f t="shared" si="0"/>
        <v>Contact_2</v>
      </c>
      <c r="L29" s="17" t="str">
        <f t="shared" si="0"/>
        <v>Contact_3</v>
      </c>
      <c r="M29" s="17" t="str">
        <f t="shared" si="0"/>
        <v>Contact_4</v>
      </c>
      <c r="N29" s="17" t="str">
        <f t="shared" si="0"/>
        <v>Liquid_1</v>
      </c>
      <c r="O29" s="17" t="str">
        <f t="shared" si="0"/>
        <v>Liquid_2</v>
      </c>
    </row>
    <row r="30" spans="2:15" x14ac:dyDescent="0.55000000000000004">
      <c r="F30" t="s">
        <v>30</v>
      </c>
      <c r="G30" t="s">
        <v>52</v>
      </c>
      <c r="H30" t="s">
        <v>52</v>
      </c>
      <c r="I30" t="s">
        <v>60</v>
      </c>
      <c r="J30" t="s">
        <v>30</v>
      </c>
      <c r="K30" t="s">
        <v>73</v>
      </c>
      <c r="L30" t="s">
        <v>76</v>
      </c>
      <c r="M30" t="s">
        <v>60</v>
      </c>
      <c r="N30" t="s">
        <v>83</v>
      </c>
      <c r="O30" t="s">
        <v>92</v>
      </c>
    </row>
    <row r="31" spans="2:15" x14ac:dyDescent="0.55000000000000004">
      <c r="F31" t="s">
        <v>32</v>
      </c>
      <c r="G31" t="s">
        <v>54</v>
      </c>
      <c r="H31" t="s">
        <v>58</v>
      </c>
      <c r="I31" t="s">
        <v>62</v>
      </c>
      <c r="J31" t="s">
        <v>36</v>
      </c>
      <c r="K31" t="s">
        <v>56</v>
      </c>
      <c r="L31" t="s">
        <v>73</v>
      </c>
      <c r="M31" t="s">
        <v>62</v>
      </c>
      <c r="N31" t="s">
        <v>85</v>
      </c>
      <c r="O31" t="s">
        <v>95</v>
      </c>
    </row>
    <row r="32" spans="2:15" x14ac:dyDescent="0.55000000000000004">
      <c r="F32" t="s">
        <v>34</v>
      </c>
      <c r="G32" t="s">
        <v>56</v>
      </c>
      <c r="H32" t="s">
        <v>56</v>
      </c>
      <c r="I32" t="s">
        <v>64</v>
      </c>
      <c r="J32" t="s">
        <v>67</v>
      </c>
      <c r="L32" t="s">
        <v>56</v>
      </c>
      <c r="M32" t="s">
        <v>64</v>
      </c>
      <c r="N32" t="s">
        <v>87</v>
      </c>
      <c r="O32" t="s">
        <v>89</v>
      </c>
    </row>
    <row r="33" spans="6:14" x14ac:dyDescent="0.55000000000000004">
      <c r="F33" t="s">
        <v>36</v>
      </c>
      <c r="J33" t="s">
        <v>69</v>
      </c>
      <c r="N33" t="s">
        <v>89</v>
      </c>
    </row>
    <row r="34" spans="6:14" x14ac:dyDescent="0.55000000000000004">
      <c r="F34" t="s">
        <v>38</v>
      </c>
      <c r="J34" t="s">
        <v>70</v>
      </c>
      <c r="N34" t="s">
        <v>38</v>
      </c>
    </row>
    <row r="35" spans="6:14" x14ac:dyDescent="0.55000000000000004">
      <c r="F35" t="s">
        <v>40</v>
      </c>
      <c r="J35" t="s">
        <v>48</v>
      </c>
      <c r="N35" t="s">
        <v>92</v>
      </c>
    </row>
    <row r="36" spans="6:14" x14ac:dyDescent="0.55000000000000004">
      <c r="F36" t="s">
        <v>42</v>
      </c>
      <c r="J36" t="s">
        <v>50</v>
      </c>
    </row>
    <row r="37" spans="6:14" x14ac:dyDescent="0.55000000000000004">
      <c r="F37" t="s">
        <v>44</v>
      </c>
    </row>
    <row r="38" spans="6:14" x14ac:dyDescent="0.55000000000000004">
      <c r="F38" t="s">
        <v>46</v>
      </c>
    </row>
    <row r="39" spans="6:14" x14ac:dyDescent="0.55000000000000004">
      <c r="F39" t="s">
        <v>48</v>
      </c>
    </row>
    <row r="40" spans="6:14" x14ac:dyDescent="0.55000000000000004">
      <c r="F40" t="s">
        <v>50</v>
      </c>
    </row>
  </sheetData>
  <mergeCells count="2">
    <mergeCell ref="K20:K21"/>
    <mergeCell ref="K15:K19"/>
  </mergeCells>
  <hyperlinks>
    <hyperlink ref="B15" r:id="rId1" tooltip="Crop Protection" display="http://www.teejet.de/english/home/selection-guides/spray-nozzles/crop-protection.aspx" xr:uid="{29F1F2D2-5B75-4D9A-98C4-C334BAD0AD20}"/>
    <hyperlink ref="B16" r:id="rId2" tooltip="Liquid Fertilizer" display="http://www.teejet.de/english/home/selection-guides/spray-nozzles/liquid-fertilizer.aspx" xr:uid="{7CD42CAD-EB0B-43E7-88C9-28DE53E7BCB8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CF4DF-AD4C-432C-9F00-2105A7778172}">
  <sheetPr codeName="Sheet9"/>
  <dimension ref="A4:B91"/>
  <sheetViews>
    <sheetView zoomScale="85" zoomScaleNormal="85" workbookViewId="0">
      <selection activeCell="J10" sqref="J10"/>
    </sheetView>
  </sheetViews>
  <sheetFormatPr defaultRowHeight="14.4" x14ac:dyDescent="0.55000000000000004"/>
  <sheetData>
    <row r="4" spans="1:2" x14ac:dyDescent="0.55000000000000004">
      <c r="A4" t="s">
        <v>99</v>
      </c>
      <c r="B4" t="s">
        <v>52</v>
      </c>
    </row>
    <row r="5" spans="1:2" x14ac:dyDescent="0.55000000000000004">
      <c r="A5" t="s">
        <v>100</v>
      </c>
      <c r="B5" t="s">
        <v>53</v>
      </c>
    </row>
    <row r="6" spans="1:2" x14ac:dyDescent="0.55000000000000004">
      <c r="B6" t="s">
        <v>54</v>
      </c>
    </row>
    <row r="7" spans="1:2" x14ac:dyDescent="0.55000000000000004">
      <c r="B7" t="s">
        <v>55</v>
      </c>
    </row>
    <row r="8" spans="1:2" x14ac:dyDescent="0.55000000000000004">
      <c r="B8" t="s">
        <v>56</v>
      </c>
    </row>
    <row r="9" spans="1:2" x14ac:dyDescent="0.55000000000000004">
      <c r="B9" t="s">
        <v>57</v>
      </c>
    </row>
    <row r="10" spans="1:2" x14ac:dyDescent="0.55000000000000004">
      <c r="B10" t="s">
        <v>30</v>
      </c>
    </row>
    <row r="11" spans="1:2" x14ac:dyDescent="0.55000000000000004">
      <c r="B11" t="s">
        <v>31</v>
      </c>
    </row>
    <row r="12" spans="1:2" x14ac:dyDescent="0.55000000000000004">
      <c r="B12" t="s">
        <v>32</v>
      </c>
    </row>
    <row r="13" spans="1:2" x14ac:dyDescent="0.55000000000000004">
      <c r="B13" t="s">
        <v>33</v>
      </c>
    </row>
    <row r="14" spans="1:2" x14ac:dyDescent="0.55000000000000004">
      <c r="B14" t="s">
        <v>34</v>
      </c>
    </row>
    <row r="15" spans="1:2" x14ac:dyDescent="0.55000000000000004">
      <c r="B15" t="s">
        <v>35</v>
      </c>
    </row>
    <row r="16" spans="1:2" x14ac:dyDescent="0.55000000000000004">
      <c r="B16" t="s">
        <v>36</v>
      </c>
    </row>
    <row r="17" spans="2:2" x14ac:dyDescent="0.55000000000000004">
      <c r="B17" t="s">
        <v>37</v>
      </c>
    </row>
    <row r="18" spans="2:2" x14ac:dyDescent="0.55000000000000004">
      <c r="B18" t="s">
        <v>38</v>
      </c>
    </row>
    <row r="19" spans="2:2" x14ac:dyDescent="0.55000000000000004">
      <c r="B19" t="s">
        <v>39</v>
      </c>
    </row>
    <row r="20" spans="2:2" x14ac:dyDescent="0.55000000000000004">
      <c r="B20" t="s">
        <v>40</v>
      </c>
    </row>
    <row r="21" spans="2:2" x14ac:dyDescent="0.55000000000000004">
      <c r="B21" t="s">
        <v>41</v>
      </c>
    </row>
    <row r="22" spans="2:2" x14ac:dyDescent="0.55000000000000004">
      <c r="B22" t="s">
        <v>42</v>
      </c>
    </row>
    <row r="23" spans="2:2" x14ac:dyDescent="0.55000000000000004">
      <c r="B23" t="s">
        <v>43</v>
      </c>
    </row>
    <row r="24" spans="2:2" x14ac:dyDescent="0.55000000000000004">
      <c r="B24" t="s">
        <v>44</v>
      </c>
    </row>
    <row r="25" spans="2:2" x14ac:dyDescent="0.55000000000000004">
      <c r="B25" t="s">
        <v>45</v>
      </c>
    </row>
    <row r="26" spans="2:2" x14ac:dyDescent="0.55000000000000004">
      <c r="B26" t="s">
        <v>46</v>
      </c>
    </row>
    <row r="27" spans="2:2" x14ac:dyDescent="0.55000000000000004">
      <c r="B27" t="s">
        <v>47</v>
      </c>
    </row>
    <row r="28" spans="2:2" x14ac:dyDescent="0.55000000000000004">
      <c r="B28" t="s">
        <v>48</v>
      </c>
    </row>
    <row r="29" spans="2:2" x14ac:dyDescent="0.55000000000000004">
      <c r="B29" t="s">
        <v>49</v>
      </c>
    </row>
    <row r="30" spans="2:2" x14ac:dyDescent="0.55000000000000004">
      <c r="B30" t="s">
        <v>50</v>
      </c>
    </row>
    <row r="31" spans="2:2" x14ac:dyDescent="0.55000000000000004">
      <c r="B31" t="s">
        <v>51</v>
      </c>
    </row>
    <row r="32" spans="2:2" x14ac:dyDescent="0.55000000000000004">
      <c r="B32" t="s">
        <v>52</v>
      </c>
    </row>
    <row r="33" spans="2:2" x14ac:dyDescent="0.55000000000000004">
      <c r="B33" t="s">
        <v>53</v>
      </c>
    </row>
    <row r="34" spans="2:2" x14ac:dyDescent="0.55000000000000004">
      <c r="B34" t="s">
        <v>58</v>
      </c>
    </row>
    <row r="35" spans="2:2" x14ac:dyDescent="0.55000000000000004">
      <c r="B35" t="s">
        <v>59</v>
      </c>
    </row>
    <row r="36" spans="2:2" x14ac:dyDescent="0.55000000000000004">
      <c r="B36" t="s">
        <v>56</v>
      </c>
    </row>
    <row r="37" spans="2:2" x14ac:dyDescent="0.55000000000000004">
      <c r="B37" t="s">
        <v>57</v>
      </c>
    </row>
    <row r="38" spans="2:2" x14ac:dyDescent="0.55000000000000004">
      <c r="B38" t="s">
        <v>60</v>
      </c>
    </row>
    <row r="39" spans="2:2" x14ac:dyDescent="0.55000000000000004">
      <c r="B39" t="s">
        <v>61</v>
      </c>
    </row>
    <row r="40" spans="2:2" x14ac:dyDescent="0.55000000000000004">
      <c r="B40" t="s">
        <v>62</v>
      </c>
    </row>
    <row r="41" spans="2:2" x14ac:dyDescent="0.55000000000000004">
      <c r="B41" t="s">
        <v>63</v>
      </c>
    </row>
    <row r="42" spans="2:2" x14ac:dyDescent="0.55000000000000004">
      <c r="B42" t="s">
        <v>64</v>
      </c>
    </row>
    <row r="43" spans="2:2" x14ac:dyDescent="0.55000000000000004">
      <c r="B43" t="s">
        <v>65</v>
      </c>
    </row>
    <row r="44" spans="2:2" x14ac:dyDescent="0.55000000000000004">
      <c r="B44" t="s">
        <v>30</v>
      </c>
    </row>
    <row r="45" spans="2:2" x14ac:dyDescent="0.55000000000000004">
      <c r="B45" t="s">
        <v>31</v>
      </c>
    </row>
    <row r="46" spans="2:2" x14ac:dyDescent="0.55000000000000004">
      <c r="B46" t="s">
        <v>36</v>
      </c>
    </row>
    <row r="47" spans="2:2" x14ac:dyDescent="0.55000000000000004">
      <c r="B47" t="s">
        <v>66</v>
      </c>
    </row>
    <row r="48" spans="2:2" x14ac:dyDescent="0.55000000000000004">
      <c r="B48" t="s">
        <v>67</v>
      </c>
    </row>
    <row r="49" spans="2:2" x14ac:dyDescent="0.55000000000000004">
      <c r="B49" t="s">
        <v>68</v>
      </c>
    </row>
    <row r="50" spans="2:2" x14ac:dyDescent="0.55000000000000004">
      <c r="B50" t="s">
        <v>69</v>
      </c>
    </row>
    <row r="51" spans="2:2" x14ac:dyDescent="0.55000000000000004">
      <c r="B51" t="s">
        <v>68</v>
      </c>
    </row>
    <row r="52" spans="2:2" x14ac:dyDescent="0.55000000000000004">
      <c r="B52" t="s">
        <v>70</v>
      </c>
    </row>
    <row r="53" spans="2:2" x14ac:dyDescent="0.55000000000000004">
      <c r="B53" t="s">
        <v>71</v>
      </c>
    </row>
    <row r="54" spans="2:2" x14ac:dyDescent="0.55000000000000004">
      <c r="B54" t="s">
        <v>48</v>
      </c>
    </row>
    <row r="55" spans="2:2" x14ac:dyDescent="0.55000000000000004">
      <c r="B55" t="s">
        <v>72</v>
      </c>
    </row>
    <row r="56" spans="2:2" x14ac:dyDescent="0.55000000000000004">
      <c r="B56" t="s">
        <v>50</v>
      </c>
    </row>
    <row r="57" spans="2:2" x14ac:dyDescent="0.55000000000000004">
      <c r="B57" t="s">
        <v>51</v>
      </c>
    </row>
    <row r="58" spans="2:2" x14ac:dyDescent="0.55000000000000004">
      <c r="B58" t="s">
        <v>73</v>
      </c>
    </row>
    <row r="59" spans="2:2" x14ac:dyDescent="0.55000000000000004">
      <c r="B59" t="s">
        <v>74</v>
      </c>
    </row>
    <row r="60" spans="2:2" x14ac:dyDescent="0.55000000000000004">
      <c r="B60" t="s">
        <v>56</v>
      </c>
    </row>
    <row r="61" spans="2:2" x14ac:dyDescent="0.55000000000000004">
      <c r="B61" t="s">
        <v>75</v>
      </c>
    </row>
    <row r="62" spans="2:2" x14ac:dyDescent="0.55000000000000004">
      <c r="B62" t="s">
        <v>76</v>
      </c>
    </row>
    <row r="63" spans="2:2" x14ac:dyDescent="0.55000000000000004">
      <c r="B63" t="s">
        <v>77</v>
      </c>
    </row>
    <row r="64" spans="2:2" x14ac:dyDescent="0.55000000000000004">
      <c r="B64" t="s">
        <v>73</v>
      </c>
    </row>
    <row r="65" spans="2:2" x14ac:dyDescent="0.55000000000000004">
      <c r="B65" t="s">
        <v>78</v>
      </c>
    </row>
    <row r="66" spans="2:2" x14ac:dyDescent="0.55000000000000004">
      <c r="B66" t="s">
        <v>56</v>
      </c>
    </row>
    <row r="67" spans="2:2" x14ac:dyDescent="0.55000000000000004">
      <c r="B67" t="s">
        <v>57</v>
      </c>
    </row>
    <row r="68" spans="2:2" x14ac:dyDescent="0.55000000000000004">
      <c r="B68" t="s">
        <v>60</v>
      </c>
    </row>
    <row r="69" spans="2:2" x14ac:dyDescent="0.55000000000000004">
      <c r="B69" t="s">
        <v>79</v>
      </c>
    </row>
    <row r="70" spans="2:2" x14ac:dyDescent="0.55000000000000004">
      <c r="B70" t="s">
        <v>62</v>
      </c>
    </row>
    <row r="71" spans="2:2" x14ac:dyDescent="0.55000000000000004">
      <c r="B71" t="s">
        <v>80</v>
      </c>
    </row>
    <row r="72" spans="2:2" x14ac:dyDescent="0.55000000000000004">
      <c r="B72" t="s">
        <v>64</v>
      </c>
    </row>
    <row r="73" spans="2:2" x14ac:dyDescent="0.55000000000000004">
      <c r="B73" t="s">
        <v>81</v>
      </c>
    </row>
    <row r="74" spans="2:2" x14ac:dyDescent="0.55000000000000004">
      <c r="B74" t="s">
        <v>83</v>
      </c>
    </row>
    <row r="75" spans="2:2" x14ac:dyDescent="0.55000000000000004">
      <c r="B75" t="s">
        <v>84</v>
      </c>
    </row>
    <row r="76" spans="2:2" x14ac:dyDescent="0.55000000000000004">
      <c r="B76" t="s">
        <v>85</v>
      </c>
    </row>
    <row r="77" spans="2:2" x14ac:dyDescent="0.55000000000000004">
      <c r="B77" t="s">
        <v>86</v>
      </c>
    </row>
    <row r="78" spans="2:2" x14ac:dyDescent="0.55000000000000004">
      <c r="B78" t="s">
        <v>87</v>
      </c>
    </row>
    <row r="79" spans="2:2" x14ac:dyDescent="0.55000000000000004">
      <c r="B79" t="s">
        <v>88</v>
      </c>
    </row>
    <row r="80" spans="2:2" x14ac:dyDescent="0.55000000000000004">
      <c r="B80" t="s">
        <v>89</v>
      </c>
    </row>
    <row r="81" spans="2:2" x14ac:dyDescent="0.55000000000000004">
      <c r="B81" t="s">
        <v>90</v>
      </c>
    </row>
    <row r="82" spans="2:2" x14ac:dyDescent="0.55000000000000004">
      <c r="B82" t="s">
        <v>38</v>
      </c>
    </row>
    <row r="83" spans="2:2" x14ac:dyDescent="0.55000000000000004">
      <c r="B83" t="s">
        <v>91</v>
      </c>
    </row>
    <row r="84" spans="2:2" x14ac:dyDescent="0.55000000000000004">
      <c r="B84" t="s">
        <v>92</v>
      </c>
    </row>
    <row r="85" spans="2:2" x14ac:dyDescent="0.55000000000000004">
      <c r="B85" t="s">
        <v>93</v>
      </c>
    </row>
    <row r="86" spans="2:2" x14ac:dyDescent="0.55000000000000004">
      <c r="B86" t="s">
        <v>92</v>
      </c>
    </row>
    <row r="87" spans="2:2" x14ac:dyDescent="0.55000000000000004">
      <c r="B87" t="s">
        <v>94</v>
      </c>
    </row>
    <row r="88" spans="2:2" x14ac:dyDescent="0.55000000000000004">
      <c r="B88" t="s">
        <v>95</v>
      </c>
    </row>
    <row r="89" spans="2:2" x14ac:dyDescent="0.55000000000000004">
      <c r="B89" t="s">
        <v>96</v>
      </c>
    </row>
    <row r="90" spans="2:2" x14ac:dyDescent="0.55000000000000004">
      <c r="B90" t="s">
        <v>89</v>
      </c>
    </row>
    <row r="91" spans="2:2" x14ac:dyDescent="0.55000000000000004">
      <c r="B91" t="s">
        <v>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C1:K10"/>
  <sheetViews>
    <sheetView workbookViewId="0">
      <selection activeCell="F16" sqref="F16"/>
    </sheetView>
  </sheetViews>
  <sheetFormatPr defaultRowHeight="14.4" x14ac:dyDescent="0.55000000000000004"/>
  <sheetData>
    <row r="1" spans="3:11" ht="14.7" thickBot="1" x14ac:dyDescent="0.6"/>
    <row r="2" spans="3:11" ht="33.299999999999997" x14ac:dyDescent="0.55000000000000004">
      <c r="C2" s="2"/>
      <c r="D2" s="3"/>
      <c r="E2" s="3"/>
      <c r="F2" s="4" t="s">
        <v>9</v>
      </c>
      <c r="G2" s="3"/>
      <c r="H2" s="3"/>
      <c r="I2" s="3"/>
      <c r="J2" s="3"/>
      <c r="K2" s="5"/>
    </row>
    <row r="3" spans="3:11" x14ac:dyDescent="0.55000000000000004">
      <c r="C3" s="6"/>
      <c r="D3" s="7"/>
      <c r="E3" s="7"/>
      <c r="F3" s="7"/>
      <c r="G3" s="7"/>
      <c r="H3" s="7"/>
      <c r="I3" s="7"/>
      <c r="J3" s="7"/>
      <c r="K3" s="8"/>
    </row>
    <row r="4" spans="3:11" x14ac:dyDescent="0.55000000000000004">
      <c r="C4" s="6"/>
      <c r="D4" s="7"/>
      <c r="E4" s="7"/>
      <c r="F4" s="7"/>
      <c r="G4" s="7"/>
      <c r="H4" s="7"/>
      <c r="I4" s="7"/>
      <c r="J4" s="7"/>
      <c r="K4" s="8"/>
    </row>
    <row r="5" spans="3:11" ht="20.399999999999999" x14ac:dyDescent="0.55000000000000004">
      <c r="C5" s="65" t="s">
        <v>10</v>
      </c>
      <c r="D5" s="66"/>
      <c r="E5" s="66"/>
      <c r="F5" s="66"/>
      <c r="G5" s="66"/>
      <c r="H5" s="66"/>
      <c r="I5" s="66"/>
      <c r="J5" s="66"/>
      <c r="K5" s="67"/>
    </row>
    <row r="6" spans="3:11" ht="20.399999999999999" x14ac:dyDescent="0.55000000000000004">
      <c r="C6" s="9"/>
      <c r="D6" s="7"/>
      <c r="E6" s="7"/>
      <c r="F6" s="7"/>
      <c r="G6" s="7"/>
      <c r="H6" s="7"/>
      <c r="I6" s="7"/>
      <c r="J6" s="7"/>
      <c r="K6" s="8"/>
    </row>
    <row r="7" spans="3:11" ht="20.399999999999999" x14ac:dyDescent="0.55000000000000004">
      <c r="C7" s="9"/>
      <c r="D7" s="7"/>
      <c r="E7" s="7"/>
      <c r="F7" s="7"/>
      <c r="G7" s="7"/>
      <c r="H7" s="7"/>
      <c r="I7" s="7"/>
      <c r="J7" s="7"/>
      <c r="K7" s="8"/>
    </row>
    <row r="8" spans="3:11" ht="59.25" customHeight="1" x14ac:dyDescent="0.55000000000000004">
      <c r="C8" s="62" t="s">
        <v>12</v>
      </c>
      <c r="D8" s="63"/>
      <c r="E8" s="63"/>
      <c r="F8" s="63"/>
      <c r="G8" s="63"/>
      <c r="H8" s="63"/>
      <c r="I8" s="63"/>
      <c r="J8" s="63"/>
      <c r="K8" s="64"/>
    </row>
    <row r="9" spans="3:11" x14ac:dyDescent="0.55000000000000004">
      <c r="C9" s="10"/>
      <c r="D9" s="7"/>
      <c r="E9" s="7"/>
      <c r="F9" s="7"/>
      <c r="G9" s="7"/>
      <c r="H9" s="7"/>
      <c r="I9" s="7"/>
      <c r="J9" s="7"/>
      <c r="K9" s="8"/>
    </row>
    <row r="10" spans="3:11" ht="20.7" thickBot="1" x14ac:dyDescent="0.6">
      <c r="C10" s="11" t="s">
        <v>11</v>
      </c>
      <c r="D10" s="12"/>
      <c r="E10" s="12"/>
      <c r="F10" s="12"/>
      <c r="G10" s="12"/>
      <c r="H10" s="12"/>
      <c r="I10" s="12"/>
      <c r="J10" s="12"/>
      <c r="K10" s="13"/>
    </row>
  </sheetData>
  <mergeCells count="2">
    <mergeCell ref="C8:K8"/>
    <mergeCell ref="C5:K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30</vt:i4>
      </vt:variant>
    </vt:vector>
  </HeadingPairs>
  <TitlesOfParts>
    <vt:vector size="40" baseType="lpstr">
      <vt:lpstr>Main Menu</vt:lpstr>
      <vt:lpstr>Nozzle Selection</vt:lpstr>
      <vt:lpstr>Low Limit Calaculator</vt:lpstr>
      <vt:lpstr>Production Pump</vt:lpstr>
      <vt:lpstr>Density Conversion Factor</vt:lpstr>
      <vt:lpstr>Additional Units of Measure</vt:lpstr>
      <vt:lpstr>Controls</vt:lpstr>
      <vt:lpstr>Tables</vt:lpstr>
      <vt:lpstr>Nozzle Desc</vt:lpstr>
      <vt:lpstr>Kelley Honor Code</vt:lpstr>
      <vt:lpstr>Boom_Size</vt:lpstr>
      <vt:lpstr>Contact_1</vt:lpstr>
      <vt:lpstr>Contact_2</vt:lpstr>
      <vt:lpstr>Contact_3</vt:lpstr>
      <vt:lpstr>Contact_4</vt:lpstr>
      <vt:lpstr>Contact_App</vt:lpstr>
      <vt:lpstr>Conversion_Factor</vt:lpstr>
      <vt:lpstr>Gallons</vt:lpstr>
      <vt:lpstr>Liquid_1</vt:lpstr>
      <vt:lpstr>Liquid_2</vt:lpstr>
      <vt:lpstr>Liquid_Apps</vt:lpstr>
      <vt:lpstr>Nozzle_Desc</vt:lpstr>
      <vt:lpstr>Spacing</vt:lpstr>
      <vt:lpstr>Specific_Gravity</vt:lpstr>
      <vt:lpstr>Systemic_1</vt:lpstr>
      <vt:lpstr>Systemic_2</vt:lpstr>
      <vt:lpstr>Systemic_3</vt:lpstr>
      <vt:lpstr>Systemic_4</vt:lpstr>
      <vt:lpstr>Systemic_Apps</vt:lpstr>
      <vt:lpstr>Systemic_or_Contact</vt:lpstr>
      <vt:lpstr>Type_of_Product</vt:lpstr>
      <vt:lpstr>Unit</vt:lpstr>
      <vt:lpstr>Unit1</vt:lpstr>
      <vt:lpstr>Unit2</vt:lpstr>
      <vt:lpstr>Unit3</vt:lpstr>
      <vt:lpstr>Unit4</vt:lpstr>
      <vt:lpstr>Unit5</vt:lpstr>
      <vt:lpstr>Unit6</vt:lpstr>
      <vt:lpstr>Unit7</vt:lpstr>
      <vt:lpstr>Weight_of_Solution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Exam 2 - Part 1</dc:title>
  <dc:subject>K327</dc:subject>
  <dc:creator>Serex, Paul</dc:creator>
  <dc:description>Form Controls</dc:description>
  <cp:lastModifiedBy>Michael Zelenka</cp:lastModifiedBy>
  <dcterms:created xsi:type="dcterms:W3CDTF">2014-12-04T14:22:14Z</dcterms:created>
  <dcterms:modified xsi:type="dcterms:W3CDTF">2018-04-26T17:24:31Z</dcterms:modified>
</cp:coreProperties>
</file>