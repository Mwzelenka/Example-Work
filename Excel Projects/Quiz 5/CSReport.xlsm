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jzele\Desktop\K327 Quiz 5\"/>
    </mc:Choice>
  </mc:AlternateContent>
  <xr:revisionPtr revIDLastSave="0" documentId="13_ncr:1_{8AF3446F-760B-4637-9F6B-8CFE7C1CD57A}" xr6:coauthVersionLast="31" xr6:coauthVersionMax="31" xr10:uidLastSave="{00000000-0000-0000-0000-000000000000}"/>
  <bookViews>
    <workbookView xWindow="0" yWindow="0" windowWidth="11496" windowHeight="3660" tabRatio="820" firstSheet="4" activeTab="5" xr2:uid="{00000000-000D-0000-FFFF-FFFF00000000}"/>
  </bookViews>
  <sheets>
    <sheet name="RawData_Pending" sheetId="1" r:id="rId1"/>
    <sheet name="Filter1_Pending" sheetId="2" r:id="rId2"/>
    <sheet name="RawData_Approved" sheetId="11" r:id="rId3"/>
    <sheet name="Corporate Approvers" sheetId="12" r:id="rId4"/>
    <sheet name="CRStatusReport_Approved" sheetId="10" r:id="rId5"/>
    <sheet name="CRStatusReport_InProgress" sheetId="9" r:id="rId6"/>
    <sheet name="Sheet1" sheetId="13" r:id="rId7"/>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4</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122">Sheet1!$M$28:$M$33</definedName>
    <definedName name="_B146">Sheet1!$N$28:$N$33</definedName>
    <definedName name="_C107">Sheet1!$I$26:$I$33</definedName>
    <definedName name="_C193">Sheet1!$J$28:$J$33</definedName>
    <definedName name="_C211">Sheet1!$K$28:$K$33</definedName>
    <definedName name="_xlnm._FilterDatabase" localSheetId="1" hidden="1">Filter1_Pending!$A$1:$Q$72</definedName>
    <definedName name="_xlnm._FilterDatabase" localSheetId="2" hidden="1">RawData_Approved!$A$1:$H$40</definedName>
    <definedName name="_xlnm._FilterDatabase" localSheetId="0" hidden="1">RawData_Pending!$D$1:$D$134</definedName>
    <definedName name="_PGMU">Sheet1!$L$28</definedName>
    <definedName name="Approval_Round">RawData_Pending!$I$2:$I$134</definedName>
    <definedName name="Approver">RawData_Pending!$J$2:$J$134</definedName>
    <definedName name="CEO_Approver">RawData_Pending!$P$2:$P$134</definedName>
    <definedName name="CFO_Approver">RawData_Pending!$O$2:$O$134</definedName>
    <definedName name="Corporate_Approvers">RawData_Pending!$Q$2:$Q$134</definedName>
    <definedName name="CR">RawData_Pending!$D$2:$D$134</definedName>
    <definedName name="CR_ID">#REF!</definedName>
    <definedName name="dataset">#REF!</definedName>
    <definedName name="Date_Completed">RawData_Pending!$L$2:$L$134</definedName>
    <definedName name="Email_ID">#REF!</definedName>
    <definedName name="EU_EMAI_Approvers">RawData_Pending!$M$2:$M$134</definedName>
    <definedName name="_xlnm.Extract" localSheetId="0">RawData_Pending!$T$4</definedName>
    <definedName name="FAPPROV">Filter1_Pending!$J$2:$J$72</definedName>
    <definedName name="FCR">Filter1_Pending!$D$2:$D$72</definedName>
    <definedName name="Final_List">Sheet1!$I$28:$N$33</definedName>
    <definedName name="Lower_Email">#REF!</definedName>
    <definedName name="Name">#REF!</definedName>
    <definedName name="Project_Name">RawData_Pending!$F$2:$F$134</definedName>
    <definedName name="Pull_into_Access">#REF!,#REF!</definedName>
    <definedName name="Region">RawData_Pending!$E$2:$E$134</definedName>
    <definedName name="REQUEST_LINK">RawData_Pending!$A$2:$A$134</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7</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ound_1_Approvers" localSheetId="0">RawData_Pending!$N$2:$N$134</definedName>
    <definedName name="Round_1_Approvers">#REF!</definedName>
    <definedName name="Status">RawData_Pending!$B$2:$B$134</definedName>
    <definedName name="Status_Date">RawData_Pending!$C$2:$C$134</definedName>
    <definedName name="Task_Status">RawData_Pending!$K$2:$K$134</definedName>
    <definedName name="Total_Project_Cost">RawData_Pending!$H$2:$H$134</definedName>
    <definedName name="WER_A_B122">CRStatusReport_InProgress!$I$8:$I$19,CRStatusReport_InProgress!$G$8:$G$19</definedName>
    <definedName name="WER_A_B122_Approved">#REF!</definedName>
    <definedName name="WER_A_B122_Approvers">#REF!</definedName>
    <definedName name="WER_A_B122_Future_Approvers">#REF!</definedName>
    <definedName name="WER_A_B146">CRStatusReport_InProgress!$G$20:$G$30,CRStatusReport_InProgress!$I$20:$I$30</definedName>
    <definedName name="WER_A_B146_Approved">#REF!</definedName>
    <definedName name="WER_A_B146_Approvers">#REF!</definedName>
    <definedName name="WER_A_C107">CRStatusReport_InProgress!$G$31:$G$43,CRStatusReport_InProgress!$I$31:$I$43</definedName>
    <definedName name="WER_A_C107_Approved">#REF!</definedName>
    <definedName name="WER_A_C107_Approvers">#REF!</definedName>
    <definedName name="WER_A_C107_Future_Approvers">#REF!</definedName>
    <definedName name="WVR_A_C193_Approved">#REF!</definedName>
    <definedName name="WVR_A_C193_Approvers">#REF!</definedName>
    <definedName name="WVR_A_C193_Future_Approvers">#REF!</definedName>
    <definedName name="WVR_A_C211_Approved">#REF!</definedName>
    <definedName name="WVR_A_C211_Approvers">#REF!</definedName>
    <definedName name="WVR_A_C211_Future_Approvers">#REF!</definedName>
    <definedName name="WVR_A_PGMU_Approved">#REF!</definedName>
    <definedName name="WVR_A_PGMU_Approvers">#REF!</definedName>
    <definedName name="WVR_A_PGMU_Future_Approvers">#REF!</definedName>
    <definedName name="Year_0_Capital">RawData_Pending!$G$2:$G$134</definedName>
  </definedNames>
  <calcPr calcId="179017"/>
</workbook>
</file>

<file path=xl/calcChain.xml><?xml version="1.0" encoding="utf-8"?>
<calcChain xmlns="http://schemas.openxmlformats.org/spreadsheetml/2006/main">
  <c r="B8" i="9" l="1"/>
  <c r="M15" i="9" s="1"/>
  <c r="M69" i="9"/>
  <c r="M70" i="9"/>
  <c r="M71" i="9"/>
  <c r="M72" i="9"/>
  <c r="M73" i="9"/>
  <c r="M74" i="9"/>
  <c r="M75" i="9"/>
  <c r="M76" i="9"/>
  <c r="M77" i="9"/>
  <c r="M78" i="9"/>
  <c r="M68" i="9"/>
  <c r="M58" i="9"/>
  <c r="M59" i="9"/>
  <c r="M60" i="9"/>
  <c r="M61" i="9"/>
  <c r="M62" i="9"/>
  <c r="M63" i="9"/>
  <c r="M64" i="9"/>
  <c r="M65" i="9"/>
  <c r="M66" i="9"/>
  <c r="M67" i="9"/>
  <c r="M57" i="9"/>
  <c r="M45" i="9"/>
  <c r="M46" i="9"/>
  <c r="M47" i="9"/>
  <c r="M48" i="9"/>
  <c r="M49" i="9"/>
  <c r="M50" i="9"/>
  <c r="M51" i="9"/>
  <c r="M52" i="9"/>
  <c r="M53" i="9"/>
  <c r="M54" i="9"/>
  <c r="M55" i="9"/>
  <c r="M56" i="9"/>
  <c r="M44" i="9"/>
  <c r="M32" i="9"/>
  <c r="M33" i="9"/>
  <c r="M34" i="9"/>
  <c r="M35" i="9"/>
  <c r="M36" i="9"/>
  <c r="M37" i="9"/>
  <c r="M38" i="9"/>
  <c r="M39" i="9"/>
  <c r="M40" i="9"/>
  <c r="M41" i="9"/>
  <c r="M42" i="9"/>
  <c r="M43" i="9"/>
  <c r="M31" i="9"/>
  <c r="M21" i="9"/>
  <c r="M22" i="9"/>
  <c r="M23" i="9"/>
  <c r="M24" i="9"/>
  <c r="M25" i="9"/>
  <c r="M26" i="9"/>
  <c r="M27" i="9"/>
  <c r="M28" i="9"/>
  <c r="M29" i="9"/>
  <c r="M30" i="9"/>
  <c r="M20" i="9"/>
  <c r="J11" i="13" a="1"/>
  <c r="J11" i="13" s="1"/>
  <c r="K11" i="13" a="1"/>
  <c r="K11" i="13" s="1"/>
  <c r="L11" i="13" a="1"/>
  <c r="L11" i="13" s="1"/>
  <c r="M11" i="13" a="1"/>
  <c r="M11" i="13" s="1"/>
  <c r="N11" i="13" a="1"/>
  <c r="N11" i="13" s="1"/>
  <c r="J12" i="13" a="1"/>
  <c r="J12" i="13" s="1"/>
  <c r="K12" i="13" a="1"/>
  <c r="K12" i="13" s="1"/>
  <c r="L12" i="13" a="1"/>
  <c r="L12" i="13" s="1"/>
  <c r="M12" i="13" a="1"/>
  <c r="M12" i="13" s="1"/>
  <c r="N12" i="13" a="1"/>
  <c r="N12" i="13" s="1"/>
  <c r="J13" i="13" a="1"/>
  <c r="J13" i="13" s="1"/>
  <c r="K13" i="13" a="1"/>
  <c r="K13" i="13" s="1"/>
  <c r="L13" i="13" a="1"/>
  <c r="L13" i="13" s="1"/>
  <c r="M13" i="13" a="1"/>
  <c r="M13" i="13" s="1"/>
  <c r="N13" i="13" a="1"/>
  <c r="N13" i="13" s="1"/>
  <c r="J14" i="13" a="1"/>
  <c r="J14" i="13" s="1"/>
  <c r="K14" i="13" a="1"/>
  <c r="K14" i="13" s="1"/>
  <c r="L14" i="13" a="1"/>
  <c r="L14" i="13" s="1"/>
  <c r="M14" i="13" a="1"/>
  <c r="M14" i="13" s="1"/>
  <c r="N14" i="13" a="1"/>
  <c r="N14" i="13" s="1"/>
  <c r="J15" i="13" a="1"/>
  <c r="J15" i="13" s="1"/>
  <c r="K15" i="13" a="1"/>
  <c r="K15" i="13" s="1"/>
  <c r="L15" i="13" a="1"/>
  <c r="L15" i="13" s="1"/>
  <c r="M15" i="13" a="1"/>
  <c r="M15" i="13" s="1"/>
  <c r="N15" i="13" a="1"/>
  <c r="N15" i="13" s="1"/>
  <c r="J16" i="13" a="1"/>
  <c r="J16" i="13" s="1"/>
  <c r="K16" i="13" a="1"/>
  <c r="K16" i="13" s="1"/>
  <c r="L16" i="13" a="1"/>
  <c r="L16" i="13" s="1"/>
  <c r="M16" i="13" a="1"/>
  <c r="M16" i="13" s="1"/>
  <c r="N16" i="13" a="1"/>
  <c r="N16" i="13" s="1"/>
  <c r="I12" i="13" a="1"/>
  <c r="I12" i="13" s="1"/>
  <c r="I20" i="13" s="1"/>
  <c r="I13" i="13" a="1"/>
  <c r="I13" i="13" s="1"/>
  <c r="I21" i="13" s="1"/>
  <c r="I14" i="13" a="1"/>
  <c r="I14" i="13" s="1"/>
  <c r="I22" i="13" s="1"/>
  <c r="I15" i="13" a="1"/>
  <c r="I15" i="13" s="1"/>
  <c r="I23" i="13" s="1"/>
  <c r="I16" i="13" a="1"/>
  <c r="I16" i="13" s="1"/>
  <c r="I11" i="13" a="1"/>
  <c r="I11" i="13" s="1"/>
  <c r="I19" i="13" s="1"/>
  <c r="I3" i="13"/>
  <c r="I4" i="13" s="1"/>
  <c r="B20" i="9"/>
  <c r="M8" i="9" l="1"/>
  <c r="M12" i="9"/>
  <c r="M19" i="9"/>
  <c r="M11" i="9"/>
  <c r="M14" i="9"/>
  <c r="M13" i="9"/>
  <c r="M18" i="9"/>
  <c r="M10" i="9"/>
  <c r="M17" i="9"/>
  <c r="M9" i="9"/>
  <c r="M16" i="9"/>
  <c r="I7" i="13"/>
  <c r="I6" i="13"/>
  <c r="I5" i="13"/>
  <c r="K20" i="13"/>
  <c r="L20" i="13"/>
  <c r="L23" i="13"/>
  <c r="J3" i="13"/>
  <c r="J7" i="13" s="1"/>
  <c r="K3" i="13"/>
  <c r="K8" i="13" s="1"/>
  <c r="L3" i="13"/>
  <c r="L8" i="13" s="1"/>
  <c r="M3" i="13"/>
  <c r="M5" i="13" s="1"/>
  <c r="N3" i="13"/>
  <c r="N5" i="13" s="1"/>
  <c r="J20" i="13" l="1"/>
  <c r="K23" i="13"/>
  <c r="J22" i="13"/>
  <c r="L19" i="13"/>
  <c r="N20" i="13"/>
  <c r="M20" i="13"/>
  <c r="L9" i="13"/>
  <c r="L24" i="13" s="1"/>
  <c r="J8" i="13"/>
  <c r="J23" i="13" s="1"/>
  <c r="N6" i="13"/>
  <c r="N21" i="13" s="1"/>
  <c r="L5" i="13"/>
  <c r="N4" i="13"/>
  <c r="N19" i="13" s="1"/>
  <c r="K9" i="13"/>
  <c r="K24" i="13" s="1"/>
  <c r="I8" i="13"/>
  <c r="M6" i="13"/>
  <c r="M21" i="13" s="1"/>
  <c r="K5" i="13"/>
  <c r="M4" i="13"/>
  <c r="M19" i="13" s="1"/>
  <c r="J9" i="13"/>
  <c r="J24" i="13" s="1"/>
  <c r="N7" i="13"/>
  <c r="N22" i="13" s="1"/>
  <c r="L6" i="13"/>
  <c r="L21" i="13" s="1"/>
  <c r="J5" i="13"/>
  <c r="L4" i="13"/>
  <c r="I9" i="13"/>
  <c r="I24" i="13" s="1"/>
  <c r="M7" i="13"/>
  <c r="M22" i="13" s="1"/>
  <c r="K6" i="13"/>
  <c r="K21" i="13" s="1"/>
  <c r="K4" i="13"/>
  <c r="K19" i="13" s="1"/>
  <c r="N8" i="13"/>
  <c r="N23" i="13" s="1"/>
  <c r="L7" i="13"/>
  <c r="L22" i="13" s="1"/>
  <c r="J6" i="13"/>
  <c r="J21" i="13" s="1"/>
  <c r="J4" i="13"/>
  <c r="J19" i="13" s="1"/>
  <c r="M8" i="13"/>
  <c r="M23" i="13" s="1"/>
  <c r="K7" i="13"/>
  <c r="K22" i="13" s="1"/>
  <c r="N9" i="13"/>
  <c r="N24" i="13" s="1"/>
  <c r="M9" i="13"/>
  <c r="M24" i="13" s="1"/>
  <c r="D9" i="10"/>
  <c r="E9" i="10"/>
  <c r="D10" i="10"/>
  <c r="E10" i="10"/>
  <c r="D11" i="10"/>
  <c r="E11" i="10"/>
  <c r="D12" i="10"/>
  <c r="E12" i="10"/>
  <c r="D13" i="10"/>
  <c r="E13" i="10"/>
  <c r="D14" i="10"/>
  <c r="E14" i="10"/>
  <c r="D15" i="10"/>
  <c r="E15" i="10"/>
  <c r="D16" i="10"/>
  <c r="E16" i="10"/>
  <c r="D17" i="10"/>
  <c r="E17" i="10"/>
  <c r="D18" i="10"/>
  <c r="E18" i="10"/>
  <c r="D19" i="10"/>
  <c r="E19" i="10"/>
  <c r="D20" i="10"/>
  <c r="E20" i="10"/>
  <c r="D21" i="10"/>
  <c r="E21" i="10"/>
  <c r="D22" i="10"/>
  <c r="E22" i="10"/>
  <c r="D23" i="10"/>
  <c r="E23" i="10"/>
  <c r="D24" i="10"/>
  <c r="E24" i="10"/>
  <c r="D25" i="10"/>
  <c r="E25" i="10"/>
  <c r="D26" i="10"/>
  <c r="E26" i="10"/>
  <c r="D27" i="10"/>
  <c r="E27" i="10"/>
  <c r="D28" i="10"/>
  <c r="E28" i="10"/>
  <c r="D29" i="10"/>
  <c r="E29" i="10"/>
  <c r="D30" i="10"/>
  <c r="E30" i="10"/>
  <c r="D31" i="10"/>
  <c r="E31" i="10"/>
  <c r="D32" i="10"/>
  <c r="E32" i="10"/>
  <c r="D33" i="10"/>
  <c r="E33" i="10"/>
  <c r="D34" i="10"/>
  <c r="E34" i="10"/>
  <c r="D35" i="10"/>
  <c r="E35" i="10"/>
  <c r="D36" i="10"/>
  <c r="E36" i="10"/>
  <c r="D37" i="10"/>
  <c r="E37" i="10"/>
  <c r="D38" i="10"/>
  <c r="E38" i="10"/>
  <c r="D39" i="10"/>
  <c r="E39" i="10"/>
  <c r="D40" i="10"/>
  <c r="E40" i="10"/>
  <c r="D41" i="10"/>
  <c r="E41" i="10"/>
  <c r="D42" i="10"/>
  <c r="E42" i="10"/>
  <c r="D43" i="10"/>
  <c r="E43" i="10"/>
  <c r="D44" i="10"/>
  <c r="E44" i="10"/>
  <c r="D45" i="10"/>
  <c r="E45" i="10"/>
  <c r="D46" i="10"/>
  <c r="E46" i="10"/>
  <c r="E8" i="10"/>
  <c r="D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8" i="10"/>
  <c r="B9" i="10"/>
  <c r="C9" i="10"/>
  <c r="F9" i="10"/>
  <c r="B10" i="10"/>
  <c r="C10" i="10"/>
  <c r="F10" i="10"/>
  <c r="B11" i="10"/>
  <c r="C11" i="10"/>
  <c r="F11" i="10"/>
  <c r="B12" i="10"/>
  <c r="C12" i="10"/>
  <c r="F12" i="10"/>
  <c r="B13" i="10"/>
  <c r="C13" i="10"/>
  <c r="F13" i="10"/>
  <c r="B14" i="10"/>
  <c r="C14" i="10"/>
  <c r="F14" i="10"/>
  <c r="B15" i="10"/>
  <c r="C15" i="10"/>
  <c r="F15" i="10"/>
  <c r="B16" i="10"/>
  <c r="C16" i="10"/>
  <c r="F16" i="10"/>
  <c r="B17" i="10"/>
  <c r="C17" i="10"/>
  <c r="F17" i="10"/>
  <c r="B18" i="10"/>
  <c r="C18" i="10"/>
  <c r="F18" i="10"/>
  <c r="B19" i="10"/>
  <c r="C19" i="10"/>
  <c r="F19" i="10"/>
  <c r="B20" i="10"/>
  <c r="C20" i="10"/>
  <c r="F20" i="10"/>
  <c r="B21" i="10"/>
  <c r="C21" i="10"/>
  <c r="F21" i="10"/>
  <c r="B22" i="10"/>
  <c r="C22" i="10"/>
  <c r="F22" i="10"/>
  <c r="B23" i="10"/>
  <c r="C23" i="10"/>
  <c r="F23" i="10"/>
  <c r="B24" i="10"/>
  <c r="C24" i="10"/>
  <c r="F24" i="10"/>
  <c r="B25" i="10"/>
  <c r="C25" i="10"/>
  <c r="F25" i="10"/>
  <c r="B26" i="10"/>
  <c r="C26" i="10"/>
  <c r="F26" i="10"/>
  <c r="B27" i="10"/>
  <c r="C27" i="10"/>
  <c r="F27" i="10"/>
  <c r="B28" i="10"/>
  <c r="C28" i="10"/>
  <c r="F28" i="10"/>
  <c r="B29" i="10"/>
  <c r="C29" i="10"/>
  <c r="F29" i="10"/>
  <c r="B30" i="10"/>
  <c r="C30" i="10"/>
  <c r="F30" i="10"/>
  <c r="B31" i="10"/>
  <c r="C31" i="10"/>
  <c r="F31" i="10"/>
  <c r="B32" i="10"/>
  <c r="C32" i="10"/>
  <c r="F32" i="10"/>
  <c r="B33" i="10"/>
  <c r="C33" i="10"/>
  <c r="F33" i="10"/>
  <c r="B34" i="10"/>
  <c r="C34" i="10"/>
  <c r="F34" i="10"/>
  <c r="B35" i="10"/>
  <c r="C35" i="10"/>
  <c r="F35" i="10"/>
  <c r="B36" i="10"/>
  <c r="C36" i="10"/>
  <c r="F36" i="10"/>
  <c r="B37" i="10"/>
  <c r="C37" i="10"/>
  <c r="F37" i="10"/>
  <c r="B38" i="10"/>
  <c r="C38" i="10"/>
  <c r="F38" i="10"/>
  <c r="B39" i="10"/>
  <c r="C39" i="10"/>
  <c r="F39" i="10"/>
  <c r="B40" i="10"/>
  <c r="C40" i="10"/>
  <c r="F40" i="10"/>
  <c r="B41" i="10"/>
  <c r="C41" i="10"/>
  <c r="F41" i="10"/>
  <c r="B42" i="10"/>
  <c r="C42" i="10"/>
  <c r="F42" i="10"/>
  <c r="B43" i="10"/>
  <c r="C43" i="10"/>
  <c r="F43" i="10"/>
  <c r="B44" i="10"/>
  <c r="C44" i="10"/>
  <c r="F44" i="10"/>
  <c r="B45" i="10"/>
  <c r="C45" i="10"/>
  <c r="F45" i="10"/>
  <c r="B46" i="10"/>
  <c r="C46" i="10"/>
  <c r="F46" i="10"/>
  <c r="F8" i="10"/>
  <c r="C8" i="10"/>
  <c r="B8" i="10"/>
  <c r="B3" i="10"/>
  <c r="B2" i="10"/>
  <c r="B69" i="9"/>
  <c r="C69" i="9" s="1"/>
  <c r="B70" i="9"/>
  <c r="C70" i="9" s="1"/>
  <c r="B71" i="9"/>
  <c r="C71" i="9" s="1"/>
  <c r="B72" i="9"/>
  <c r="C72" i="9" s="1"/>
  <c r="B73" i="9"/>
  <c r="C73" i="9" s="1"/>
  <c r="B74" i="9"/>
  <c r="C74" i="9" s="1"/>
  <c r="B75" i="9"/>
  <c r="C75" i="9" s="1"/>
  <c r="B76" i="9"/>
  <c r="C76" i="9" s="1"/>
  <c r="B77" i="9"/>
  <c r="D77" i="9" s="1"/>
  <c r="B78" i="9"/>
  <c r="C78" i="9" s="1"/>
  <c r="B26" i="9"/>
  <c r="E26" i="9" s="1"/>
  <c r="B27" i="9"/>
  <c r="F27" i="9" s="1"/>
  <c r="B28" i="9"/>
  <c r="E28" i="9" s="1"/>
  <c r="B29" i="9"/>
  <c r="F29" i="9" s="1"/>
  <c r="B30" i="9"/>
  <c r="E30" i="9" s="1"/>
  <c r="B31" i="9"/>
  <c r="F31" i="9" s="1"/>
  <c r="B32" i="9"/>
  <c r="E32" i="9" s="1"/>
  <c r="B33" i="9"/>
  <c r="F33" i="9" s="1"/>
  <c r="B34" i="9"/>
  <c r="E34" i="9" s="1"/>
  <c r="B35" i="9"/>
  <c r="F35" i="9" s="1"/>
  <c r="B36" i="9"/>
  <c r="E36" i="9" s="1"/>
  <c r="B37" i="9"/>
  <c r="F37" i="9" s="1"/>
  <c r="B38" i="9"/>
  <c r="E38" i="9" s="1"/>
  <c r="B39" i="9"/>
  <c r="F39" i="9" s="1"/>
  <c r="B40" i="9"/>
  <c r="E40" i="9" s="1"/>
  <c r="B41" i="9"/>
  <c r="F41" i="9" s="1"/>
  <c r="B42" i="9"/>
  <c r="E42" i="9" s="1"/>
  <c r="B43" i="9"/>
  <c r="F43" i="9" s="1"/>
  <c r="B44" i="9"/>
  <c r="E44" i="9" s="1"/>
  <c r="B45" i="9"/>
  <c r="F45" i="9" s="1"/>
  <c r="B46" i="9"/>
  <c r="E46" i="9" s="1"/>
  <c r="B47" i="9"/>
  <c r="F47" i="9" s="1"/>
  <c r="B48" i="9"/>
  <c r="E48" i="9" s="1"/>
  <c r="B49" i="9"/>
  <c r="F49" i="9" s="1"/>
  <c r="B50" i="9"/>
  <c r="E50" i="9" s="1"/>
  <c r="B51" i="9"/>
  <c r="F51" i="9" s="1"/>
  <c r="B52" i="9"/>
  <c r="E52" i="9" s="1"/>
  <c r="B53" i="9"/>
  <c r="F53" i="9" s="1"/>
  <c r="B54" i="9"/>
  <c r="E54" i="9" s="1"/>
  <c r="B55" i="9"/>
  <c r="F55" i="9" s="1"/>
  <c r="B56" i="9"/>
  <c r="E56" i="9" s="1"/>
  <c r="B57" i="9"/>
  <c r="F57" i="9" s="1"/>
  <c r="B58" i="9"/>
  <c r="E58" i="9" s="1"/>
  <c r="B59" i="9"/>
  <c r="F59" i="9" s="1"/>
  <c r="B60" i="9"/>
  <c r="E60" i="9" s="1"/>
  <c r="B61" i="9"/>
  <c r="F61" i="9" s="1"/>
  <c r="B62" i="9"/>
  <c r="E62" i="9" s="1"/>
  <c r="B63" i="9"/>
  <c r="F63" i="9" s="1"/>
  <c r="B64" i="9"/>
  <c r="E64" i="9" s="1"/>
  <c r="B65" i="9"/>
  <c r="F65" i="9" s="1"/>
  <c r="B66" i="9"/>
  <c r="E66" i="9" s="1"/>
  <c r="B67" i="9"/>
  <c r="F67" i="9" s="1"/>
  <c r="B68" i="9"/>
  <c r="E68" i="9" s="1"/>
  <c r="B10" i="9"/>
  <c r="E10" i="9" s="1"/>
  <c r="B11" i="9"/>
  <c r="F11" i="9" s="1"/>
  <c r="B12" i="9"/>
  <c r="E12" i="9" s="1"/>
  <c r="B13" i="9"/>
  <c r="F13" i="9" s="1"/>
  <c r="B14" i="9"/>
  <c r="E14" i="9" s="1"/>
  <c r="B15" i="9"/>
  <c r="F15" i="9" s="1"/>
  <c r="B16" i="9"/>
  <c r="E16" i="9" s="1"/>
  <c r="B17" i="9"/>
  <c r="F17" i="9" s="1"/>
  <c r="B18" i="9"/>
  <c r="E18" i="9" s="1"/>
  <c r="B19" i="9"/>
  <c r="F19" i="9" s="1"/>
  <c r="E20" i="9"/>
  <c r="B21" i="9"/>
  <c r="F21" i="9" s="1"/>
  <c r="B22" i="9"/>
  <c r="E22" i="9" s="1"/>
  <c r="B23" i="9"/>
  <c r="F23" i="9" s="1"/>
  <c r="B24" i="9"/>
  <c r="E24" i="9" s="1"/>
  <c r="B25" i="9"/>
  <c r="F25" i="9" s="1"/>
  <c r="B9" i="9"/>
  <c r="F9" i="9" s="1"/>
  <c r="I9" i="9"/>
  <c r="I29" i="13" l="1" a="1"/>
  <c r="I29" i="13" s="1"/>
  <c r="I31" i="13" a="1"/>
  <c r="I31" i="13" s="1"/>
  <c r="I30" i="13" a="1"/>
  <c r="I30" i="13" s="1"/>
  <c r="I32" i="13" a="1"/>
  <c r="I32" i="13" s="1"/>
  <c r="I33" i="13" a="1"/>
  <c r="I33" i="13" s="1"/>
  <c r="I28" i="13" a="1"/>
  <c r="I28" i="13" s="1"/>
  <c r="N30" i="13" a="1"/>
  <c r="N30" i="13" s="1"/>
  <c r="N31" i="13" a="1"/>
  <c r="N31" i="13" s="1"/>
  <c r="N32" i="13" a="1"/>
  <c r="N32" i="13" s="1"/>
  <c r="N33" i="13" a="1"/>
  <c r="N33" i="13" s="1"/>
  <c r="N28" i="13" a="1"/>
  <c r="N28" i="13" s="1"/>
  <c r="N29" i="13" a="1"/>
  <c r="N29" i="13" s="1"/>
  <c r="K29" i="13" a="1"/>
  <c r="K29" i="13" s="1"/>
  <c r="K30" i="13" a="1"/>
  <c r="K30" i="13" s="1"/>
  <c r="K31" i="13" a="1"/>
  <c r="K31" i="13" s="1"/>
  <c r="K32" i="13" a="1"/>
  <c r="K32" i="13" s="1"/>
  <c r="K28" i="13" a="1"/>
  <c r="K28" i="13" s="1"/>
  <c r="K33" i="13" a="1"/>
  <c r="K33" i="13" s="1"/>
  <c r="M31" i="13" a="1"/>
  <c r="M31" i="13" s="1"/>
  <c r="M32" i="13" a="1"/>
  <c r="M32" i="13" s="1"/>
  <c r="M28" i="13" a="1"/>
  <c r="M28" i="13" s="1"/>
  <c r="M33" i="13" a="1"/>
  <c r="M33" i="13" s="1"/>
  <c r="M29" i="13" a="1"/>
  <c r="M29" i="13" s="1"/>
  <c r="M30" i="13" a="1"/>
  <c r="M30" i="13" s="1"/>
  <c r="J29" i="13" a="1"/>
  <c r="J29" i="13" s="1"/>
  <c r="J30" i="13" a="1"/>
  <c r="J30" i="13" s="1"/>
  <c r="J31" i="13" a="1"/>
  <c r="J31" i="13" s="1"/>
  <c r="J32" i="13" a="1"/>
  <c r="J32" i="13" s="1"/>
  <c r="J33" i="13" a="1"/>
  <c r="J33" i="13" s="1"/>
  <c r="J28" i="13" a="1"/>
  <c r="J28" i="13" s="1"/>
  <c r="L33" i="13" a="1"/>
  <c r="L33" i="13" s="1"/>
  <c r="L28" i="13" a="1"/>
  <c r="L28" i="13" s="1"/>
  <c r="L29" i="13" a="1"/>
  <c r="L29" i="13" s="1"/>
  <c r="L30" i="13" a="1"/>
  <c r="L30" i="13" s="1"/>
  <c r="L31" i="13" a="1"/>
  <c r="L31" i="13" s="1"/>
  <c r="L32" i="13" a="1"/>
  <c r="L32" i="13" s="1"/>
  <c r="D71" i="9"/>
  <c r="F75" i="9"/>
  <c r="D75" i="9"/>
  <c r="G13" i="9"/>
  <c r="G8" i="9"/>
  <c r="G61" i="9"/>
  <c r="I58" i="9"/>
  <c r="I42" i="9"/>
  <c r="G29" i="9"/>
  <c r="I26" i="9"/>
  <c r="G21" i="9"/>
  <c r="D34" i="9"/>
  <c r="I66" i="9"/>
  <c r="G53" i="9"/>
  <c r="I50" i="9"/>
  <c r="G45" i="9"/>
  <c r="G37" i="9"/>
  <c r="I34" i="9"/>
  <c r="F42" i="9"/>
  <c r="G67" i="9"/>
  <c r="G51" i="9"/>
  <c r="G35" i="9"/>
  <c r="G19" i="9"/>
  <c r="I64" i="9"/>
  <c r="I48" i="9"/>
  <c r="I32" i="9"/>
  <c r="F38" i="9"/>
  <c r="G66" i="9"/>
  <c r="G58" i="9"/>
  <c r="G50" i="9"/>
  <c r="G42" i="9"/>
  <c r="G34" i="9"/>
  <c r="G26" i="9"/>
  <c r="G18" i="9"/>
  <c r="G10" i="9"/>
  <c r="I63" i="9"/>
  <c r="I55" i="9"/>
  <c r="I47" i="9"/>
  <c r="I39" i="9"/>
  <c r="I31" i="9"/>
  <c r="I21" i="9"/>
  <c r="G68" i="9"/>
  <c r="G60" i="9"/>
  <c r="G52" i="9"/>
  <c r="G44" i="9"/>
  <c r="G36" i="9"/>
  <c r="G28" i="9"/>
  <c r="G20" i="9"/>
  <c r="G12" i="9"/>
  <c r="I65" i="9"/>
  <c r="I57" i="9"/>
  <c r="I49" i="9"/>
  <c r="I41" i="9"/>
  <c r="I33" i="9"/>
  <c r="I25" i="9"/>
  <c r="G59" i="9"/>
  <c r="G43" i="9"/>
  <c r="G27" i="9"/>
  <c r="G11" i="9"/>
  <c r="I56" i="9"/>
  <c r="I40" i="9"/>
  <c r="I23" i="9"/>
  <c r="G65" i="9"/>
  <c r="G57" i="9"/>
  <c r="G49" i="9"/>
  <c r="G41" i="9"/>
  <c r="G33" i="9"/>
  <c r="G25" i="9"/>
  <c r="G17" i="9"/>
  <c r="G9" i="9"/>
  <c r="I62" i="9"/>
  <c r="I54" i="9"/>
  <c r="I46" i="9"/>
  <c r="I38" i="9"/>
  <c r="I30" i="9"/>
  <c r="I19" i="9"/>
  <c r="F77" i="9"/>
  <c r="G64" i="9"/>
  <c r="G56" i="9"/>
  <c r="G48" i="9"/>
  <c r="G40" i="9"/>
  <c r="G32" i="9"/>
  <c r="G24" i="9"/>
  <c r="G16" i="9"/>
  <c r="I8" i="9"/>
  <c r="I61" i="9"/>
  <c r="I53" i="9"/>
  <c r="I45" i="9"/>
  <c r="I37" i="9"/>
  <c r="I29" i="9"/>
  <c r="I17" i="9"/>
  <c r="D50" i="9"/>
  <c r="C77" i="9"/>
  <c r="F73" i="9"/>
  <c r="G63" i="9"/>
  <c r="G55" i="9"/>
  <c r="G47" i="9"/>
  <c r="G39" i="9"/>
  <c r="G31" i="9"/>
  <c r="G23" i="9"/>
  <c r="G15" i="9"/>
  <c r="I68" i="9"/>
  <c r="I60" i="9"/>
  <c r="I52" i="9"/>
  <c r="I44" i="9"/>
  <c r="I36" i="9"/>
  <c r="I28" i="9"/>
  <c r="I14" i="9"/>
  <c r="D46" i="9"/>
  <c r="G62" i="9"/>
  <c r="G54" i="9"/>
  <c r="G46" i="9"/>
  <c r="G38" i="9"/>
  <c r="G30" i="9"/>
  <c r="G22" i="9"/>
  <c r="G14" i="9"/>
  <c r="I67" i="9"/>
  <c r="I59" i="9"/>
  <c r="I51" i="9"/>
  <c r="I43" i="9"/>
  <c r="I35" i="9"/>
  <c r="I27" i="9"/>
  <c r="I10" i="9"/>
  <c r="D42" i="9"/>
  <c r="F76" i="9"/>
  <c r="F72" i="9"/>
  <c r="E73" i="9"/>
  <c r="E77" i="9"/>
  <c r="D73" i="9"/>
  <c r="D38" i="9"/>
  <c r="F34" i="9"/>
  <c r="F71" i="9"/>
  <c r="E69" i="9"/>
  <c r="C8" i="9"/>
  <c r="D66" i="9"/>
  <c r="D62" i="9"/>
  <c r="D58" i="9"/>
  <c r="D54" i="9"/>
  <c r="E8" i="9"/>
  <c r="F66" i="9"/>
  <c r="F62" i="9"/>
  <c r="F58" i="9"/>
  <c r="F54" i="9"/>
  <c r="F50" i="9"/>
  <c r="F46" i="9"/>
  <c r="H8" i="9"/>
  <c r="H65" i="9"/>
  <c r="H61" i="9"/>
  <c r="H57" i="9"/>
  <c r="H53" i="9"/>
  <c r="H49" i="9"/>
  <c r="H45" i="9"/>
  <c r="H41" i="9"/>
  <c r="H37" i="9"/>
  <c r="H33" i="9"/>
  <c r="H29" i="9"/>
  <c r="H25" i="9"/>
  <c r="H21" i="9"/>
  <c r="H17" i="9"/>
  <c r="H13" i="9"/>
  <c r="H9" i="9"/>
  <c r="J66" i="9"/>
  <c r="J62" i="9"/>
  <c r="J58" i="9"/>
  <c r="J54" i="9"/>
  <c r="J50" i="9"/>
  <c r="J46" i="9"/>
  <c r="J42" i="9"/>
  <c r="J38" i="9"/>
  <c r="J34" i="9"/>
  <c r="J30" i="9"/>
  <c r="J26" i="9"/>
  <c r="J22" i="9"/>
  <c r="J18" i="9"/>
  <c r="J14" i="9"/>
  <c r="J10" i="9"/>
  <c r="H78" i="9"/>
  <c r="G77" i="9"/>
  <c r="J76" i="9"/>
  <c r="I75" i="9"/>
  <c r="H74" i="9"/>
  <c r="G73" i="9"/>
  <c r="J72" i="9"/>
  <c r="I71" i="9"/>
  <c r="H70" i="9"/>
  <c r="G69" i="9"/>
  <c r="D68" i="9"/>
  <c r="D64" i="9"/>
  <c r="D60" i="9"/>
  <c r="D56" i="9"/>
  <c r="D52" i="9"/>
  <c r="D48" i="9"/>
  <c r="D44" i="9"/>
  <c r="D40" i="9"/>
  <c r="D36" i="9"/>
  <c r="D32" i="9"/>
  <c r="F68" i="9"/>
  <c r="F64" i="9"/>
  <c r="F60" i="9"/>
  <c r="F56" i="9"/>
  <c r="F52" i="9"/>
  <c r="F48" i="9"/>
  <c r="F44" i="9"/>
  <c r="F40" i="9"/>
  <c r="F36" i="9"/>
  <c r="F32" i="9"/>
  <c r="H67" i="9"/>
  <c r="H63" i="9"/>
  <c r="H59" i="9"/>
  <c r="H55" i="9"/>
  <c r="H51" i="9"/>
  <c r="H47" i="9"/>
  <c r="H43" i="9"/>
  <c r="H39" i="9"/>
  <c r="H35" i="9"/>
  <c r="H31" i="9"/>
  <c r="H27" i="9"/>
  <c r="H23" i="9"/>
  <c r="H19" i="9"/>
  <c r="H15" i="9"/>
  <c r="H11" i="9"/>
  <c r="J68" i="9"/>
  <c r="J64" i="9"/>
  <c r="J60" i="9"/>
  <c r="J56" i="9"/>
  <c r="J52" i="9"/>
  <c r="J48" i="9"/>
  <c r="J44" i="9"/>
  <c r="J40" i="9"/>
  <c r="J36" i="9"/>
  <c r="J32" i="9"/>
  <c r="J28" i="9"/>
  <c r="J24" i="9"/>
  <c r="J20" i="9"/>
  <c r="J16" i="9"/>
  <c r="J12" i="9"/>
  <c r="J78" i="9"/>
  <c r="F78" i="9"/>
  <c r="I77" i="9"/>
  <c r="H76" i="9"/>
  <c r="G75" i="9"/>
  <c r="E75" i="9"/>
  <c r="J74" i="9"/>
  <c r="F74" i="9"/>
  <c r="I73" i="9"/>
  <c r="H72" i="9"/>
  <c r="G71" i="9"/>
  <c r="E71" i="9"/>
  <c r="J70" i="9"/>
  <c r="F70" i="9"/>
  <c r="I69" i="9"/>
  <c r="F69" i="9"/>
  <c r="D69" i="9"/>
  <c r="C19" i="9"/>
  <c r="C15" i="9"/>
  <c r="C11" i="9"/>
  <c r="C23" i="9"/>
  <c r="D30" i="9"/>
  <c r="D26" i="9"/>
  <c r="E25" i="9"/>
  <c r="E21" i="9"/>
  <c r="E17" i="9"/>
  <c r="E13" i="9"/>
  <c r="F28" i="9"/>
  <c r="C21" i="9"/>
  <c r="C17" i="9"/>
  <c r="C13" i="9"/>
  <c r="C25" i="9"/>
  <c r="D28" i="9"/>
  <c r="E23" i="9"/>
  <c r="E19" i="9"/>
  <c r="E15" i="9"/>
  <c r="E11" i="9"/>
  <c r="F30" i="9"/>
  <c r="F26" i="9"/>
  <c r="C67" i="9"/>
  <c r="C63" i="9"/>
  <c r="C59" i="9"/>
  <c r="C57" i="9"/>
  <c r="C55" i="9"/>
  <c r="C51" i="9"/>
  <c r="C49" i="9"/>
  <c r="C47" i="9"/>
  <c r="C45" i="9"/>
  <c r="C43" i="9"/>
  <c r="C41" i="9"/>
  <c r="C39" i="9"/>
  <c r="C37" i="9"/>
  <c r="C35" i="9"/>
  <c r="C33" i="9"/>
  <c r="C31" i="9"/>
  <c r="C29" i="9"/>
  <c r="C27" i="9"/>
  <c r="D22" i="9"/>
  <c r="D18" i="9"/>
  <c r="D16" i="9"/>
  <c r="D14" i="9"/>
  <c r="D12" i="9"/>
  <c r="D10" i="9"/>
  <c r="E67" i="9"/>
  <c r="E63" i="9"/>
  <c r="E59" i="9"/>
  <c r="E51" i="9"/>
  <c r="F24" i="9"/>
  <c r="F20" i="9"/>
  <c r="F14" i="9"/>
  <c r="C9" i="9"/>
  <c r="C65" i="9"/>
  <c r="C61" i="9"/>
  <c r="C53" i="9"/>
  <c r="D24" i="9"/>
  <c r="D20" i="9"/>
  <c r="E65" i="9"/>
  <c r="E61" i="9"/>
  <c r="E57" i="9"/>
  <c r="E55" i="9"/>
  <c r="E53" i="9"/>
  <c r="E49" i="9"/>
  <c r="E47" i="9"/>
  <c r="E45" i="9"/>
  <c r="E43" i="9"/>
  <c r="E41" i="9"/>
  <c r="E39" i="9"/>
  <c r="E37" i="9"/>
  <c r="E35" i="9"/>
  <c r="E33" i="9"/>
  <c r="E31" i="9"/>
  <c r="E29" i="9"/>
  <c r="E27" i="9"/>
  <c r="E9" i="9"/>
  <c r="F22" i="9"/>
  <c r="F18" i="9"/>
  <c r="F16" i="9"/>
  <c r="F12" i="9"/>
  <c r="F10" i="9"/>
  <c r="C22" i="9"/>
  <c r="C20" i="9"/>
  <c r="C18" i="9"/>
  <c r="C16" i="9"/>
  <c r="C14" i="9"/>
  <c r="C12" i="9"/>
  <c r="C10" i="9"/>
  <c r="C68" i="9"/>
  <c r="C66" i="9"/>
  <c r="C64" i="9"/>
  <c r="C62" i="9"/>
  <c r="C60" i="9"/>
  <c r="C58" i="9"/>
  <c r="C56" i="9"/>
  <c r="C54" i="9"/>
  <c r="C52" i="9"/>
  <c r="C50" i="9"/>
  <c r="C48" i="9"/>
  <c r="C46" i="9"/>
  <c r="C44" i="9"/>
  <c r="C42" i="9"/>
  <c r="C40" i="9"/>
  <c r="C38" i="9"/>
  <c r="C36" i="9"/>
  <c r="C34" i="9"/>
  <c r="C32" i="9"/>
  <c r="C30" i="9"/>
  <c r="C28" i="9"/>
  <c r="C26" i="9"/>
  <c r="C24" i="9"/>
  <c r="D8" i="9"/>
  <c r="D67" i="9"/>
  <c r="D65" i="9"/>
  <c r="D63" i="9"/>
  <c r="D61" i="9"/>
  <c r="D59" i="9"/>
  <c r="D57" i="9"/>
  <c r="D55" i="9"/>
  <c r="D53" i="9"/>
  <c r="D51" i="9"/>
  <c r="D49" i="9"/>
  <c r="D47" i="9"/>
  <c r="D45" i="9"/>
  <c r="D43" i="9"/>
  <c r="D41" i="9"/>
  <c r="D39" i="9"/>
  <c r="D37" i="9"/>
  <c r="D35" i="9"/>
  <c r="D33" i="9"/>
  <c r="D31" i="9"/>
  <c r="D29" i="9"/>
  <c r="D27" i="9"/>
  <c r="D25" i="9"/>
  <c r="D23" i="9"/>
  <c r="D21" i="9"/>
  <c r="D19" i="9"/>
  <c r="D17" i="9"/>
  <c r="D15" i="9"/>
  <c r="D13" i="9"/>
  <c r="D11" i="9"/>
  <c r="D9" i="9"/>
  <c r="F8" i="9"/>
  <c r="H68" i="9"/>
  <c r="H66" i="9"/>
  <c r="H64" i="9"/>
  <c r="H62" i="9"/>
  <c r="H60" i="9"/>
  <c r="H58" i="9"/>
  <c r="H56" i="9"/>
  <c r="H54" i="9"/>
  <c r="H52" i="9"/>
  <c r="H50" i="9"/>
  <c r="H48" i="9"/>
  <c r="H46" i="9"/>
  <c r="H44" i="9"/>
  <c r="H42" i="9"/>
  <c r="H40" i="9"/>
  <c r="H38" i="9"/>
  <c r="H36" i="9"/>
  <c r="H34" i="9"/>
  <c r="H32" i="9"/>
  <c r="H30" i="9"/>
  <c r="H28" i="9"/>
  <c r="H26" i="9"/>
  <c r="H24" i="9"/>
  <c r="H22" i="9"/>
  <c r="H20" i="9"/>
  <c r="H18" i="9"/>
  <c r="H16" i="9"/>
  <c r="H14" i="9"/>
  <c r="H12" i="9"/>
  <c r="H10" i="9"/>
  <c r="J8" i="9"/>
  <c r="J67" i="9"/>
  <c r="J65" i="9"/>
  <c r="J63" i="9"/>
  <c r="J61" i="9"/>
  <c r="J59" i="9"/>
  <c r="J57" i="9"/>
  <c r="J55" i="9"/>
  <c r="J53" i="9"/>
  <c r="J51" i="9"/>
  <c r="J49" i="9"/>
  <c r="J47" i="9"/>
  <c r="J45" i="9"/>
  <c r="J43" i="9"/>
  <c r="J41" i="9"/>
  <c r="J39" i="9"/>
  <c r="J37" i="9"/>
  <c r="J35" i="9"/>
  <c r="J33" i="9"/>
  <c r="J31" i="9"/>
  <c r="J29" i="9"/>
  <c r="J27" i="9"/>
  <c r="J25" i="9"/>
  <c r="J23" i="9"/>
  <c r="J21" i="9"/>
  <c r="J19" i="9"/>
  <c r="J17" i="9"/>
  <c r="J15" i="9"/>
  <c r="J13" i="9"/>
  <c r="J11" i="9"/>
  <c r="J9" i="9"/>
  <c r="I78" i="9"/>
  <c r="G78" i="9"/>
  <c r="D78" i="9"/>
  <c r="J77" i="9"/>
  <c r="H77" i="9"/>
  <c r="I76" i="9"/>
  <c r="G76" i="9"/>
  <c r="D76" i="9"/>
  <c r="J75" i="9"/>
  <c r="H75" i="9"/>
  <c r="I74" i="9"/>
  <c r="G74" i="9"/>
  <c r="D74" i="9"/>
  <c r="J73" i="9"/>
  <c r="H73" i="9"/>
  <c r="I72" i="9"/>
  <c r="G72" i="9"/>
  <c r="D72" i="9"/>
  <c r="J71" i="9"/>
  <c r="H71" i="9"/>
  <c r="I70" i="9"/>
  <c r="G70" i="9"/>
  <c r="D70" i="9"/>
  <c r="J69" i="9"/>
  <c r="H69" i="9"/>
  <c r="E78" i="9"/>
  <c r="E76" i="9"/>
  <c r="E74" i="9"/>
  <c r="E72" i="9"/>
  <c r="E70" i="9"/>
  <c r="I24" i="9"/>
  <c r="I22" i="9"/>
  <c r="I20" i="9"/>
  <c r="I18" i="9"/>
  <c r="I16" i="9"/>
  <c r="I12" i="9"/>
  <c r="I15" i="9"/>
  <c r="I13" i="9"/>
  <c r="I11" i="9"/>
  <c r="K15" i="9" l="1" a="1"/>
  <c r="K15" i="9" s="1"/>
  <c r="K21" i="9" a="1"/>
  <c r="K21" i="9" s="1"/>
  <c r="K34" i="9" a="1"/>
  <c r="K34" i="9" s="1"/>
  <c r="K40" i="9" a="1"/>
  <c r="K40" i="9" s="1"/>
  <c r="K47" i="9" a="1"/>
  <c r="K47" i="9" s="1"/>
  <c r="K53" i="9" a="1"/>
  <c r="K53" i="9" s="1"/>
  <c r="K66" i="9" a="1"/>
  <c r="K66" i="9" s="1"/>
  <c r="K72" i="9" a="1"/>
  <c r="K72" i="9" s="1"/>
  <c r="K9" i="9" a="1"/>
  <c r="K9" i="9" s="1"/>
  <c r="K22" i="9" a="1"/>
  <c r="K22" i="9" s="1"/>
  <c r="K28" i="9" a="1"/>
  <c r="K28" i="9" s="1"/>
  <c r="K35" i="9" a="1"/>
  <c r="K35" i="9" s="1"/>
  <c r="K41" i="9" a="1"/>
  <c r="K41" i="9" s="1"/>
  <c r="K54" i="9" a="1"/>
  <c r="K54" i="9" s="1"/>
  <c r="K60" i="9" a="1"/>
  <c r="K60" i="9" s="1"/>
  <c r="K67" i="9" a="1"/>
  <c r="K67" i="9" s="1"/>
  <c r="K73" i="9" a="1"/>
  <c r="K73" i="9" s="1"/>
  <c r="K10" i="9" a="1"/>
  <c r="K10" i="9" s="1"/>
  <c r="K16" i="9" a="1"/>
  <c r="K16" i="9" s="1"/>
  <c r="K23" i="9" a="1"/>
  <c r="K23" i="9" s="1"/>
  <c r="K29" i="9" a="1"/>
  <c r="K29" i="9" s="1"/>
  <c r="K42" i="9" a="1"/>
  <c r="K42" i="9" s="1"/>
  <c r="K48" i="9" a="1"/>
  <c r="K48" i="9" s="1"/>
  <c r="K55" i="9" a="1"/>
  <c r="K55" i="9" s="1"/>
  <c r="K61" i="9" a="1"/>
  <c r="K61" i="9" s="1"/>
  <c r="K74" i="9" a="1"/>
  <c r="K74" i="9" s="1"/>
  <c r="K11" i="9" a="1"/>
  <c r="K11" i="9" s="1"/>
  <c r="K17" i="9" a="1"/>
  <c r="K17" i="9" s="1"/>
  <c r="K30" i="9" a="1"/>
  <c r="K30" i="9" s="1"/>
  <c r="K36" i="9" a="1"/>
  <c r="K36" i="9" s="1"/>
  <c r="K43" i="9" a="1"/>
  <c r="K43" i="9" s="1"/>
  <c r="K49" i="9" a="1"/>
  <c r="K49" i="9" s="1"/>
  <c r="K62" i="9" a="1"/>
  <c r="K62" i="9" s="1"/>
  <c r="K68" i="9" a="1"/>
  <c r="K68" i="9" s="1"/>
  <c r="K75" i="9" a="1"/>
  <c r="K75" i="9" s="1"/>
  <c r="K18" i="9" a="1"/>
  <c r="K18" i="9" s="1"/>
  <c r="K24" i="9" a="1"/>
  <c r="K24" i="9" s="1"/>
  <c r="K31" i="9" a="1"/>
  <c r="K31" i="9" s="1"/>
  <c r="K37" i="9" a="1"/>
  <c r="K37" i="9" s="1"/>
  <c r="K50" i="9" a="1"/>
  <c r="K50" i="9" s="1"/>
  <c r="K56" i="9" a="1"/>
  <c r="K56" i="9" s="1"/>
  <c r="K63" i="9" a="1"/>
  <c r="K63" i="9" s="1"/>
  <c r="K69" i="9" a="1"/>
  <c r="K69" i="9" s="1"/>
  <c r="K76" i="9" a="1"/>
  <c r="K76" i="9" s="1"/>
  <c r="K12" i="9" a="1"/>
  <c r="K12" i="9" s="1"/>
  <c r="K19" i="9" a="1"/>
  <c r="K19" i="9" s="1"/>
  <c r="K25" i="9" a="1"/>
  <c r="K25" i="9" s="1"/>
  <c r="K38" i="9" a="1"/>
  <c r="K38" i="9" s="1"/>
  <c r="K44" i="9" a="1"/>
  <c r="K44" i="9" s="1"/>
  <c r="K51" i="9" a="1"/>
  <c r="K51" i="9" s="1"/>
  <c r="K57" i="9" a="1"/>
  <c r="K57" i="9" s="1"/>
  <c r="K70" i="9" a="1"/>
  <c r="K70" i="9" s="1"/>
  <c r="K77" i="9" a="1"/>
  <c r="K77" i="9" s="1"/>
  <c r="K13" i="9" a="1"/>
  <c r="K13" i="9" s="1"/>
  <c r="K26" i="9" a="1"/>
  <c r="K26" i="9" s="1"/>
  <c r="K32" i="9" a="1"/>
  <c r="K32" i="9" s="1"/>
  <c r="K39" i="9" a="1"/>
  <c r="K39" i="9" s="1"/>
  <c r="K45" i="9" a="1"/>
  <c r="K45" i="9" s="1"/>
  <c r="K58" i="9" a="1"/>
  <c r="K58" i="9" s="1"/>
  <c r="K64" i="9" a="1"/>
  <c r="K64" i="9" s="1"/>
  <c r="K71" i="9" a="1"/>
  <c r="K71" i="9" s="1"/>
  <c r="K78" i="9" a="1"/>
  <c r="K78" i="9" s="1"/>
  <c r="K14" i="9" a="1"/>
  <c r="K14" i="9" s="1"/>
  <c r="K20" i="9" a="1"/>
  <c r="K20" i="9" s="1"/>
  <c r="K27" i="9" a="1"/>
  <c r="K27" i="9" s="1"/>
  <c r="K33" i="9" a="1"/>
  <c r="K33" i="9" s="1"/>
  <c r="K46" i="9" a="1"/>
  <c r="K46" i="9" s="1"/>
  <c r="K52" i="9" a="1"/>
  <c r="K52" i="9" s="1"/>
  <c r="K59" i="9" a="1"/>
  <c r="K59" i="9" s="1"/>
  <c r="K65" i="9" a="1"/>
  <c r="K65" i="9" s="1"/>
  <c r="K8" i="9" a="1"/>
  <c r="K8" i="9" s="1"/>
  <c r="B3" i="9"/>
  <c r="B2" i="9"/>
</calcChain>
</file>

<file path=xl/sharedStrings.xml><?xml version="1.0" encoding="utf-8"?>
<sst xmlns="http://schemas.openxmlformats.org/spreadsheetml/2006/main" count="2707" uniqueCount="239">
  <si>
    <t>REQUEST_LINK</t>
  </si>
  <si>
    <t>Status</t>
  </si>
  <si>
    <t>Status Date</t>
  </si>
  <si>
    <t>CR#</t>
  </si>
  <si>
    <t>Region</t>
  </si>
  <si>
    <t>Project Name</t>
  </si>
  <si>
    <t>Year 0 Capital</t>
  </si>
  <si>
    <t>Total Project Cost</t>
  </si>
  <si>
    <t>Approval Round</t>
  </si>
  <si>
    <t>Approver</t>
  </si>
  <si>
    <t>Task Status</t>
  </si>
  <si>
    <t>Date Completed</t>
  </si>
  <si>
    <t>EU/EMAI Approvers</t>
  </si>
  <si>
    <t>Round 1 Approvers</t>
  </si>
  <si>
    <t>CFO Approver</t>
  </si>
  <si>
    <t>CEO Approver</t>
  </si>
  <si>
    <t>Corporate Approvers</t>
  </si>
  <si>
    <t>a8ab9c09-7901-46f7-b1bf-a9065008cf24</t>
  </si>
  <si>
    <t>Pending CFO Approval</t>
  </si>
  <si>
    <t>WER-A-C107</t>
  </si>
  <si>
    <t>Global</t>
  </si>
  <si>
    <t>Club Efficiencies (FULL)</t>
  </si>
  <si>
    <t>Upload CR Template</t>
  </si>
  <si>
    <t>Larra Ray</t>
  </si>
  <si>
    <t>Completed</t>
  </si>
  <si>
    <t>christine.parren@rci.com, fiona.downing@rci.com, joe.cahill@rci.com, Barbara.Spengler@rci.com, Rob.Tatum@rci.com, Stan.Kreydin@rci.com, Amy.Dormann@rci.com, Brian.Gosling@rci.com, Brad.Dettmer@rci.com, Mike.Toscano@rci.com, Claire.Mahoney@rci.com, Gordon.Gurnik@rci.com</t>
  </si>
  <si>
    <t>Gail.Mandel@rci.com</t>
  </si>
  <si>
    <t>Geoff.Ballotti@rci.com</t>
  </si>
  <si>
    <t>Edit CR</t>
  </si>
  <si>
    <t>Check Round 1</t>
  </si>
  <si>
    <t>Integrify System</t>
  </si>
  <si>
    <t>Edit CR - Round 1</t>
  </si>
  <si>
    <t>Start Round 1 Approvals</t>
  </si>
  <si>
    <t>Assign Round 1 Approvers</t>
  </si>
  <si>
    <t>Round 1 Approvals</t>
  </si>
  <si>
    <t>Amy Dormann</t>
  </si>
  <si>
    <t>Rob Tatum</t>
  </si>
  <si>
    <t>Barbara Spengler</t>
  </si>
  <si>
    <t>Brian Gosling</t>
  </si>
  <si>
    <t>Brad Dettmer</t>
  </si>
  <si>
    <t>Joe Cahill</t>
  </si>
  <si>
    <t>Gordon Gurnik</t>
  </si>
  <si>
    <t>Mike Toscano</t>
  </si>
  <si>
    <t>Stan Kreydin</t>
  </si>
  <si>
    <t>Fiona Downing</t>
  </si>
  <si>
    <t>Christine Parren</t>
  </si>
  <si>
    <t>Claire Mahoney</t>
  </si>
  <si>
    <t>Check CFO</t>
  </si>
  <si>
    <t>Edit CR - CFO</t>
  </si>
  <si>
    <t>Start CFO Approval</t>
  </si>
  <si>
    <t>Assign CFO Approvals</t>
  </si>
  <si>
    <t>CFO Approval</t>
  </si>
  <si>
    <t>Gail Mandel</t>
  </si>
  <si>
    <t>Initialized</t>
  </si>
  <si>
    <t>901a7109-7f1f-4fe9-ba63-e0961403cfc7</t>
  </si>
  <si>
    <t>WVR-A-C193</t>
  </si>
  <si>
    <t>Rental - WVR</t>
  </si>
  <si>
    <t>Project Genesis-Ph 2A (TRC/CFL)</t>
  </si>
  <si>
    <t>amber.mayer@resortquest.com, bmcnamara@steamboatresorts.com, laureen.santini@rci.com, kim.sanborn@rci.com, Bob.Milne@wyn.com, Barbara.Spengler@rci.com, Rob.Tatum@rci.com, Stan.Kreydin@rci.com, Amy.Dormann@rci.com, Brian.Gosling@rci.com, Brad.Dettmer@rci.com, Mike.Toscano@rci.com</t>
  </si>
  <si>
    <t>Failed</t>
  </si>
  <si>
    <t>Amber Mayer</t>
  </si>
  <si>
    <t>Bob Milne</t>
  </si>
  <si>
    <t>Blair McNamara</t>
  </si>
  <si>
    <t>Kim Sanborn</t>
  </si>
  <si>
    <t>Laureen Santini</t>
  </si>
  <si>
    <t>Failed Assigning Round 1</t>
  </si>
  <si>
    <t>17d9a443-5699-40e5-bb03-9a718901cf21</t>
  </si>
  <si>
    <t>WVR-A-C211</t>
  </si>
  <si>
    <t>Traveller Infrastructure/Licenses/Exclusivity Project</t>
  </si>
  <si>
    <t>Stan.Kreydin@rci.com, Brad.Dettmer@rci.com, Paul.Dudek@rci.com, kim.sanborn@rci.com, Bob.Milne@wyn.com, Barbara.Spengler@rci.com, Rob.Tatum@rci.com, Amy.Dormann@rci.com, Brian.Gosling@rci.com, Mike.Toscano@rci.com</t>
  </si>
  <si>
    <t>Kevin.Linder@wyn.com</t>
  </si>
  <si>
    <t>Paul Dudek</t>
  </si>
  <si>
    <t>74c57120-56fb-4a14-8db2-c6d56a08cf0f</t>
  </si>
  <si>
    <t>WVR-A-PGMU</t>
  </si>
  <si>
    <t>Program United Consolidated</t>
  </si>
  <si>
    <t>bob.milne@wyn.com, laureen.santini@rci.com, kim.sanborn@rci.com, Barbara.Spengler@rci.com, Rob.Tatum@rci.com, Stan.Kreydin@rci.com, Amy.Dormann@rci.com, Brian.Gosling@rci.com, Brad.Dettmer@rci.com, Mike.Toscano@rci.com</t>
  </si>
  <si>
    <t>Name</t>
  </si>
  <si>
    <t>Geoff Ballotti</t>
  </si>
  <si>
    <t>Jeanmarie Cooney</t>
  </si>
  <si>
    <t>Kevin Linder</t>
  </si>
  <si>
    <t>Ronak Shah</t>
  </si>
  <si>
    <t>Susan Post</t>
  </si>
  <si>
    <t>Terry Motsenbocker</t>
  </si>
  <si>
    <t>Tom Conforti</t>
  </si>
  <si>
    <t>8d23f36c-dc56-4cc3-868b-2339ba12cf6d</t>
  </si>
  <si>
    <t>Pending Round 1 Approvals</t>
  </si>
  <si>
    <t>WER-A-B122</t>
  </si>
  <si>
    <t>Enable Points Transactions Online</t>
  </si>
  <si>
    <t>christine.parren@rci.com, fiona.downing@rci.com, susan.post@rci.com, Barbara.Spengler@rci.com, Rob.Tatum@rci.com, Stan.Kreydin@rci.com, Amy.Dormann@rci.com, Brian.Gosling@rci.com, Brad.Dettmer@rci.com, Mike.Toscano@rci.com, Claire.Mahoney@rci.com, Gordon.Gurnik@rci.com</t>
  </si>
  <si>
    <t>592c3f82-6c6a-4fdb-acf9-b6c94115cf9b</t>
  </si>
  <si>
    <t>WER-A-B146</t>
  </si>
  <si>
    <t>Global CVV2 Compliance - Release 1 (Full CR)</t>
  </si>
  <si>
    <t>terry.motsenbocker@rci.com, claire.mahoney@rci.com, ronak.shah@rci.com, Barbara.Spengler@rci.com, Rob.Tatum@rci.com, Stan.Kreydin@rci.com, Amy.Dormann@rci.com, Brian.Gosling@rci.com, Brad.Dettmer@rci.com, Mike.Toscano@rci.com, Gordon.Gurnik@rci.com</t>
  </si>
  <si>
    <t>CR Status Report</t>
  </si>
  <si>
    <r>
      <t xml:space="preserve">Sorted by </t>
    </r>
    <r>
      <rPr>
        <b/>
        <sz val="14"/>
        <color indexed="10"/>
        <rFont val="Arial"/>
        <family val="2"/>
      </rPr>
      <t>Approval Date</t>
    </r>
  </si>
  <si>
    <t xml:space="preserve"> </t>
  </si>
  <si>
    <t>As of</t>
  </si>
  <si>
    <t>*NOTE: All CR's (Approved &amp; In progress) are saved on the FP&amp;A SharePoint on the CR's Tab.</t>
  </si>
  <si>
    <t>SharePoint - In Progress CRs</t>
  </si>
  <si>
    <t>** Total Proj. Cost and  2012 CapEx Amounts are only estimates for approval purposes.  For actual CR amounts, please refer to FP&amp;A Sharepoint link above.</t>
  </si>
  <si>
    <t>CR ID</t>
  </si>
  <si>
    <t>Total Proj. Cost</t>
  </si>
  <si>
    <t>2012 CapEx</t>
  </si>
  <si>
    <t>Approved</t>
  </si>
  <si>
    <t>Approval Date</t>
  </si>
  <si>
    <t>Waiting for Approval</t>
  </si>
  <si>
    <t>Sent Date</t>
  </si>
  <si>
    <t>Future Approvers</t>
  </si>
  <si>
    <t>In Progress</t>
  </si>
  <si>
    <t>Park operating Capital</t>
  </si>
  <si>
    <t>EU-Rental</t>
  </si>
  <si>
    <t>LAN-A-C800</t>
  </si>
  <si>
    <t>5860b4e0-4bb3-434b-93e1-052787b4ce2e</t>
  </si>
  <si>
    <t>Infrastructure Upgrade</t>
  </si>
  <si>
    <t>EMEAI-Exchange</t>
  </si>
  <si>
    <t>SAF-A-C624</t>
  </si>
  <si>
    <t>f2be307d-6165-4bf7-9430-0e67cafbce21</t>
  </si>
  <si>
    <t>Discount Internal Exchange Trading Power - Discovery</t>
  </si>
  <si>
    <t>WER-A-B222</t>
  </si>
  <si>
    <t>405a01ca-d2e6-4788-b4b7-15604689ceda</t>
  </si>
  <si>
    <t>WVR NA Oracle Financials Phase 1 (FULL)</t>
  </si>
  <si>
    <t>Rentals - NA</t>
  </si>
  <si>
    <t>WVR-A-C100</t>
  </si>
  <si>
    <t>d0020530-d75e-4a3d-84b0-179c8ad4ce55</t>
  </si>
  <si>
    <t>Traveller Phase 1 (Part of Program United)</t>
  </si>
  <si>
    <t>WVR-A-B198</t>
  </si>
  <si>
    <t>989ed3b7-8bd7-430d-9751-1ba59cb0ce3c</t>
  </si>
  <si>
    <t>Discount Internal Exchange Trading Power (Full)</t>
  </si>
  <si>
    <t>0a9fa2e8-d7c7-407b-8255-1befc1afceb6</t>
  </si>
  <si>
    <t>DBL Operator ID Expansion</t>
  </si>
  <si>
    <t>WER-A-B178</t>
  </si>
  <si>
    <t>42ad1f19-40c9-4787-aca8-227870b4cedb</t>
  </si>
  <si>
    <t>Intech Storage Back Up</t>
  </si>
  <si>
    <t>EME-A-B632</t>
  </si>
  <si>
    <t>2aa49127-a409-4ee4-806c-29cab871ce97</t>
  </si>
  <si>
    <t>Cross Sell Discovery CR (111124)</t>
  </si>
  <si>
    <t>WER-A-B124</t>
  </si>
  <si>
    <t>7705041e-b823-4522-884c-2a89eac8ce6d</t>
  </si>
  <si>
    <t>Mainframe RPO Reduction</t>
  </si>
  <si>
    <t>WER-A-C214</t>
  </si>
  <si>
    <t>23bed3e0-1636-4c13-88ed-2becb8ffce57</t>
  </si>
  <si>
    <t>Enable Points Transactions Online (Discovery)</t>
  </si>
  <si>
    <t>8862cb7c-ab5e-450e-ad32-30ec6db8ce27</t>
  </si>
  <si>
    <t>July Small Enhancements (FULL)</t>
  </si>
  <si>
    <t>WER-A-C121</t>
  </si>
  <si>
    <t>e1086f4b-e4fb-4b41-a52b-5dadddfbceb6</t>
  </si>
  <si>
    <t>Deposit Simplification (Discovery)</t>
  </si>
  <si>
    <t>WER-A-B126</t>
  </si>
  <si>
    <t>67ff9efc-aba7-4b22-9567-67cc05b9ced7</t>
  </si>
  <si>
    <t>Mobile rci.com ARDA Release (Full CR)</t>
  </si>
  <si>
    <t>WER-A-C114</t>
  </si>
  <si>
    <t>78cf991b-1e89-45fd-8f3e-69196dc3cee9</t>
  </si>
  <si>
    <t>Interest and Destination Content Search (DISCOVERY)</t>
  </si>
  <si>
    <t>WER-A-B224</t>
  </si>
  <si>
    <t>2f1d9c71-08e2-488f-98bc-6cb0aad0ce68</t>
  </si>
  <si>
    <t>Member Preference Center (Discovery)</t>
  </si>
  <si>
    <t>WER-A-C109</t>
  </si>
  <si>
    <t>f3baad50-e0ee-4104-a159-73e5f4b9cec3</t>
  </si>
  <si>
    <t>SAN Replacement</t>
  </si>
  <si>
    <t>WER-A-C119</t>
  </si>
  <si>
    <t>13563189-27dc-43f2-8b8e-7b0544d6ce7e</t>
  </si>
  <si>
    <t>Travel Integration Expansion</t>
  </si>
  <si>
    <t>WER-A-B208</t>
  </si>
  <si>
    <t>553228a9-c360-4d24-ae63-7b3442a3ceba</t>
  </si>
  <si>
    <t>EU Exch - Essbase Migration - Phase 1</t>
  </si>
  <si>
    <t>WER-A-B180</t>
  </si>
  <si>
    <t>bf9c8492-8bc9-47a4-83e0-89540383ce3d</t>
  </si>
  <si>
    <t>Information Architecture Content Management (DISCOVERY)</t>
  </si>
  <si>
    <t>WER-A-B223</t>
  </si>
  <si>
    <t>a9be015f-11aa-44bf-b7f6-8e1af3d3ceed</t>
  </si>
  <si>
    <t>TOPS'L Tiki &amp; Beach Pool</t>
  </si>
  <si>
    <t>ResortQuest</t>
  </si>
  <si>
    <t>RSQ-A-B972</t>
  </si>
  <si>
    <t>07effc52-9d30-4825-9694-9156058dceab</t>
  </si>
  <si>
    <t>Integrify Testing #2</t>
  </si>
  <si>
    <t>CAN-A-B700</t>
  </si>
  <si>
    <t>9086f6e8-88e4-4056-828a-9475a16eceda</t>
  </si>
  <si>
    <t>Weeks Platinum Phase 2 (Final)</t>
  </si>
  <si>
    <t>WER-A-B205</t>
  </si>
  <si>
    <t>ccd863c9-03da-45cd-b95f-a5ba67a2cea0</t>
  </si>
  <si>
    <t>Oracle Enh - Brazil Synchro Module Implementation</t>
  </si>
  <si>
    <t>WER-A-C130</t>
  </si>
  <si>
    <t>f8887f80-7e2d-4f7b-aa10-abc00ab6cea4</t>
  </si>
  <si>
    <t>WVR-A-C116 WVR NA Essbase Implementation (FULL)</t>
  </si>
  <si>
    <t>WVR-A-C116</t>
  </si>
  <si>
    <t>9607db31-0fdf-4610-8d8a-ac06c1dbce9a</t>
  </si>
  <si>
    <t>Call Center Contact Analytics</t>
  </si>
  <si>
    <t>North America</t>
  </si>
  <si>
    <t>RCI-A-C191</t>
  </si>
  <si>
    <t>5b17ca6a-48fc-422c-9f39-b1cbc3cfcee9</t>
  </si>
  <si>
    <t xml:space="preserve">Points Area Restrictions - Full CR (Clarity 111228) </t>
  </si>
  <si>
    <t>WER-A-B228</t>
  </si>
  <si>
    <t>84553a8b-c534-49ad-9f6d-c23d05a4ce49</t>
  </si>
  <si>
    <t>WVR Integration</t>
  </si>
  <si>
    <t>WVR-A-C101</t>
  </si>
  <si>
    <t>94cc7604-00a2-4c21-a524-c52b3afbce9a</t>
  </si>
  <si>
    <t>SAS Multi Region Access Licenses</t>
  </si>
  <si>
    <t>WER-A-C968</t>
  </si>
  <si>
    <t>b2d07784-aba0-43c9-8556-cb4d14e1ce6a</t>
  </si>
  <si>
    <t>Club Efficiencies - Discovery CR</t>
  </si>
  <si>
    <t>f5e5995e-e47b-49f7-a18c-d7eb89b3ce5e</t>
  </si>
  <si>
    <t>2012 Wiley for Mobile Apps</t>
  </si>
  <si>
    <t>WER-A-C137</t>
  </si>
  <si>
    <t>7efd45f0-18be-492a-962c-e0d69687ce69</t>
  </si>
  <si>
    <t>Final Testing on 11-14</t>
  </si>
  <si>
    <t>EVR-A-B186</t>
  </si>
  <si>
    <t>70219674-8f36-42c4-9754-e1db8571ceea</t>
  </si>
  <si>
    <t>My Vacation Watcher</t>
  </si>
  <si>
    <t>EVR-A-B195</t>
  </si>
  <si>
    <t>b838749d-e379-4cf3-a18a-e94c65fdce78</t>
  </si>
  <si>
    <t>Enterprise Service Bus (ESB) Platform</t>
  </si>
  <si>
    <t>WER-A-C110</t>
  </si>
  <si>
    <t>de99af1a-c4e3-4628-9bb0-ebd9ffcfcec3</t>
  </si>
  <si>
    <t>Enterprise Data Warehouse Phase 1 Discovery CR</t>
  </si>
  <si>
    <t>WER-A-C104</t>
  </si>
  <si>
    <t>e2ca50c4-ee43-4a4f-9154-ed365bcece0e</t>
  </si>
  <si>
    <t>Wily License True-up</t>
  </si>
  <si>
    <t>WER-A-B152</t>
  </si>
  <si>
    <t>ce6f3a16-6185-450b-94f0-f3bb5089ceb7</t>
  </si>
  <si>
    <t>James Villas Air Conditioning Upgrade</t>
  </si>
  <si>
    <t>THG-A-C731</t>
  </si>
  <si>
    <t>1f6f06a5-9baa-4bc7-ab7f-fd508ddfce3b</t>
  </si>
  <si>
    <t>Web Small Enhancements  - Full CR (Clarity 111225)</t>
  </si>
  <si>
    <t>WER-A-B225</t>
  </si>
  <si>
    <t>54696b8b-3c47-4064-ac4a-fdb7ffb5ce15</t>
  </si>
  <si>
    <t>Synergex 2012</t>
  </si>
  <si>
    <t>WER-A-B234</t>
  </si>
  <si>
    <t>0bd08bd3-c2ae-4f63-972c-ffcaacb3cea6</t>
  </si>
  <si>
    <t>Project Name:</t>
  </si>
  <si>
    <t>Current Year CapEx</t>
  </si>
  <si>
    <t>CR#:</t>
  </si>
  <si>
    <t>Gail Mendel</t>
  </si>
  <si>
    <t>Steve Holmes</t>
  </si>
  <si>
    <t>jeanmarie.cooney@wyn.com</t>
  </si>
  <si>
    <t>tom.conforti@wyn.com</t>
  </si>
  <si>
    <t>steve.holmes@wyn.com</t>
  </si>
  <si>
    <t>&gt;CR's</t>
  </si>
  <si>
    <t>ie</t>
  </si>
  <si>
    <t>Project 7,000,000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</si>
</sst>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5" formatCode="&quot;$&quot;#,##0_);\(&quot;$&quot;#,##0\)"/>
    <numFmt numFmtId="6" formatCode="&quot;$&quot;#,##0_);[Red]\(&quot;$&quot;#,##0\)"/>
    <numFmt numFmtId="44" formatCode="_(&quot;$&quot;* #,##0.00_);_(&quot;$&quot;* \(#,##0.00\);_(&quot;$&quot;* &quot;-&quot;??_);_(@_)"/>
    <numFmt numFmtId="164" formatCode="&quot;$&quot;#,##0"/>
    <numFmt numFmtId="165" formatCode="mm/dd/yy;@"/>
    <numFmt numFmtId="166" formatCode="h:mm\ AM/PM\ m/d/yy"/>
    <numFmt numFmtId="167" formatCode="&quot;$&quot;#,##0.00"/>
  </numFmts>
  <fonts count="16" x14ac:knownFonts="1">
    <font>
      <sz val="11"/>
      <color theme="1"/>
      <name val="Calibri"/>
      <family val="2"/>
      <scheme val="minor"/>
    </font>
    <font>
      <u/>
      <sz val="9.9"/>
      <color theme="10"/>
      <name val="Calibri"/>
      <family val="2"/>
    </font>
    <font>
      <b/>
      <sz val="16"/>
      <name val="Arial"/>
      <family val="2"/>
    </font>
    <font>
      <b/>
      <sz val="10"/>
      <color indexed="10"/>
      <name val="Arial"/>
      <family val="2"/>
    </font>
    <font>
      <b/>
      <sz val="14"/>
      <color indexed="10"/>
      <name val="Arial"/>
      <family val="2"/>
    </font>
    <font>
      <b/>
      <sz val="10"/>
      <name val="Arial"/>
      <family val="2"/>
    </font>
    <font>
      <b/>
      <sz val="10"/>
      <color indexed="9"/>
      <name val="Arial"/>
      <family val="2"/>
    </font>
    <font>
      <u/>
      <sz val="10"/>
      <color indexed="12"/>
      <name val="Arial"/>
      <family val="2"/>
    </font>
    <font>
      <sz val="10"/>
      <name val="Arial"/>
      <family val="2"/>
    </font>
    <font>
      <b/>
      <sz val="12"/>
      <color indexed="9"/>
      <name val="Arial"/>
      <family val="2"/>
    </font>
    <font>
      <b/>
      <sz val="11"/>
      <color theme="1"/>
      <name val="Calibri"/>
      <family val="2"/>
      <scheme val="minor"/>
    </font>
    <font>
      <b/>
      <sz val="11"/>
      <color theme="3"/>
      <name val="Calibri"/>
      <family val="2"/>
      <scheme val="minor"/>
    </font>
    <font>
      <sz val="36"/>
      <color theme="1"/>
      <name val="Calibri"/>
      <family val="2"/>
      <scheme val="minor"/>
    </font>
    <font>
      <sz val="11"/>
      <color theme="0" tint="-0.499984740745262"/>
      <name val="Calibri"/>
      <family val="2"/>
      <scheme val="minor"/>
    </font>
    <font>
      <sz val="11"/>
      <color theme="1"/>
      <name val="Calibri"/>
      <family val="2"/>
      <scheme val="minor"/>
    </font>
    <font>
      <sz val="11"/>
      <color theme="0"/>
      <name val="Calibri"/>
      <family val="2"/>
      <scheme val="minor"/>
    </font>
  </fonts>
  <fills count="5">
    <fill>
      <patternFill patternType="none"/>
    </fill>
    <fill>
      <patternFill patternType="gray125"/>
    </fill>
    <fill>
      <patternFill patternType="solid">
        <fgColor indexed="9"/>
        <bgColor indexed="64"/>
      </patternFill>
    </fill>
    <fill>
      <patternFill patternType="solid">
        <fgColor indexed="54"/>
        <bgColor indexed="64"/>
      </patternFill>
    </fill>
    <fill>
      <patternFill patternType="solid">
        <fgColor rgb="FFFFFF00"/>
        <bgColor indexed="64"/>
      </patternFill>
    </fill>
  </fills>
  <borders count="21">
    <border>
      <left/>
      <right/>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diagonal/>
    </border>
  </borders>
  <cellStyleXfs count="3">
    <xf numFmtId="0" fontId="0" fillId="0" borderId="0"/>
    <xf numFmtId="0" fontId="1" fillId="0" borderId="0" applyNumberFormat="0" applyFill="0" applyBorder="0" applyAlignment="0" applyProtection="0">
      <alignment vertical="top"/>
      <protection locked="0"/>
    </xf>
    <xf numFmtId="44" fontId="14" fillId="0" borderId="0" applyFont="0" applyFill="0" applyBorder="0" applyAlignment="0" applyProtection="0"/>
  </cellStyleXfs>
  <cellXfs count="73">
    <xf numFmtId="0" fontId="0" fillId="0" borderId="0" xfId="0"/>
    <xf numFmtId="22" fontId="0" fillId="0" borderId="0" xfId="0" applyNumberFormat="1"/>
    <xf numFmtId="3" fontId="0" fillId="0" borderId="0" xfId="0" applyNumberFormat="1"/>
    <xf numFmtId="6" fontId="0" fillId="0" borderId="0" xfId="0" applyNumberFormat="1"/>
    <xf numFmtId="0" fontId="0" fillId="0" borderId="0" xfId="0" applyNumberFormat="1"/>
    <xf numFmtId="14" fontId="0" fillId="0" borderId="0" xfId="0" applyNumberFormat="1"/>
    <xf numFmtId="164" fontId="0" fillId="0" borderId="0" xfId="0" applyNumberFormat="1"/>
    <xf numFmtId="0" fontId="2" fillId="2" borderId="0" xfId="0" applyFont="1" applyFill="1" applyAlignment="1">
      <alignment horizontal="left"/>
    </xf>
    <xf numFmtId="0" fontId="0" fillId="2" borderId="0" xfId="0" applyFill="1" applyAlignment="1">
      <alignment horizontal="center"/>
    </xf>
    <xf numFmtId="0" fontId="3" fillId="2" borderId="0" xfId="0" applyFont="1" applyFill="1" applyAlignment="1">
      <alignment horizontal="left"/>
    </xf>
    <xf numFmtId="5" fontId="3" fillId="2" borderId="0" xfId="0" applyNumberFormat="1" applyFont="1" applyFill="1" applyAlignment="1">
      <alignment horizontal="center"/>
    </xf>
    <xf numFmtId="0" fontId="0" fillId="2" borderId="0" xfId="0" applyFill="1" applyAlignment="1">
      <alignment horizontal="left"/>
    </xf>
    <xf numFmtId="165" fontId="0" fillId="2" borderId="0" xfId="0" applyNumberFormat="1" applyFill="1" applyAlignment="1">
      <alignment horizontal="center"/>
    </xf>
    <xf numFmtId="0" fontId="5" fillId="2" borderId="0" xfId="0" applyFont="1" applyFill="1" applyAlignment="1">
      <alignment horizontal="center"/>
    </xf>
    <xf numFmtId="0" fontId="5" fillId="2" borderId="0" xfId="0" applyFont="1" applyFill="1" applyAlignment="1">
      <alignment horizontal="right"/>
    </xf>
    <xf numFmtId="166" fontId="5" fillId="2" borderId="0" xfId="0" applyNumberFormat="1" applyFont="1" applyFill="1" applyAlignment="1">
      <alignment horizontal="left"/>
    </xf>
    <xf numFmtId="0" fontId="5" fillId="2" borderId="0" xfId="0" applyFont="1" applyFill="1"/>
    <xf numFmtId="166" fontId="6" fillId="2" borderId="0" xfId="0" applyNumberFormat="1" applyFont="1" applyFill="1" applyAlignment="1">
      <alignment horizontal="left"/>
    </xf>
    <xf numFmtId="166" fontId="3" fillId="2" borderId="0" xfId="0" applyNumberFormat="1" applyFont="1" applyFill="1" applyAlignment="1">
      <alignment horizontal="left"/>
    </xf>
    <xf numFmtId="0" fontId="7" fillId="2" borderId="0" xfId="1" applyFont="1" applyFill="1" applyAlignment="1" applyProtection="1"/>
    <xf numFmtId="0" fontId="8" fillId="2" borderId="0" xfId="1" applyFont="1" applyFill="1" applyAlignment="1" applyProtection="1"/>
    <xf numFmtId="0" fontId="9" fillId="3" borderId="1" xfId="0" applyFont="1" applyFill="1" applyBorder="1" applyAlignment="1">
      <alignment horizontal="center"/>
    </xf>
    <xf numFmtId="0" fontId="9" fillId="3" borderId="5" xfId="0" applyFont="1" applyFill="1" applyBorder="1" applyAlignment="1">
      <alignment horizontal="center"/>
    </xf>
    <xf numFmtId="165" fontId="9" fillId="3" borderId="6" xfId="0" applyNumberFormat="1" applyFont="1" applyFill="1" applyBorder="1" applyAlignment="1">
      <alignment horizontal="center"/>
    </xf>
    <xf numFmtId="0" fontId="10" fillId="0" borderId="0" xfId="0" applyFont="1"/>
    <xf numFmtId="0" fontId="11" fillId="0" borderId="0" xfId="0" applyFont="1"/>
    <xf numFmtId="167" fontId="11" fillId="0" borderId="0" xfId="0" applyNumberFormat="1" applyFont="1" applyAlignment="1">
      <alignment horizontal="center"/>
    </xf>
    <xf numFmtId="0" fontId="11" fillId="0" borderId="10" xfId="0" applyFont="1" applyBorder="1"/>
    <xf numFmtId="0" fontId="11" fillId="0" borderId="9" xfId="0" applyFont="1" applyBorder="1"/>
    <xf numFmtId="167" fontId="11" fillId="0" borderId="10" xfId="0" applyNumberFormat="1" applyFont="1" applyBorder="1" applyAlignment="1">
      <alignment horizontal="center"/>
    </xf>
    <xf numFmtId="167" fontId="11" fillId="0" borderId="9" xfId="0" applyNumberFormat="1" applyFont="1" applyBorder="1" applyAlignment="1">
      <alignment horizontal="center"/>
    </xf>
    <xf numFmtId="0" fontId="0" fillId="0" borderId="9" xfId="0" applyBorder="1"/>
    <xf numFmtId="14" fontId="0" fillId="0" borderId="9" xfId="0" applyNumberFormat="1" applyBorder="1"/>
    <xf numFmtId="167" fontId="0" fillId="0" borderId="0" xfId="0" applyNumberFormat="1" applyAlignment="1">
      <alignment horizontal="center"/>
    </xf>
    <xf numFmtId="0" fontId="9" fillId="3" borderId="12" xfId="0" applyFont="1" applyFill="1" applyBorder="1" applyAlignment="1">
      <alignment horizontal="center"/>
    </xf>
    <xf numFmtId="0" fontId="9" fillId="3" borderId="13" xfId="0" applyFont="1" applyFill="1" applyBorder="1" applyAlignment="1">
      <alignment horizontal="center"/>
    </xf>
    <xf numFmtId="5" fontId="9" fillId="3" borderId="13" xfId="0" applyNumberFormat="1" applyFont="1" applyFill="1" applyBorder="1" applyAlignment="1">
      <alignment horizontal="center"/>
    </xf>
    <xf numFmtId="0" fontId="9" fillId="3" borderId="14" xfId="0" applyFont="1" applyFill="1" applyBorder="1" applyAlignment="1">
      <alignment horizontal="center"/>
    </xf>
    <xf numFmtId="0" fontId="9" fillId="3" borderId="15" xfId="0" applyFont="1" applyFill="1" applyBorder="1" applyAlignment="1">
      <alignment horizontal="center"/>
    </xf>
    <xf numFmtId="0" fontId="9" fillId="3" borderId="16" xfId="0" applyFont="1" applyFill="1" applyBorder="1" applyAlignment="1">
      <alignment horizontal="center"/>
    </xf>
    <xf numFmtId="0" fontId="0" fillId="0" borderId="11" xfId="0" applyBorder="1"/>
    <xf numFmtId="167" fontId="0" fillId="0" borderId="11" xfId="0" applyNumberFormat="1" applyBorder="1" applyAlignment="1">
      <alignment horizontal="center"/>
    </xf>
    <xf numFmtId="14" fontId="0" fillId="0" borderId="11" xfId="0" applyNumberFormat="1" applyBorder="1"/>
    <xf numFmtId="0" fontId="0" fillId="0" borderId="18" xfId="0" applyBorder="1"/>
    <xf numFmtId="0" fontId="0" fillId="0" borderId="19" xfId="0" applyBorder="1"/>
    <xf numFmtId="0" fontId="13" fillId="0" borderId="10" xfId="0" applyFont="1" applyBorder="1"/>
    <xf numFmtId="14" fontId="13" fillId="0" borderId="10" xfId="0" applyNumberFormat="1" applyFont="1" applyBorder="1"/>
    <xf numFmtId="0" fontId="13" fillId="0" borderId="9" xfId="0" applyFont="1" applyBorder="1"/>
    <xf numFmtId="14" fontId="13" fillId="0" borderId="9" xfId="0" applyNumberFormat="1" applyFont="1" applyBorder="1"/>
    <xf numFmtId="0" fontId="9" fillId="3" borderId="1" xfId="0" applyFont="1" applyFill="1" applyBorder="1" applyAlignment="1">
      <alignment horizontal="center" wrapText="1"/>
    </xf>
    <xf numFmtId="0" fontId="9" fillId="3" borderId="2" xfId="0" applyFont="1" applyFill="1" applyBorder="1" applyAlignment="1">
      <alignment horizontal="center" wrapText="1"/>
    </xf>
    <xf numFmtId="0" fontId="9" fillId="3" borderId="3" xfId="0" applyFont="1" applyFill="1" applyBorder="1" applyAlignment="1">
      <alignment horizontal="center" wrapText="1"/>
    </xf>
    <xf numFmtId="0" fontId="9" fillId="3" borderId="4" xfId="0" applyFont="1" applyFill="1" applyBorder="1" applyAlignment="1">
      <alignment horizontal="center" wrapText="1"/>
    </xf>
    <xf numFmtId="5" fontId="9" fillId="3" borderId="4" xfId="0" applyNumberFormat="1" applyFont="1" applyFill="1" applyBorder="1" applyAlignment="1">
      <alignment horizontal="center" wrapText="1"/>
    </xf>
    <xf numFmtId="0" fontId="9" fillId="3" borderId="5" xfId="0" applyFont="1" applyFill="1" applyBorder="1" applyAlignment="1">
      <alignment horizontal="center" wrapText="1"/>
    </xf>
    <xf numFmtId="165" fontId="9" fillId="3" borderId="6" xfId="0" applyNumberFormat="1" applyFont="1" applyFill="1" applyBorder="1" applyAlignment="1">
      <alignment horizontal="center" wrapText="1"/>
    </xf>
    <xf numFmtId="0" fontId="9" fillId="3" borderId="7" xfId="0" applyFont="1" applyFill="1" applyBorder="1" applyAlignment="1">
      <alignment horizontal="center" wrapText="1"/>
    </xf>
    <xf numFmtId="0" fontId="9" fillId="3" borderId="8" xfId="0" applyFont="1" applyFill="1" applyBorder="1" applyAlignment="1">
      <alignment horizontal="center" wrapText="1"/>
    </xf>
    <xf numFmtId="0" fontId="9" fillId="3" borderId="17" xfId="0" applyFont="1" applyFill="1" applyBorder="1" applyAlignment="1">
      <alignment horizontal="center" wrapText="1"/>
    </xf>
    <xf numFmtId="0" fontId="11" fillId="0" borderId="19" xfId="0" applyFont="1" applyBorder="1"/>
    <xf numFmtId="167" fontId="11" fillId="0" borderId="19" xfId="0" applyNumberFormat="1" applyFont="1" applyBorder="1" applyAlignment="1">
      <alignment horizontal="center"/>
    </xf>
    <xf numFmtId="14" fontId="0" fillId="0" borderId="19" xfId="0" applyNumberFormat="1" applyBorder="1"/>
    <xf numFmtId="0" fontId="13" fillId="0" borderId="19" xfId="0" applyFont="1" applyBorder="1"/>
    <xf numFmtId="14" fontId="13" fillId="0" borderId="19" xfId="0" applyNumberFormat="1" applyFont="1" applyBorder="1"/>
    <xf numFmtId="0" fontId="0" fillId="4" borderId="0" xfId="0" applyFill="1"/>
    <xf numFmtId="6" fontId="0" fillId="4" borderId="0" xfId="0" applyNumberFormat="1" applyFill="1"/>
    <xf numFmtId="0" fontId="0" fillId="0" borderId="0" xfId="0" applyBorder="1"/>
    <xf numFmtId="0" fontId="10" fillId="0" borderId="0" xfId="0" applyFont="1" applyBorder="1"/>
    <xf numFmtId="44" fontId="0" fillId="0" borderId="11" xfId="2" applyFont="1" applyBorder="1"/>
    <xf numFmtId="0" fontId="0" fillId="0" borderId="20" xfId="0" applyFill="1" applyBorder="1"/>
    <xf numFmtId="0" fontId="0" fillId="0" borderId="20" xfId="0" applyBorder="1"/>
    <xf numFmtId="0" fontId="12" fillId="0" borderId="0" xfId="0" applyFont="1" applyAlignment="1">
      <alignment horizontal="center" vertical="center" textRotation="90"/>
    </xf>
    <xf numFmtId="0" fontId="15" fillId="0" borderId="9" xfId="0" applyFont="1" applyBorder="1"/>
  </cellXfs>
  <cellStyles count="3">
    <cellStyle name="Currency" xfId="2" builtinId="4"/>
    <cellStyle name="Hyperlink" xfId="1" builtinId="8"/>
    <cellStyle name="Normal" xfId="0" builtinId="0"/>
  </cellStyles>
  <dxfs count="9">
    <dxf>
      <border>
        <top style="thin">
          <color auto="1"/>
        </top>
        <vertical/>
        <horizontal/>
      </border>
    </dxf>
    <dxf>
      <border>
        <top style="thin">
          <color auto="1"/>
        </top>
        <vertical/>
        <horizontal/>
      </border>
    </dxf>
    <dxf>
      <border>
        <top style="thin">
          <color auto="1"/>
        </top>
        <vertical/>
        <horizontal/>
      </border>
    </dxf>
    <dxf>
      <border>
        <top style="thin">
          <color auto="1"/>
        </top>
        <vertical/>
        <horizontal/>
      </border>
    </dxf>
    <dxf>
      <border>
        <top style="thin">
          <color auto="1"/>
        </top>
        <vertical/>
        <horizontal/>
      </border>
    </dxf>
    <dxf>
      <border>
        <top style="thin">
          <color auto="1"/>
        </top>
        <vertical/>
        <horizontal/>
      </border>
    </dxf>
    <dxf>
      <border>
        <top style="thin">
          <color auto="1"/>
        </top>
        <vertical/>
        <horizontal/>
      </border>
    </dxf>
    <dxf>
      <font>
        <color theme="0"/>
      </font>
    </dxf>
    <dxf>
      <font>
        <color theme="3"/>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13</xdr:col>
      <xdr:colOff>204107</xdr:colOff>
      <xdr:row>6</xdr:row>
      <xdr:rowOff>95249</xdr:rowOff>
    </xdr:from>
    <xdr:to>
      <xdr:col>25</xdr:col>
      <xdr:colOff>108858</xdr:colOff>
      <xdr:row>33</xdr:row>
      <xdr:rowOff>149679</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6723178" y="1319892"/>
          <a:ext cx="7946573" cy="54156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Now only one things needs to be fixed "Future Approvers" in the tab CRStatusReport_InProgress. I need it to populate names of corporate approvers found in the Corporate Approvers tab.</a:t>
          </a:r>
        </a:p>
        <a:p>
          <a:endParaRPr lang="en-US" sz="1600"/>
        </a:p>
        <a:p>
          <a:r>
            <a:rPr lang="en-US" sz="1600"/>
            <a:t>Do not have to worry about new projects, but the names of approvers needs to be dynamic to update when re-opened</a:t>
          </a:r>
        </a:p>
        <a:p>
          <a:br>
            <a:rPr lang="en-US" sz="1600"/>
          </a:br>
          <a:r>
            <a:rPr lang="en-US" sz="1600"/>
            <a:t>Here is the criteria:</a:t>
          </a:r>
          <a:br>
            <a:rPr lang="en-US" sz="1600"/>
          </a:br>
          <a:br>
            <a:rPr lang="en-US" sz="1600"/>
          </a:br>
          <a:r>
            <a:rPr lang="en-US" sz="1600"/>
            <a:t>1. if Total Proj. Cost is &gt;8000 then I need it to show Steve Holmes and rest of the people below him from the corporate approvers tab. So for example for the first one it should populate Gail Mendel, Geoff Ballotti, Kevin Linder just like that, one below the other.</a:t>
          </a:r>
        </a:p>
        <a:p>
          <a:br>
            <a:rPr lang="en-US" sz="1600"/>
          </a:br>
          <a:r>
            <a:rPr lang="en-US" sz="1600"/>
            <a:t>2. If any of these names is already under "Waiting for Approval" or"Approved" then it should be skipped.</a:t>
          </a:r>
          <a:br>
            <a:rPr lang="en-US" sz="1600"/>
          </a:br>
          <a:br>
            <a:rPr lang="en-US" sz="1600"/>
          </a:br>
          <a:r>
            <a:rPr lang="en-US" sz="1600"/>
            <a:t>To do all this I need to come up with a single formula so that they can</a:t>
          </a:r>
          <a:br>
            <a:rPr lang="en-US" sz="1600"/>
          </a:br>
          <a:r>
            <a:rPr lang="en-US" sz="1600"/>
            <a:t>just drag that down. The data is dynamic, therefore changes, everytime</a:t>
          </a:r>
          <a:br>
            <a:rPr lang="en-US" sz="1600"/>
          </a:br>
          <a:r>
            <a:rPr lang="en-US" sz="1600"/>
            <a:t>they reload it.</a:t>
          </a:r>
          <a:br>
            <a:rPr lang="en-US" sz="1600"/>
          </a:br>
          <a:endParaRPr lang="en-US" sz="16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in%20class%20work/rciq114/My%20Documents/My%20Documents/SharePoint%20Drafts/rciteam.wyndhamworldwide.com/sites/FPA/CRs/InProgressCRs.aspx?PageView=Shared"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in%20class%20work/rciq114/My%20Documents/My%20Documents/SharePoint%20Drafts/rciteam.wyndhamworldwide.com/sites/FPA/CRs/InProgressCRs.aspx%3fPageView=Shared"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34"/>
  <sheetViews>
    <sheetView topLeftCell="G1" workbookViewId="0">
      <selection activeCell="T4" sqref="T4:T10"/>
    </sheetView>
  </sheetViews>
  <sheetFormatPr defaultRowHeight="14.4" x14ac:dyDescent="0.55000000000000004"/>
  <cols>
    <col min="1" max="1" width="36.83984375" bestFit="1" customWidth="1"/>
    <col min="2" max="2" width="21" bestFit="1" customWidth="1"/>
    <col min="3" max="3" width="14.83984375" bestFit="1" customWidth="1"/>
    <col min="4" max="4" width="13.578125" bestFit="1" customWidth="1"/>
    <col min="6" max="6" width="47.83984375" bestFit="1" customWidth="1"/>
    <col min="8" max="8" width="18.83984375" bestFit="1" customWidth="1"/>
    <col min="9" max="9" width="24.26171875" bestFit="1" customWidth="1"/>
    <col min="10" max="10" width="16.15625" bestFit="1" customWidth="1"/>
    <col min="11" max="11" width="13" bestFit="1" customWidth="1"/>
    <col min="12" max="12" width="17.83984375" bestFit="1" customWidth="1"/>
    <col min="14" max="14" width="50.68359375" customWidth="1"/>
    <col min="15" max="15" width="20.26171875" bestFit="1" customWidth="1"/>
    <col min="16" max="16" width="21.68359375" bestFit="1" customWidth="1"/>
    <col min="17" max="17" width="22.41796875" bestFit="1" customWidth="1"/>
  </cols>
  <sheetData>
    <row r="1" spans="1:20" x14ac:dyDescent="0.55000000000000004">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20" x14ac:dyDescent="0.55000000000000004">
      <c r="A2" t="s">
        <v>17</v>
      </c>
      <c r="B2" t="s">
        <v>18</v>
      </c>
      <c r="C2" s="1">
        <v>41060.534502314818</v>
      </c>
      <c r="D2" t="s">
        <v>19</v>
      </c>
      <c r="E2" t="s">
        <v>20</v>
      </c>
      <c r="F2" t="s">
        <v>21</v>
      </c>
      <c r="G2" s="2">
        <v>750000</v>
      </c>
      <c r="H2" s="3">
        <v>1423750</v>
      </c>
      <c r="I2" t="s">
        <v>22</v>
      </c>
      <c r="J2" t="s">
        <v>23</v>
      </c>
      <c r="K2" t="s">
        <v>24</v>
      </c>
      <c r="L2" s="1">
        <v>41054.529849537037</v>
      </c>
      <c r="N2" s="4" t="s">
        <v>25</v>
      </c>
      <c r="O2" t="s">
        <v>26</v>
      </c>
      <c r="P2" t="s">
        <v>27</v>
      </c>
    </row>
    <row r="3" spans="1:20" x14ac:dyDescent="0.55000000000000004">
      <c r="A3" t="s">
        <v>17</v>
      </c>
      <c r="B3" t="s">
        <v>18</v>
      </c>
      <c r="C3" s="1">
        <v>41060.534502314818</v>
      </c>
      <c r="D3" t="s">
        <v>19</v>
      </c>
      <c r="E3" t="s">
        <v>20</v>
      </c>
      <c r="F3" t="s">
        <v>21</v>
      </c>
      <c r="G3" s="2">
        <v>750000</v>
      </c>
      <c r="H3" s="3">
        <v>1423750</v>
      </c>
      <c r="I3" t="s">
        <v>28</v>
      </c>
      <c r="J3" t="s">
        <v>23</v>
      </c>
      <c r="K3" t="s">
        <v>24</v>
      </c>
      <c r="L3" s="1">
        <v>41054.530416666668</v>
      </c>
      <c r="N3" s="4" t="s">
        <v>25</v>
      </c>
      <c r="O3" t="s">
        <v>26</v>
      </c>
      <c r="P3" t="s">
        <v>27</v>
      </c>
    </row>
    <row r="4" spans="1:20" x14ac:dyDescent="0.55000000000000004">
      <c r="A4" t="s">
        <v>17</v>
      </c>
      <c r="B4" t="s">
        <v>18</v>
      </c>
      <c r="C4" s="1">
        <v>41060.534502314818</v>
      </c>
      <c r="D4" t="s">
        <v>19</v>
      </c>
      <c r="E4" t="s">
        <v>20</v>
      </c>
      <c r="F4" t="s">
        <v>21</v>
      </c>
      <c r="G4" s="2">
        <v>750000</v>
      </c>
      <c r="H4" s="3">
        <v>1423750</v>
      </c>
      <c r="I4" t="s">
        <v>29</v>
      </c>
      <c r="J4" t="s">
        <v>30</v>
      </c>
      <c r="K4" t="s">
        <v>24</v>
      </c>
      <c r="L4" s="1">
        <v>41054.530428240738</v>
      </c>
      <c r="N4" s="4" t="s">
        <v>25</v>
      </c>
      <c r="O4" t="s">
        <v>26</v>
      </c>
      <c r="P4" t="s">
        <v>27</v>
      </c>
      <c r="T4" t="s">
        <v>3</v>
      </c>
    </row>
    <row r="5" spans="1:20" x14ac:dyDescent="0.55000000000000004">
      <c r="A5" t="s">
        <v>17</v>
      </c>
      <c r="B5" t="s">
        <v>18</v>
      </c>
      <c r="C5" s="1">
        <v>41060.534502314818</v>
      </c>
      <c r="D5" t="s">
        <v>19</v>
      </c>
      <c r="E5" t="s">
        <v>20</v>
      </c>
      <c r="F5" t="s">
        <v>21</v>
      </c>
      <c r="G5" s="2">
        <v>750000</v>
      </c>
      <c r="H5" s="3">
        <v>1423750</v>
      </c>
      <c r="I5" t="s">
        <v>31</v>
      </c>
      <c r="J5" t="s">
        <v>23</v>
      </c>
      <c r="K5" t="s">
        <v>24</v>
      </c>
      <c r="L5" s="1">
        <v>41054.530740740738</v>
      </c>
      <c r="N5" s="4" t="s">
        <v>25</v>
      </c>
      <c r="O5" t="s">
        <v>26</v>
      </c>
      <c r="P5" t="s">
        <v>27</v>
      </c>
      <c r="T5" t="s">
        <v>19</v>
      </c>
    </row>
    <row r="6" spans="1:20" x14ac:dyDescent="0.55000000000000004">
      <c r="A6" t="s">
        <v>17</v>
      </c>
      <c r="B6" t="s">
        <v>18</v>
      </c>
      <c r="C6" s="1">
        <v>41060.534502314818</v>
      </c>
      <c r="D6" t="s">
        <v>19</v>
      </c>
      <c r="E6" t="s">
        <v>20</v>
      </c>
      <c r="F6" t="s">
        <v>21</v>
      </c>
      <c r="G6" s="2">
        <v>750000</v>
      </c>
      <c r="H6" s="3">
        <v>1423750</v>
      </c>
      <c r="I6" t="s">
        <v>32</v>
      </c>
      <c r="J6" t="s">
        <v>23</v>
      </c>
      <c r="K6" t="s">
        <v>24</v>
      </c>
      <c r="L6" s="1">
        <v>41054.53087962963</v>
      </c>
      <c r="N6" s="4" t="s">
        <v>25</v>
      </c>
      <c r="O6" t="s">
        <v>26</v>
      </c>
      <c r="P6" t="s">
        <v>27</v>
      </c>
      <c r="T6" t="s">
        <v>55</v>
      </c>
    </row>
    <row r="7" spans="1:20" x14ac:dyDescent="0.55000000000000004">
      <c r="A7" t="s">
        <v>17</v>
      </c>
      <c r="B7" t="s">
        <v>18</v>
      </c>
      <c r="C7" s="1">
        <v>41060.534502314818</v>
      </c>
      <c r="D7" t="s">
        <v>19</v>
      </c>
      <c r="E7" t="s">
        <v>20</v>
      </c>
      <c r="F7" t="s">
        <v>21</v>
      </c>
      <c r="G7" s="2">
        <v>750000</v>
      </c>
      <c r="H7" s="3">
        <v>1423750</v>
      </c>
      <c r="I7" t="s">
        <v>33</v>
      </c>
      <c r="J7" t="s">
        <v>30</v>
      </c>
      <c r="K7" t="s">
        <v>24</v>
      </c>
      <c r="L7" s="1">
        <v>41054.530891203707</v>
      </c>
      <c r="N7" s="4" t="s">
        <v>25</v>
      </c>
      <c r="O7" t="s">
        <v>26</v>
      </c>
      <c r="P7" t="s">
        <v>27</v>
      </c>
      <c r="T7" t="s">
        <v>67</v>
      </c>
    </row>
    <row r="8" spans="1:20" x14ac:dyDescent="0.55000000000000004">
      <c r="A8" t="s">
        <v>17</v>
      </c>
      <c r="B8" t="s">
        <v>18</v>
      </c>
      <c r="C8" s="1">
        <v>41060.534502314818</v>
      </c>
      <c r="D8" t="s">
        <v>19</v>
      </c>
      <c r="E8" t="s">
        <v>20</v>
      </c>
      <c r="F8" t="s">
        <v>21</v>
      </c>
      <c r="G8" s="2">
        <v>750000</v>
      </c>
      <c r="H8" s="3">
        <v>1423750</v>
      </c>
      <c r="I8" t="s">
        <v>34</v>
      </c>
      <c r="J8" t="s">
        <v>35</v>
      </c>
      <c r="K8" t="s">
        <v>24</v>
      </c>
      <c r="L8" s="1">
        <v>41058.555821759262</v>
      </c>
      <c r="N8" s="4" t="s">
        <v>25</v>
      </c>
      <c r="O8" t="s">
        <v>26</v>
      </c>
      <c r="P8" t="s">
        <v>27</v>
      </c>
      <c r="T8" t="s">
        <v>73</v>
      </c>
    </row>
    <row r="9" spans="1:20" x14ac:dyDescent="0.55000000000000004">
      <c r="A9" t="s">
        <v>17</v>
      </c>
      <c r="B9" t="s">
        <v>18</v>
      </c>
      <c r="C9" s="1">
        <v>41060.534502314818</v>
      </c>
      <c r="D9" t="s">
        <v>19</v>
      </c>
      <c r="E9" t="s">
        <v>20</v>
      </c>
      <c r="F9" t="s">
        <v>21</v>
      </c>
      <c r="G9" s="2">
        <v>750000</v>
      </c>
      <c r="H9" s="3">
        <v>1423750</v>
      </c>
      <c r="I9" t="s">
        <v>34</v>
      </c>
      <c r="J9" t="s">
        <v>36</v>
      </c>
      <c r="K9" t="s">
        <v>24</v>
      </c>
      <c r="L9" s="1">
        <v>41058.495057870372</v>
      </c>
      <c r="N9" s="4" t="s">
        <v>25</v>
      </c>
      <c r="O9" t="s">
        <v>26</v>
      </c>
      <c r="P9" t="s">
        <v>27</v>
      </c>
      <c r="T9" t="s">
        <v>86</v>
      </c>
    </row>
    <row r="10" spans="1:20" x14ac:dyDescent="0.55000000000000004">
      <c r="A10" t="s">
        <v>17</v>
      </c>
      <c r="B10" t="s">
        <v>18</v>
      </c>
      <c r="C10" s="1">
        <v>41060.534502314818</v>
      </c>
      <c r="D10" t="s">
        <v>19</v>
      </c>
      <c r="E10" t="s">
        <v>20</v>
      </c>
      <c r="F10" t="s">
        <v>21</v>
      </c>
      <c r="G10" s="2">
        <v>750000</v>
      </c>
      <c r="H10" s="3">
        <v>1423750</v>
      </c>
      <c r="I10" t="s">
        <v>34</v>
      </c>
      <c r="J10" t="s">
        <v>37</v>
      </c>
      <c r="K10" t="s">
        <v>24</v>
      </c>
      <c r="L10" s="1">
        <v>41054.598425925928</v>
      </c>
      <c r="N10" s="4" t="s">
        <v>25</v>
      </c>
      <c r="O10" t="s">
        <v>26</v>
      </c>
      <c r="P10" t="s">
        <v>27</v>
      </c>
      <c r="T10" t="s">
        <v>90</v>
      </c>
    </row>
    <row r="11" spans="1:20" x14ac:dyDescent="0.55000000000000004">
      <c r="A11" t="s">
        <v>17</v>
      </c>
      <c r="B11" t="s">
        <v>18</v>
      </c>
      <c r="C11" s="1">
        <v>41060.534502314818</v>
      </c>
      <c r="D11" t="s">
        <v>19</v>
      </c>
      <c r="E11" t="s">
        <v>20</v>
      </c>
      <c r="F11" t="s">
        <v>21</v>
      </c>
      <c r="G11" s="2">
        <v>750000</v>
      </c>
      <c r="H11" s="3">
        <v>1423750</v>
      </c>
      <c r="I11" t="s">
        <v>34</v>
      </c>
      <c r="J11" t="s">
        <v>38</v>
      </c>
      <c r="K11" t="s">
        <v>24</v>
      </c>
      <c r="L11" s="1">
        <v>41054.641932870371</v>
      </c>
      <c r="N11" s="4" t="s">
        <v>25</v>
      </c>
      <c r="O11" t="s">
        <v>26</v>
      </c>
      <c r="P11" t="s">
        <v>27</v>
      </c>
    </row>
    <row r="12" spans="1:20" x14ac:dyDescent="0.55000000000000004">
      <c r="A12" t="s">
        <v>17</v>
      </c>
      <c r="B12" t="s">
        <v>18</v>
      </c>
      <c r="C12" s="1">
        <v>41060.534502314818</v>
      </c>
      <c r="D12" t="s">
        <v>19</v>
      </c>
      <c r="E12" t="s">
        <v>20</v>
      </c>
      <c r="F12" t="s">
        <v>21</v>
      </c>
      <c r="G12" s="2">
        <v>750000</v>
      </c>
      <c r="H12" s="3">
        <v>1423750</v>
      </c>
      <c r="I12" t="s">
        <v>34</v>
      </c>
      <c r="J12" t="s">
        <v>39</v>
      </c>
      <c r="K12" t="s">
        <v>24</v>
      </c>
      <c r="L12" s="1">
        <v>41058.53229166667</v>
      </c>
      <c r="N12" s="4" t="s">
        <v>25</v>
      </c>
      <c r="O12" t="s">
        <v>26</v>
      </c>
      <c r="P12" t="s">
        <v>27</v>
      </c>
    </row>
    <row r="13" spans="1:20" x14ac:dyDescent="0.55000000000000004">
      <c r="A13" t="s">
        <v>17</v>
      </c>
      <c r="B13" t="s">
        <v>18</v>
      </c>
      <c r="C13" s="1">
        <v>41060.534502314818</v>
      </c>
      <c r="D13" t="s">
        <v>19</v>
      </c>
      <c r="E13" t="s">
        <v>20</v>
      </c>
      <c r="F13" t="s">
        <v>21</v>
      </c>
      <c r="G13" s="2">
        <v>750000</v>
      </c>
      <c r="H13" s="3">
        <v>1423750</v>
      </c>
      <c r="I13" t="s">
        <v>34</v>
      </c>
      <c r="J13" t="s">
        <v>40</v>
      </c>
      <c r="K13" t="s">
        <v>24</v>
      </c>
      <c r="L13" s="1">
        <v>41058.555752314816</v>
      </c>
      <c r="N13" s="4" t="s">
        <v>25</v>
      </c>
      <c r="O13" t="s">
        <v>26</v>
      </c>
      <c r="P13" t="s">
        <v>27</v>
      </c>
    </row>
    <row r="14" spans="1:20" x14ac:dyDescent="0.55000000000000004">
      <c r="A14" t="s">
        <v>17</v>
      </c>
      <c r="B14" t="s">
        <v>18</v>
      </c>
      <c r="C14" s="1">
        <v>41060.534502314818</v>
      </c>
      <c r="D14" t="s">
        <v>19</v>
      </c>
      <c r="E14" t="s">
        <v>20</v>
      </c>
      <c r="F14" t="s">
        <v>21</v>
      </c>
      <c r="G14" s="2">
        <v>750000</v>
      </c>
      <c r="H14" s="3">
        <v>1423750</v>
      </c>
      <c r="I14" t="s">
        <v>34</v>
      </c>
      <c r="J14" t="s">
        <v>41</v>
      </c>
      <c r="K14" t="s">
        <v>24</v>
      </c>
      <c r="L14" s="1">
        <v>41054.598124999997</v>
      </c>
      <c r="N14" s="4" t="s">
        <v>25</v>
      </c>
      <c r="O14" t="s">
        <v>26</v>
      </c>
      <c r="P14" t="s">
        <v>27</v>
      </c>
    </row>
    <row r="15" spans="1:20" x14ac:dyDescent="0.55000000000000004">
      <c r="A15" t="s">
        <v>17</v>
      </c>
      <c r="B15" t="s">
        <v>18</v>
      </c>
      <c r="C15" s="1">
        <v>41060.534502314818</v>
      </c>
      <c r="D15" t="s">
        <v>19</v>
      </c>
      <c r="E15" t="s">
        <v>20</v>
      </c>
      <c r="F15" t="s">
        <v>21</v>
      </c>
      <c r="G15" s="2">
        <v>750000</v>
      </c>
      <c r="H15" s="3">
        <v>1423750</v>
      </c>
      <c r="I15" t="s">
        <v>34</v>
      </c>
      <c r="J15" t="s">
        <v>42</v>
      </c>
      <c r="K15" t="s">
        <v>24</v>
      </c>
      <c r="L15" s="1">
        <v>41058.559594907405</v>
      </c>
      <c r="N15" s="4" t="s">
        <v>25</v>
      </c>
      <c r="O15" t="s">
        <v>26</v>
      </c>
      <c r="P15" t="s">
        <v>27</v>
      </c>
    </row>
    <row r="16" spans="1:20" x14ac:dyDescent="0.55000000000000004">
      <c r="A16" t="s">
        <v>17</v>
      </c>
      <c r="B16" t="s">
        <v>18</v>
      </c>
      <c r="C16" s="1">
        <v>41060.534502314818</v>
      </c>
      <c r="D16" t="s">
        <v>19</v>
      </c>
      <c r="E16" t="s">
        <v>20</v>
      </c>
      <c r="F16" t="s">
        <v>21</v>
      </c>
      <c r="G16" s="2">
        <v>750000</v>
      </c>
      <c r="H16" s="3">
        <v>1423750</v>
      </c>
      <c r="I16" t="s">
        <v>34</v>
      </c>
      <c r="J16" t="s">
        <v>43</v>
      </c>
      <c r="K16" t="s">
        <v>24</v>
      </c>
      <c r="L16" s="1">
        <v>41054.538472222222</v>
      </c>
      <c r="N16" s="4" t="s">
        <v>25</v>
      </c>
      <c r="O16" t="s">
        <v>26</v>
      </c>
      <c r="P16" t="s">
        <v>27</v>
      </c>
    </row>
    <row r="17" spans="1:16" x14ac:dyDescent="0.55000000000000004">
      <c r="A17" t="s">
        <v>17</v>
      </c>
      <c r="B17" t="s">
        <v>18</v>
      </c>
      <c r="C17" s="1">
        <v>41060.534502314818</v>
      </c>
      <c r="D17" t="s">
        <v>19</v>
      </c>
      <c r="E17" t="s">
        <v>20</v>
      </c>
      <c r="F17" t="s">
        <v>21</v>
      </c>
      <c r="G17" s="2">
        <v>750000</v>
      </c>
      <c r="H17" s="3">
        <v>1423750</v>
      </c>
      <c r="I17" t="s">
        <v>34</v>
      </c>
      <c r="J17" t="s">
        <v>44</v>
      </c>
      <c r="K17" t="s">
        <v>24</v>
      </c>
      <c r="L17" s="1">
        <v>41057.485011574077</v>
      </c>
      <c r="N17" s="4" t="s">
        <v>25</v>
      </c>
      <c r="O17" t="s">
        <v>26</v>
      </c>
      <c r="P17" t="s">
        <v>27</v>
      </c>
    </row>
    <row r="18" spans="1:16" x14ac:dyDescent="0.55000000000000004">
      <c r="A18" t="s">
        <v>17</v>
      </c>
      <c r="B18" t="s">
        <v>18</v>
      </c>
      <c r="C18" s="1">
        <v>41060.534502314818</v>
      </c>
      <c r="D18" t="s">
        <v>19</v>
      </c>
      <c r="E18" t="s">
        <v>20</v>
      </c>
      <c r="F18" t="s">
        <v>21</v>
      </c>
      <c r="G18" s="2">
        <v>750000</v>
      </c>
      <c r="H18" s="3">
        <v>1423750</v>
      </c>
      <c r="I18" t="s">
        <v>34</v>
      </c>
      <c r="J18" t="s">
        <v>45</v>
      </c>
      <c r="K18" t="s">
        <v>24</v>
      </c>
      <c r="L18" s="1">
        <v>41055.547303240739</v>
      </c>
      <c r="N18" s="4" t="s">
        <v>25</v>
      </c>
      <c r="O18" t="s">
        <v>26</v>
      </c>
      <c r="P18" t="s">
        <v>27</v>
      </c>
    </row>
    <row r="19" spans="1:16" x14ac:dyDescent="0.55000000000000004">
      <c r="A19" t="s">
        <v>17</v>
      </c>
      <c r="B19" t="s">
        <v>18</v>
      </c>
      <c r="C19" s="1">
        <v>41060.534502314818</v>
      </c>
      <c r="D19" t="s">
        <v>19</v>
      </c>
      <c r="E19" t="s">
        <v>20</v>
      </c>
      <c r="F19" t="s">
        <v>21</v>
      </c>
      <c r="G19" s="2">
        <v>750000</v>
      </c>
      <c r="H19" s="3">
        <v>1423750</v>
      </c>
      <c r="I19" t="s">
        <v>34</v>
      </c>
      <c r="J19" t="s">
        <v>46</v>
      </c>
      <c r="K19" t="s">
        <v>24</v>
      </c>
      <c r="L19" s="1">
        <v>41059.978981481479</v>
      </c>
      <c r="N19" s="4" t="s">
        <v>25</v>
      </c>
      <c r="O19" t="s">
        <v>26</v>
      </c>
      <c r="P19" t="s">
        <v>27</v>
      </c>
    </row>
    <row r="20" spans="1:16" x14ac:dyDescent="0.55000000000000004">
      <c r="A20" t="s">
        <v>17</v>
      </c>
      <c r="B20" t="s">
        <v>18</v>
      </c>
      <c r="C20" s="1">
        <v>41060.534502314818</v>
      </c>
      <c r="D20" t="s">
        <v>19</v>
      </c>
      <c r="E20" t="s">
        <v>20</v>
      </c>
      <c r="F20" t="s">
        <v>21</v>
      </c>
      <c r="G20" s="2">
        <v>750000</v>
      </c>
      <c r="H20" s="3">
        <v>1423750</v>
      </c>
      <c r="I20" t="s">
        <v>47</v>
      </c>
      <c r="J20" t="s">
        <v>30</v>
      </c>
      <c r="K20" t="s">
        <v>24</v>
      </c>
      <c r="L20" s="1">
        <v>41059.978981481479</v>
      </c>
      <c r="N20" s="4" t="s">
        <v>25</v>
      </c>
      <c r="O20" t="s">
        <v>26</v>
      </c>
      <c r="P20" t="s">
        <v>27</v>
      </c>
    </row>
    <row r="21" spans="1:16" x14ac:dyDescent="0.55000000000000004">
      <c r="A21" t="s">
        <v>17</v>
      </c>
      <c r="B21" t="s">
        <v>18</v>
      </c>
      <c r="C21" s="1">
        <v>41060.534502314818</v>
      </c>
      <c r="D21" t="s">
        <v>19</v>
      </c>
      <c r="E21" t="s">
        <v>20</v>
      </c>
      <c r="F21" t="s">
        <v>21</v>
      </c>
      <c r="G21" s="2">
        <v>750000</v>
      </c>
      <c r="H21" s="3">
        <v>1423750</v>
      </c>
      <c r="I21" t="s">
        <v>48</v>
      </c>
      <c r="J21" t="s">
        <v>23</v>
      </c>
      <c r="K21" t="s">
        <v>24</v>
      </c>
      <c r="L21" s="1">
        <v>41060.534479166665</v>
      </c>
      <c r="N21" s="4" t="s">
        <v>25</v>
      </c>
      <c r="O21" t="s">
        <v>26</v>
      </c>
      <c r="P21" t="s">
        <v>27</v>
      </c>
    </row>
    <row r="22" spans="1:16" x14ac:dyDescent="0.55000000000000004">
      <c r="A22" t="s">
        <v>17</v>
      </c>
      <c r="B22" t="s">
        <v>18</v>
      </c>
      <c r="C22" s="1">
        <v>41060.534502314818</v>
      </c>
      <c r="D22" t="s">
        <v>19</v>
      </c>
      <c r="E22" t="s">
        <v>20</v>
      </c>
      <c r="F22" t="s">
        <v>21</v>
      </c>
      <c r="G22" s="2">
        <v>750000</v>
      </c>
      <c r="H22" s="3">
        <v>1423750</v>
      </c>
      <c r="I22" t="s">
        <v>49</v>
      </c>
      <c r="J22" t="s">
        <v>23</v>
      </c>
      <c r="K22" t="s">
        <v>24</v>
      </c>
      <c r="L22" s="1">
        <v>41060.534502314818</v>
      </c>
      <c r="N22" s="4" t="s">
        <v>25</v>
      </c>
      <c r="O22" t="s">
        <v>26</v>
      </c>
      <c r="P22" t="s">
        <v>27</v>
      </c>
    </row>
    <row r="23" spans="1:16" x14ac:dyDescent="0.55000000000000004">
      <c r="A23" t="s">
        <v>17</v>
      </c>
      <c r="B23" t="s">
        <v>18</v>
      </c>
      <c r="C23" s="1">
        <v>41060.534502314818</v>
      </c>
      <c r="D23" t="s">
        <v>19</v>
      </c>
      <c r="E23" t="s">
        <v>20</v>
      </c>
      <c r="F23" t="s">
        <v>21</v>
      </c>
      <c r="G23" s="2">
        <v>750000</v>
      </c>
      <c r="H23" s="3">
        <v>1423750</v>
      </c>
      <c r="I23" t="s">
        <v>50</v>
      </c>
      <c r="J23" t="s">
        <v>30</v>
      </c>
      <c r="K23" t="s">
        <v>24</v>
      </c>
      <c r="L23" s="1">
        <v>41060.534513888888</v>
      </c>
      <c r="N23" s="4" t="s">
        <v>25</v>
      </c>
      <c r="O23" t="s">
        <v>26</v>
      </c>
      <c r="P23" t="s">
        <v>27</v>
      </c>
    </row>
    <row r="24" spans="1:16" x14ac:dyDescent="0.55000000000000004">
      <c r="A24" t="s">
        <v>17</v>
      </c>
      <c r="B24" t="s">
        <v>18</v>
      </c>
      <c r="C24" s="1">
        <v>41060.534502314818</v>
      </c>
      <c r="D24" t="s">
        <v>19</v>
      </c>
      <c r="E24" t="s">
        <v>20</v>
      </c>
      <c r="F24" t="s">
        <v>21</v>
      </c>
      <c r="G24" s="2">
        <v>750000</v>
      </c>
      <c r="H24" s="3">
        <v>1423750</v>
      </c>
      <c r="I24" t="s">
        <v>51</v>
      </c>
      <c r="J24" t="s">
        <v>52</v>
      </c>
      <c r="K24" t="s">
        <v>53</v>
      </c>
      <c r="N24" s="4" t="s">
        <v>25</v>
      </c>
      <c r="O24" t="s">
        <v>26</v>
      </c>
      <c r="P24" t="s">
        <v>27</v>
      </c>
    </row>
    <row r="25" spans="1:16" x14ac:dyDescent="0.55000000000000004">
      <c r="A25" t="s">
        <v>54</v>
      </c>
      <c r="B25" t="s">
        <v>18</v>
      </c>
      <c r="C25" s="1">
        <v>41061.538726851853</v>
      </c>
      <c r="D25" t="s">
        <v>55</v>
      </c>
      <c r="E25" t="s">
        <v>56</v>
      </c>
      <c r="F25" t="s">
        <v>57</v>
      </c>
      <c r="G25" s="2">
        <v>317592</v>
      </c>
      <c r="H25" s="3">
        <v>546980</v>
      </c>
      <c r="I25" t="s">
        <v>49</v>
      </c>
      <c r="J25" t="s">
        <v>23</v>
      </c>
      <c r="K25" t="s">
        <v>24</v>
      </c>
      <c r="L25" s="1">
        <v>41061.538726851853</v>
      </c>
      <c r="N25" s="4" t="s">
        <v>58</v>
      </c>
      <c r="O25" t="s">
        <v>26</v>
      </c>
    </row>
    <row r="26" spans="1:16" x14ac:dyDescent="0.55000000000000004">
      <c r="A26" t="s">
        <v>54</v>
      </c>
      <c r="B26" t="s">
        <v>18</v>
      </c>
      <c r="C26" s="1">
        <v>41061.538726851853</v>
      </c>
      <c r="D26" t="s">
        <v>55</v>
      </c>
      <c r="E26" t="s">
        <v>56</v>
      </c>
      <c r="F26" t="s">
        <v>57</v>
      </c>
      <c r="G26" s="2">
        <v>317592</v>
      </c>
      <c r="H26" s="3">
        <v>546980</v>
      </c>
      <c r="I26" t="s">
        <v>50</v>
      </c>
      <c r="J26" t="s">
        <v>30</v>
      </c>
      <c r="K26" t="s">
        <v>24</v>
      </c>
      <c r="L26" s="1">
        <v>41061.538738425923</v>
      </c>
      <c r="N26" s="4" t="s">
        <v>58</v>
      </c>
      <c r="O26" t="s">
        <v>26</v>
      </c>
    </row>
    <row r="27" spans="1:16" x14ac:dyDescent="0.55000000000000004">
      <c r="A27" t="s">
        <v>54</v>
      </c>
      <c r="B27" t="s">
        <v>18</v>
      </c>
      <c r="C27" s="1">
        <v>41061.538726851853</v>
      </c>
      <c r="D27" t="s">
        <v>55</v>
      </c>
      <c r="E27" t="s">
        <v>56</v>
      </c>
      <c r="F27" t="s">
        <v>57</v>
      </c>
      <c r="G27" s="2">
        <v>317592</v>
      </c>
      <c r="H27" s="3">
        <v>546980</v>
      </c>
      <c r="I27" t="s">
        <v>51</v>
      </c>
      <c r="J27" t="s">
        <v>52</v>
      </c>
      <c r="K27" t="s">
        <v>53</v>
      </c>
      <c r="N27" s="4" t="s">
        <v>58</v>
      </c>
      <c r="O27" t="s">
        <v>26</v>
      </c>
    </row>
    <row r="28" spans="1:16" x14ac:dyDescent="0.55000000000000004">
      <c r="A28" t="s">
        <v>54</v>
      </c>
      <c r="B28" t="s">
        <v>18</v>
      </c>
      <c r="C28" s="1">
        <v>41061.538726851853</v>
      </c>
      <c r="D28" t="s">
        <v>55</v>
      </c>
      <c r="E28" t="s">
        <v>56</v>
      </c>
      <c r="F28" t="s">
        <v>57</v>
      </c>
      <c r="G28" s="2">
        <v>317592</v>
      </c>
      <c r="H28" s="3">
        <v>546980</v>
      </c>
      <c r="I28" t="s">
        <v>47</v>
      </c>
      <c r="J28" t="s">
        <v>30</v>
      </c>
      <c r="K28" t="s">
        <v>24</v>
      </c>
      <c r="L28" s="1">
        <v>41054.890092592592</v>
      </c>
      <c r="N28" s="4" t="s">
        <v>58</v>
      </c>
      <c r="O28" t="s">
        <v>26</v>
      </c>
    </row>
    <row r="29" spans="1:16" x14ac:dyDescent="0.55000000000000004">
      <c r="A29" t="s">
        <v>54</v>
      </c>
      <c r="B29" t="s">
        <v>18</v>
      </c>
      <c r="C29" s="1">
        <v>41061.538726851853</v>
      </c>
      <c r="D29" t="s">
        <v>55</v>
      </c>
      <c r="E29" t="s">
        <v>56</v>
      </c>
      <c r="F29" t="s">
        <v>57</v>
      </c>
      <c r="G29" s="2">
        <v>317592</v>
      </c>
      <c r="H29" s="3">
        <v>546980</v>
      </c>
      <c r="I29" t="s">
        <v>48</v>
      </c>
      <c r="J29" t="s">
        <v>23</v>
      </c>
      <c r="K29" t="s">
        <v>24</v>
      </c>
      <c r="L29" s="1">
        <v>41061.53869212963</v>
      </c>
      <c r="N29" s="4" t="s">
        <v>58</v>
      </c>
      <c r="O29" t="s">
        <v>26</v>
      </c>
    </row>
    <row r="30" spans="1:16" x14ac:dyDescent="0.55000000000000004">
      <c r="A30" t="s">
        <v>54</v>
      </c>
      <c r="B30" t="s">
        <v>18</v>
      </c>
      <c r="C30" s="1">
        <v>41061.538726851853</v>
      </c>
      <c r="D30" t="s">
        <v>55</v>
      </c>
      <c r="E30" t="s">
        <v>56</v>
      </c>
      <c r="F30" t="s">
        <v>57</v>
      </c>
      <c r="G30" s="2">
        <v>317592</v>
      </c>
      <c r="H30" s="3">
        <v>546980</v>
      </c>
      <c r="I30" t="s">
        <v>22</v>
      </c>
      <c r="J30" t="s">
        <v>23</v>
      </c>
      <c r="K30" t="s">
        <v>24</v>
      </c>
      <c r="L30" s="1">
        <v>41047.870787037034</v>
      </c>
      <c r="N30" s="4" t="s">
        <v>58</v>
      </c>
      <c r="O30" t="s">
        <v>26</v>
      </c>
    </row>
    <row r="31" spans="1:16" x14ac:dyDescent="0.55000000000000004">
      <c r="A31" t="s">
        <v>54</v>
      </c>
      <c r="B31" t="s">
        <v>18</v>
      </c>
      <c r="C31" s="1">
        <v>41061.538726851853</v>
      </c>
      <c r="D31" t="s">
        <v>55</v>
      </c>
      <c r="E31" t="s">
        <v>56</v>
      </c>
      <c r="F31" t="s">
        <v>57</v>
      </c>
      <c r="G31" s="2">
        <v>317592</v>
      </c>
      <c r="H31" s="3">
        <v>546980</v>
      </c>
      <c r="I31" t="s">
        <v>28</v>
      </c>
      <c r="J31" t="s">
        <v>23</v>
      </c>
      <c r="K31" t="s">
        <v>24</v>
      </c>
      <c r="L31" s="1">
        <v>41047.871215277781</v>
      </c>
      <c r="N31" s="4" t="s">
        <v>58</v>
      </c>
      <c r="O31" t="s">
        <v>26</v>
      </c>
    </row>
    <row r="32" spans="1:16" x14ac:dyDescent="0.55000000000000004">
      <c r="A32" t="s">
        <v>54</v>
      </c>
      <c r="B32" t="s">
        <v>18</v>
      </c>
      <c r="C32" s="1">
        <v>41061.538726851853</v>
      </c>
      <c r="D32" t="s">
        <v>55</v>
      </c>
      <c r="E32" t="s">
        <v>56</v>
      </c>
      <c r="F32" t="s">
        <v>57</v>
      </c>
      <c r="G32" s="2">
        <v>317592</v>
      </c>
      <c r="H32" s="3">
        <v>546980</v>
      </c>
      <c r="I32" t="s">
        <v>29</v>
      </c>
      <c r="J32" t="s">
        <v>30</v>
      </c>
      <c r="K32" t="s">
        <v>24</v>
      </c>
      <c r="L32" s="1">
        <v>41047.87122685185</v>
      </c>
      <c r="N32" s="4" t="s">
        <v>58</v>
      </c>
      <c r="O32" t="s">
        <v>26</v>
      </c>
    </row>
    <row r="33" spans="1:15" x14ac:dyDescent="0.55000000000000004">
      <c r="A33" t="s">
        <v>54</v>
      </c>
      <c r="B33" t="s">
        <v>18</v>
      </c>
      <c r="C33" s="1">
        <v>41061.538726851853</v>
      </c>
      <c r="D33" t="s">
        <v>55</v>
      </c>
      <c r="E33" t="s">
        <v>56</v>
      </c>
      <c r="F33" t="s">
        <v>57</v>
      </c>
      <c r="G33" s="2">
        <v>317592</v>
      </c>
      <c r="H33" s="3">
        <v>546980</v>
      </c>
      <c r="I33" t="s">
        <v>31</v>
      </c>
      <c r="J33" t="s">
        <v>23</v>
      </c>
      <c r="K33" t="s">
        <v>24</v>
      </c>
      <c r="L33" s="1">
        <v>41047.871388888889</v>
      </c>
      <c r="N33" s="4" t="s">
        <v>58</v>
      </c>
      <c r="O33" t="s">
        <v>26</v>
      </c>
    </row>
    <row r="34" spans="1:15" x14ac:dyDescent="0.55000000000000004">
      <c r="A34" t="s">
        <v>54</v>
      </c>
      <c r="B34" t="s">
        <v>18</v>
      </c>
      <c r="C34" s="1">
        <v>41061.538726851853</v>
      </c>
      <c r="D34" t="s">
        <v>55</v>
      </c>
      <c r="E34" t="s">
        <v>56</v>
      </c>
      <c r="F34" t="s">
        <v>57</v>
      </c>
      <c r="G34" s="2">
        <v>317592</v>
      </c>
      <c r="H34" s="3">
        <v>546980</v>
      </c>
      <c r="I34" t="s">
        <v>32</v>
      </c>
      <c r="J34" t="s">
        <v>23</v>
      </c>
      <c r="K34" t="s">
        <v>24</v>
      </c>
      <c r="L34" s="1">
        <v>41047.871423611112</v>
      </c>
      <c r="N34" s="4" t="s">
        <v>58</v>
      </c>
      <c r="O34" t="s">
        <v>26</v>
      </c>
    </row>
    <row r="35" spans="1:15" x14ac:dyDescent="0.55000000000000004">
      <c r="A35" t="s">
        <v>54</v>
      </c>
      <c r="B35" t="s">
        <v>18</v>
      </c>
      <c r="C35" s="1">
        <v>41061.538726851853</v>
      </c>
      <c r="D35" t="s">
        <v>55</v>
      </c>
      <c r="E35" t="s">
        <v>56</v>
      </c>
      <c r="F35" t="s">
        <v>57</v>
      </c>
      <c r="G35" s="2">
        <v>317592</v>
      </c>
      <c r="H35" s="3">
        <v>546980</v>
      </c>
      <c r="I35" t="s">
        <v>33</v>
      </c>
      <c r="J35" t="s">
        <v>30</v>
      </c>
      <c r="K35" t="s">
        <v>59</v>
      </c>
      <c r="L35" s="1">
        <v>41047.871435185189</v>
      </c>
      <c r="N35" s="4" t="s">
        <v>58</v>
      </c>
      <c r="O35" t="s">
        <v>26</v>
      </c>
    </row>
    <row r="36" spans="1:15" x14ac:dyDescent="0.55000000000000004">
      <c r="A36" t="s">
        <v>54</v>
      </c>
      <c r="B36" t="s">
        <v>18</v>
      </c>
      <c r="C36" s="1">
        <v>41061.538726851853</v>
      </c>
      <c r="D36" t="s">
        <v>55</v>
      </c>
      <c r="E36" t="s">
        <v>56</v>
      </c>
      <c r="F36" t="s">
        <v>57</v>
      </c>
      <c r="G36" s="2">
        <v>317592</v>
      </c>
      <c r="H36" s="3">
        <v>546980</v>
      </c>
      <c r="I36" t="s">
        <v>32</v>
      </c>
      <c r="J36" t="s">
        <v>23</v>
      </c>
      <c r="K36" t="s">
        <v>24</v>
      </c>
      <c r="L36" s="1">
        <v>41047.873379629629</v>
      </c>
      <c r="N36" s="4" t="s">
        <v>58</v>
      </c>
      <c r="O36" t="s">
        <v>26</v>
      </c>
    </row>
    <row r="37" spans="1:15" x14ac:dyDescent="0.55000000000000004">
      <c r="A37" t="s">
        <v>54</v>
      </c>
      <c r="B37" t="s">
        <v>18</v>
      </c>
      <c r="C37" s="1">
        <v>41061.538726851853</v>
      </c>
      <c r="D37" t="s">
        <v>55</v>
      </c>
      <c r="E37" t="s">
        <v>56</v>
      </c>
      <c r="F37" t="s">
        <v>57</v>
      </c>
      <c r="G37" s="2">
        <v>317592</v>
      </c>
      <c r="H37" s="3">
        <v>546980</v>
      </c>
      <c r="I37" t="s">
        <v>33</v>
      </c>
      <c r="J37" t="s">
        <v>30</v>
      </c>
      <c r="K37" t="s">
        <v>24</v>
      </c>
      <c r="L37" s="1">
        <v>41047.873391203706</v>
      </c>
      <c r="N37" s="4" t="s">
        <v>58</v>
      </c>
      <c r="O37" t="s">
        <v>26</v>
      </c>
    </row>
    <row r="38" spans="1:15" x14ac:dyDescent="0.55000000000000004">
      <c r="A38" t="s">
        <v>54</v>
      </c>
      <c r="B38" t="s">
        <v>18</v>
      </c>
      <c r="C38" s="1">
        <v>41061.538726851853</v>
      </c>
      <c r="D38" t="s">
        <v>55</v>
      </c>
      <c r="E38" t="s">
        <v>56</v>
      </c>
      <c r="F38" t="s">
        <v>57</v>
      </c>
      <c r="G38" s="2">
        <v>317592</v>
      </c>
      <c r="H38" s="3">
        <v>546980</v>
      </c>
      <c r="I38" t="s">
        <v>34</v>
      </c>
      <c r="J38" t="s">
        <v>42</v>
      </c>
      <c r="K38" t="s">
        <v>24</v>
      </c>
      <c r="L38" s="1">
        <v>41050.60365740741</v>
      </c>
      <c r="N38" s="4" t="s">
        <v>58</v>
      </c>
      <c r="O38" t="s">
        <v>26</v>
      </c>
    </row>
    <row r="39" spans="1:15" x14ac:dyDescent="0.55000000000000004">
      <c r="A39" t="s">
        <v>54</v>
      </c>
      <c r="B39" t="s">
        <v>18</v>
      </c>
      <c r="C39" s="1">
        <v>41061.538726851853</v>
      </c>
      <c r="D39" t="s">
        <v>55</v>
      </c>
      <c r="E39" t="s">
        <v>56</v>
      </c>
      <c r="F39" t="s">
        <v>57</v>
      </c>
      <c r="G39" s="2">
        <v>317592</v>
      </c>
      <c r="H39" s="3">
        <v>546980</v>
      </c>
      <c r="I39" t="s">
        <v>34</v>
      </c>
      <c r="J39" t="s">
        <v>37</v>
      </c>
      <c r="K39" t="s">
        <v>24</v>
      </c>
      <c r="L39" s="1">
        <v>41051.538506944446</v>
      </c>
      <c r="N39" s="4" t="s">
        <v>58</v>
      </c>
      <c r="O39" t="s">
        <v>26</v>
      </c>
    </row>
    <row r="40" spans="1:15" x14ac:dyDescent="0.55000000000000004">
      <c r="A40" t="s">
        <v>54</v>
      </c>
      <c r="B40" t="s">
        <v>18</v>
      </c>
      <c r="C40" s="1">
        <v>41061.538726851853</v>
      </c>
      <c r="D40" t="s">
        <v>55</v>
      </c>
      <c r="E40" t="s">
        <v>56</v>
      </c>
      <c r="F40" t="s">
        <v>57</v>
      </c>
      <c r="G40" s="2">
        <v>317592</v>
      </c>
      <c r="H40" s="3">
        <v>546980</v>
      </c>
      <c r="I40" t="s">
        <v>34</v>
      </c>
      <c r="J40" t="s">
        <v>36</v>
      </c>
      <c r="K40" t="s">
        <v>24</v>
      </c>
      <c r="L40" s="1">
        <v>41050.501793981479</v>
      </c>
      <c r="N40" s="4" t="s">
        <v>58</v>
      </c>
      <c r="O40" t="s">
        <v>26</v>
      </c>
    </row>
    <row r="41" spans="1:15" x14ac:dyDescent="0.55000000000000004">
      <c r="A41" t="s">
        <v>54</v>
      </c>
      <c r="B41" t="s">
        <v>18</v>
      </c>
      <c r="C41" s="1">
        <v>41061.538726851853</v>
      </c>
      <c r="D41" t="s">
        <v>55</v>
      </c>
      <c r="E41" t="s">
        <v>56</v>
      </c>
      <c r="F41" t="s">
        <v>57</v>
      </c>
      <c r="G41" s="2">
        <v>317592</v>
      </c>
      <c r="H41" s="3">
        <v>546980</v>
      </c>
      <c r="I41" t="s">
        <v>34</v>
      </c>
      <c r="J41" t="s">
        <v>60</v>
      </c>
      <c r="K41" t="s">
        <v>24</v>
      </c>
      <c r="L41" s="1">
        <v>41048.091273148151</v>
      </c>
      <c r="N41" s="4" t="s">
        <v>58</v>
      </c>
      <c r="O41" t="s">
        <v>26</v>
      </c>
    </row>
    <row r="42" spans="1:15" x14ac:dyDescent="0.55000000000000004">
      <c r="A42" t="s">
        <v>54</v>
      </c>
      <c r="B42" t="s">
        <v>18</v>
      </c>
      <c r="C42" s="1">
        <v>41061.538726851853</v>
      </c>
      <c r="D42" t="s">
        <v>55</v>
      </c>
      <c r="E42" t="s">
        <v>56</v>
      </c>
      <c r="F42" t="s">
        <v>57</v>
      </c>
      <c r="G42" s="2">
        <v>317592</v>
      </c>
      <c r="H42" s="3">
        <v>546980</v>
      </c>
      <c r="I42" t="s">
        <v>34</v>
      </c>
      <c r="J42" t="s">
        <v>61</v>
      </c>
      <c r="K42" t="s">
        <v>24</v>
      </c>
      <c r="L42" s="1">
        <v>41050.466608796298</v>
      </c>
      <c r="N42" s="4" t="s">
        <v>58</v>
      </c>
      <c r="O42" t="s">
        <v>26</v>
      </c>
    </row>
    <row r="43" spans="1:15" x14ac:dyDescent="0.55000000000000004">
      <c r="A43" t="s">
        <v>54</v>
      </c>
      <c r="B43" t="s">
        <v>18</v>
      </c>
      <c r="C43" s="1">
        <v>41061.538726851853</v>
      </c>
      <c r="D43" t="s">
        <v>55</v>
      </c>
      <c r="E43" t="s">
        <v>56</v>
      </c>
      <c r="F43" t="s">
        <v>57</v>
      </c>
      <c r="G43" s="2">
        <v>317592</v>
      </c>
      <c r="H43" s="3">
        <v>546980</v>
      </c>
      <c r="I43" t="s">
        <v>34</v>
      </c>
      <c r="J43" t="s">
        <v>62</v>
      </c>
      <c r="K43" t="s">
        <v>24</v>
      </c>
      <c r="L43" s="1">
        <v>41048.879687499997</v>
      </c>
      <c r="N43" s="4" t="s">
        <v>58</v>
      </c>
      <c r="O43" t="s">
        <v>26</v>
      </c>
    </row>
    <row r="44" spans="1:15" x14ac:dyDescent="0.55000000000000004">
      <c r="A44" t="s">
        <v>54</v>
      </c>
      <c r="B44" t="s">
        <v>18</v>
      </c>
      <c r="C44" s="1">
        <v>41061.538726851853</v>
      </c>
      <c r="D44" t="s">
        <v>55</v>
      </c>
      <c r="E44" t="s">
        <v>56</v>
      </c>
      <c r="F44" t="s">
        <v>57</v>
      </c>
      <c r="G44" s="2">
        <v>317592</v>
      </c>
      <c r="H44" s="3">
        <v>546980</v>
      </c>
      <c r="I44" t="s">
        <v>34</v>
      </c>
      <c r="J44" t="s">
        <v>63</v>
      </c>
      <c r="K44" t="s">
        <v>24</v>
      </c>
      <c r="L44" s="1">
        <v>41053.879363425927</v>
      </c>
      <c r="N44" s="4" t="s">
        <v>58</v>
      </c>
      <c r="O44" t="s">
        <v>26</v>
      </c>
    </row>
    <row r="45" spans="1:15" x14ac:dyDescent="0.55000000000000004">
      <c r="A45" t="s">
        <v>54</v>
      </c>
      <c r="B45" t="s">
        <v>18</v>
      </c>
      <c r="C45" s="1">
        <v>41061.538726851853</v>
      </c>
      <c r="D45" t="s">
        <v>55</v>
      </c>
      <c r="E45" t="s">
        <v>56</v>
      </c>
      <c r="F45" t="s">
        <v>57</v>
      </c>
      <c r="G45" s="2">
        <v>317592</v>
      </c>
      <c r="H45" s="3">
        <v>546980</v>
      </c>
      <c r="I45" t="s">
        <v>34</v>
      </c>
      <c r="J45" t="s">
        <v>64</v>
      </c>
      <c r="K45" t="s">
        <v>24</v>
      </c>
      <c r="L45" s="1">
        <v>41050.037430555552</v>
      </c>
      <c r="N45" s="4" t="s">
        <v>58</v>
      </c>
      <c r="O45" t="s">
        <v>26</v>
      </c>
    </row>
    <row r="46" spans="1:15" x14ac:dyDescent="0.55000000000000004">
      <c r="A46" t="s">
        <v>54</v>
      </c>
      <c r="B46" t="s">
        <v>18</v>
      </c>
      <c r="C46" s="1">
        <v>41061.538726851853</v>
      </c>
      <c r="D46" t="s">
        <v>55</v>
      </c>
      <c r="E46" t="s">
        <v>56</v>
      </c>
      <c r="F46" t="s">
        <v>57</v>
      </c>
      <c r="G46" s="2">
        <v>317592</v>
      </c>
      <c r="H46" s="3">
        <v>546980</v>
      </c>
      <c r="I46" t="s">
        <v>34</v>
      </c>
      <c r="J46" t="s">
        <v>39</v>
      </c>
      <c r="K46" t="s">
        <v>24</v>
      </c>
      <c r="L46" s="1">
        <v>41049.8825462963</v>
      </c>
      <c r="N46" s="4" t="s">
        <v>58</v>
      </c>
      <c r="O46" t="s">
        <v>26</v>
      </c>
    </row>
    <row r="47" spans="1:15" x14ac:dyDescent="0.55000000000000004">
      <c r="A47" t="s">
        <v>54</v>
      </c>
      <c r="B47" t="s">
        <v>18</v>
      </c>
      <c r="C47" s="1">
        <v>41061.538726851853</v>
      </c>
      <c r="D47" t="s">
        <v>55</v>
      </c>
      <c r="E47" t="s">
        <v>56</v>
      </c>
      <c r="F47" t="s">
        <v>57</v>
      </c>
      <c r="G47" s="2">
        <v>317592</v>
      </c>
      <c r="H47" s="3">
        <v>546980</v>
      </c>
      <c r="I47" t="s">
        <v>34</v>
      </c>
      <c r="J47" t="s">
        <v>35</v>
      </c>
      <c r="K47" t="s">
        <v>24</v>
      </c>
      <c r="L47" s="1">
        <v>41047.880358796298</v>
      </c>
      <c r="N47" s="4" t="s">
        <v>58</v>
      </c>
      <c r="O47" t="s">
        <v>26</v>
      </c>
    </row>
    <row r="48" spans="1:15" x14ac:dyDescent="0.55000000000000004">
      <c r="A48" t="s">
        <v>54</v>
      </c>
      <c r="B48" t="s">
        <v>18</v>
      </c>
      <c r="C48" s="1">
        <v>41061.538726851853</v>
      </c>
      <c r="D48" t="s">
        <v>55</v>
      </c>
      <c r="E48" t="s">
        <v>56</v>
      </c>
      <c r="F48" t="s">
        <v>57</v>
      </c>
      <c r="G48" s="2">
        <v>317592</v>
      </c>
      <c r="H48" s="3">
        <v>546980</v>
      </c>
      <c r="I48" t="s">
        <v>34</v>
      </c>
      <c r="J48" t="s">
        <v>38</v>
      </c>
      <c r="K48" t="s">
        <v>24</v>
      </c>
      <c r="L48" s="1">
        <v>41054.890081018515</v>
      </c>
      <c r="N48" s="4" t="s">
        <v>58</v>
      </c>
      <c r="O48" t="s">
        <v>26</v>
      </c>
    </row>
    <row r="49" spans="1:17" x14ac:dyDescent="0.55000000000000004">
      <c r="A49" t="s">
        <v>54</v>
      </c>
      <c r="B49" t="s">
        <v>18</v>
      </c>
      <c r="C49" s="1">
        <v>41061.538726851853</v>
      </c>
      <c r="D49" t="s">
        <v>55</v>
      </c>
      <c r="E49" t="s">
        <v>56</v>
      </c>
      <c r="F49" t="s">
        <v>57</v>
      </c>
      <c r="G49" s="2">
        <v>317592</v>
      </c>
      <c r="H49" s="3">
        <v>546980</v>
      </c>
      <c r="I49" t="s">
        <v>34</v>
      </c>
      <c r="J49" t="s">
        <v>43</v>
      </c>
      <c r="K49" t="s">
        <v>24</v>
      </c>
      <c r="L49" s="1">
        <v>41053.068807870368</v>
      </c>
      <c r="N49" s="4" t="s">
        <v>58</v>
      </c>
      <c r="O49" t="s">
        <v>26</v>
      </c>
    </row>
    <row r="50" spans="1:17" x14ac:dyDescent="0.55000000000000004">
      <c r="A50" t="s">
        <v>54</v>
      </c>
      <c r="B50" t="s">
        <v>18</v>
      </c>
      <c r="C50" s="1">
        <v>41061.538726851853</v>
      </c>
      <c r="D50" t="s">
        <v>55</v>
      </c>
      <c r="E50" t="s">
        <v>56</v>
      </c>
      <c r="F50" t="s">
        <v>57</v>
      </c>
      <c r="G50" s="2">
        <v>317592</v>
      </c>
      <c r="H50" s="3">
        <v>546980</v>
      </c>
      <c r="I50" t="s">
        <v>65</v>
      </c>
      <c r="J50" t="s">
        <v>23</v>
      </c>
      <c r="K50" t="s">
        <v>24</v>
      </c>
      <c r="L50" s="1">
        <v>41047.871458333335</v>
      </c>
      <c r="N50" s="4" t="s">
        <v>58</v>
      </c>
      <c r="O50" t="s">
        <v>26</v>
      </c>
    </row>
    <row r="51" spans="1:17" x14ac:dyDescent="0.55000000000000004">
      <c r="A51" t="s">
        <v>54</v>
      </c>
      <c r="B51" t="s">
        <v>18</v>
      </c>
      <c r="C51" s="1">
        <v>41061.538726851853</v>
      </c>
      <c r="D51" t="s">
        <v>55</v>
      </c>
      <c r="E51" t="s">
        <v>56</v>
      </c>
      <c r="F51" t="s">
        <v>57</v>
      </c>
      <c r="G51" s="2">
        <v>317592</v>
      </c>
      <c r="H51" s="3">
        <v>546980</v>
      </c>
      <c r="I51" t="s">
        <v>29</v>
      </c>
      <c r="J51" t="s">
        <v>30</v>
      </c>
      <c r="K51" t="s">
        <v>24</v>
      </c>
      <c r="L51" s="1">
        <v>41047.871458333335</v>
      </c>
      <c r="N51" s="4" t="s">
        <v>58</v>
      </c>
      <c r="O51" t="s">
        <v>26</v>
      </c>
    </row>
    <row r="52" spans="1:17" x14ac:dyDescent="0.55000000000000004">
      <c r="A52" t="s">
        <v>54</v>
      </c>
      <c r="B52" t="s">
        <v>18</v>
      </c>
      <c r="C52" s="1">
        <v>41061.538726851853</v>
      </c>
      <c r="D52" t="s">
        <v>55</v>
      </c>
      <c r="E52" t="s">
        <v>56</v>
      </c>
      <c r="F52" t="s">
        <v>57</v>
      </c>
      <c r="G52" s="2">
        <v>317592</v>
      </c>
      <c r="H52" s="3">
        <v>546980</v>
      </c>
      <c r="I52" t="s">
        <v>31</v>
      </c>
      <c r="J52" t="s">
        <v>23</v>
      </c>
      <c r="K52" t="s">
        <v>24</v>
      </c>
      <c r="L52" s="1">
        <v>41047.873344907406</v>
      </c>
      <c r="N52" s="4" t="s">
        <v>58</v>
      </c>
      <c r="O52" t="s">
        <v>26</v>
      </c>
    </row>
    <row r="53" spans="1:17" x14ac:dyDescent="0.55000000000000004">
      <c r="A53" t="s">
        <v>66</v>
      </c>
      <c r="B53" t="s">
        <v>18</v>
      </c>
      <c r="C53" s="1">
        <v>41061.53765046296</v>
      </c>
      <c r="D53" t="s">
        <v>67</v>
      </c>
      <c r="E53" t="s">
        <v>56</v>
      </c>
      <c r="F53" t="s">
        <v>68</v>
      </c>
      <c r="G53" s="2">
        <v>1342888</v>
      </c>
      <c r="H53" s="3">
        <v>5971493</v>
      </c>
      <c r="I53" t="s">
        <v>22</v>
      </c>
      <c r="J53" t="s">
        <v>23</v>
      </c>
      <c r="K53" t="s">
        <v>24</v>
      </c>
      <c r="L53" s="1">
        <v>41045.906712962962</v>
      </c>
      <c r="N53" t="s">
        <v>69</v>
      </c>
      <c r="O53" t="s">
        <v>26</v>
      </c>
      <c r="P53" t="s">
        <v>27</v>
      </c>
      <c r="Q53" t="s">
        <v>70</v>
      </c>
    </row>
    <row r="54" spans="1:17" x14ac:dyDescent="0.55000000000000004">
      <c r="A54" t="s">
        <v>66</v>
      </c>
      <c r="B54" t="s">
        <v>18</v>
      </c>
      <c r="C54" s="1">
        <v>41061.53765046296</v>
      </c>
      <c r="D54" t="s">
        <v>67</v>
      </c>
      <c r="E54" t="s">
        <v>56</v>
      </c>
      <c r="F54" t="s">
        <v>68</v>
      </c>
      <c r="G54" s="2">
        <v>1342888</v>
      </c>
      <c r="H54" s="3">
        <v>5971493</v>
      </c>
      <c r="I54" t="s">
        <v>28</v>
      </c>
      <c r="J54" t="s">
        <v>23</v>
      </c>
      <c r="K54" t="s">
        <v>24</v>
      </c>
      <c r="L54" s="1">
        <v>41045.907557870371</v>
      </c>
      <c r="N54" t="s">
        <v>69</v>
      </c>
      <c r="O54" t="s">
        <v>26</v>
      </c>
      <c r="P54" t="s">
        <v>27</v>
      </c>
      <c r="Q54" t="s">
        <v>70</v>
      </c>
    </row>
    <row r="55" spans="1:17" x14ac:dyDescent="0.55000000000000004">
      <c r="A55" t="s">
        <v>66</v>
      </c>
      <c r="B55" t="s">
        <v>18</v>
      </c>
      <c r="C55" s="1">
        <v>41061.53765046296</v>
      </c>
      <c r="D55" t="s">
        <v>67</v>
      </c>
      <c r="E55" t="s">
        <v>56</v>
      </c>
      <c r="F55" t="s">
        <v>68</v>
      </c>
      <c r="G55" s="2">
        <v>1342888</v>
      </c>
      <c r="H55" s="3">
        <v>5971493</v>
      </c>
      <c r="I55" t="s">
        <v>29</v>
      </c>
      <c r="J55" t="s">
        <v>30</v>
      </c>
      <c r="K55" t="s">
        <v>24</v>
      </c>
      <c r="L55" s="1">
        <v>41045.907557870371</v>
      </c>
      <c r="N55" t="s">
        <v>69</v>
      </c>
      <c r="O55" t="s">
        <v>26</v>
      </c>
      <c r="P55" t="s">
        <v>27</v>
      </c>
      <c r="Q55" t="s">
        <v>70</v>
      </c>
    </row>
    <row r="56" spans="1:17" x14ac:dyDescent="0.55000000000000004">
      <c r="A56" t="s">
        <v>66</v>
      </c>
      <c r="B56" t="s">
        <v>18</v>
      </c>
      <c r="C56" s="1">
        <v>41061.53765046296</v>
      </c>
      <c r="D56" t="s">
        <v>67</v>
      </c>
      <c r="E56" t="s">
        <v>56</v>
      </c>
      <c r="F56" t="s">
        <v>68</v>
      </c>
      <c r="G56" s="2">
        <v>1342888</v>
      </c>
      <c r="H56" s="3">
        <v>5971493</v>
      </c>
      <c r="I56" t="s">
        <v>31</v>
      </c>
      <c r="J56" t="s">
        <v>23</v>
      </c>
      <c r="K56" t="s">
        <v>24</v>
      </c>
      <c r="L56" s="1">
        <v>41045.907858796294</v>
      </c>
      <c r="N56" t="s">
        <v>69</v>
      </c>
      <c r="O56" t="s">
        <v>26</v>
      </c>
      <c r="P56" t="s">
        <v>27</v>
      </c>
      <c r="Q56" t="s">
        <v>70</v>
      </c>
    </row>
    <row r="57" spans="1:17" x14ac:dyDescent="0.55000000000000004">
      <c r="A57" t="s">
        <v>66</v>
      </c>
      <c r="B57" t="s">
        <v>18</v>
      </c>
      <c r="C57" s="1">
        <v>41061.53765046296</v>
      </c>
      <c r="D57" t="s">
        <v>67</v>
      </c>
      <c r="E57" t="s">
        <v>56</v>
      </c>
      <c r="F57" t="s">
        <v>68</v>
      </c>
      <c r="G57" s="2">
        <v>1342888</v>
      </c>
      <c r="H57" s="3">
        <v>5971493</v>
      </c>
      <c r="I57" t="s">
        <v>32</v>
      </c>
      <c r="J57" t="s">
        <v>23</v>
      </c>
      <c r="K57" t="s">
        <v>24</v>
      </c>
      <c r="L57" s="1">
        <v>41045.907905092594</v>
      </c>
      <c r="N57" t="s">
        <v>69</v>
      </c>
      <c r="O57" t="s">
        <v>26</v>
      </c>
      <c r="P57" t="s">
        <v>27</v>
      </c>
      <c r="Q57" t="s">
        <v>70</v>
      </c>
    </row>
    <row r="58" spans="1:17" x14ac:dyDescent="0.55000000000000004">
      <c r="A58" t="s">
        <v>66</v>
      </c>
      <c r="B58" t="s">
        <v>18</v>
      </c>
      <c r="C58" s="1">
        <v>41061.53765046296</v>
      </c>
      <c r="D58" t="s">
        <v>67</v>
      </c>
      <c r="E58" t="s">
        <v>56</v>
      </c>
      <c r="F58" t="s">
        <v>68</v>
      </c>
      <c r="G58" s="2">
        <v>1342888</v>
      </c>
      <c r="H58" s="3">
        <v>5971493</v>
      </c>
      <c r="I58" t="s">
        <v>33</v>
      </c>
      <c r="J58" t="s">
        <v>30</v>
      </c>
      <c r="K58" t="s">
        <v>59</v>
      </c>
      <c r="L58" s="1">
        <v>41045.907916666663</v>
      </c>
      <c r="N58" t="s">
        <v>69</v>
      </c>
      <c r="O58" t="s">
        <v>26</v>
      </c>
      <c r="P58" t="s">
        <v>27</v>
      </c>
      <c r="Q58" t="s">
        <v>70</v>
      </c>
    </row>
    <row r="59" spans="1:17" x14ac:dyDescent="0.55000000000000004">
      <c r="A59" t="s">
        <v>66</v>
      </c>
      <c r="B59" t="s">
        <v>18</v>
      </c>
      <c r="C59" s="1">
        <v>41061.53765046296</v>
      </c>
      <c r="D59" t="s">
        <v>67</v>
      </c>
      <c r="E59" t="s">
        <v>56</v>
      </c>
      <c r="F59" t="s">
        <v>68</v>
      </c>
      <c r="G59" s="2">
        <v>1342888</v>
      </c>
      <c r="H59" s="3">
        <v>5971493</v>
      </c>
      <c r="I59" t="s">
        <v>65</v>
      </c>
      <c r="J59" t="s">
        <v>23</v>
      </c>
      <c r="K59" t="s">
        <v>24</v>
      </c>
      <c r="L59" s="1">
        <v>41045.908136574071</v>
      </c>
      <c r="N59" t="s">
        <v>69</v>
      </c>
      <c r="O59" t="s">
        <v>26</v>
      </c>
      <c r="P59" t="s">
        <v>27</v>
      </c>
      <c r="Q59" t="s">
        <v>70</v>
      </c>
    </row>
    <row r="60" spans="1:17" x14ac:dyDescent="0.55000000000000004">
      <c r="A60" t="s">
        <v>66</v>
      </c>
      <c r="B60" t="s">
        <v>18</v>
      </c>
      <c r="C60" s="1">
        <v>41061.53765046296</v>
      </c>
      <c r="D60" t="s">
        <v>67</v>
      </c>
      <c r="E60" t="s">
        <v>56</v>
      </c>
      <c r="F60" t="s">
        <v>68</v>
      </c>
      <c r="G60" s="2">
        <v>1342888</v>
      </c>
      <c r="H60" s="3">
        <v>5971493</v>
      </c>
      <c r="I60" t="s">
        <v>29</v>
      </c>
      <c r="J60" t="s">
        <v>30</v>
      </c>
      <c r="K60" t="s">
        <v>24</v>
      </c>
      <c r="L60" s="1">
        <v>41045.908136574071</v>
      </c>
      <c r="N60" t="s">
        <v>69</v>
      </c>
      <c r="O60" t="s">
        <v>26</v>
      </c>
      <c r="P60" t="s">
        <v>27</v>
      </c>
      <c r="Q60" t="s">
        <v>70</v>
      </c>
    </row>
    <row r="61" spans="1:17" x14ac:dyDescent="0.55000000000000004">
      <c r="A61" t="s">
        <v>66</v>
      </c>
      <c r="B61" t="s">
        <v>18</v>
      </c>
      <c r="C61" s="1">
        <v>41061.53765046296</v>
      </c>
      <c r="D61" t="s">
        <v>67</v>
      </c>
      <c r="E61" t="s">
        <v>56</v>
      </c>
      <c r="F61" t="s">
        <v>68</v>
      </c>
      <c r="G61" s="2">
        <v>1342888</v>
      </c>
      <c r="H61" s="3">
        <v>5971493</v>
      </c>
      <c r="I61" t="s">
        <v>31</v>
      </c>
      <c r="J61" t="s">
        <v>23</v>
      </c>
      <c r="K61" t="s">
        <v>24</v>
      </c>
      <c r="L61" s="1">
        <v>41045.909247685187</v>
      </c>
      <c r="N61" t="s">
        <v>69</v>
      </c>
      <c r="O61" t="s">
        <v>26</v>
      </c>
      <c r="P61" t="s">
        <v>27</v>
      </c>
      <c r="Q61" t="s">
        <v>70</v>
      </c>
    </row>
    <row r="62" spans="1:17" x14ac:dyDescent="0.55000000000000004">
      <c r="A62" t="s">
        <v>66</v>
      </c>
      <c r="B62" t="s">
        <v>18</v>
      </c>
      <c r="C62" s="1">
        <v>41061.53765046296</v>
      </c>
      <c r="D62" t="s">
        <v>67</v>
      </c>
      <c r="E62" t="s">
        <v>56</v>
      </c>
      <c r="F62" t="s">
        <v>68</v>
      </c>
      <c r="G62" s="2">
        <v>1342888</v>
      </c>
      <c r="H62" s="3">
        <v>5971493</v>
      </c>
      <c r="I62" t="s">
        <v>32</v>
      </c>
      <c r="J62" t="s">
        <v>23</v>
      </c>
      <c r="K62" t="s">
        <v>24</v>
      </c>
      <c r="L62" s="1">
        <v>41045.909282407411</v>
      </c>
      <c r="N62" t="s">
        <v>69</v>
      </c>
      <c r="O62" t="s">
        <v>26</v>
      </c>
      <c r="P62" t="s">
        <v>27</v>
      </c>
      <c r="Q62" t="s">
        <v>70</v>
      </c>
    </row>
    <row r="63" spans="1:17" x14ac:dyDescent="0.55000000000000004">
      <c r="A63" t="s">
        <v>66</v>
      </c>
      <c r="B63" t="s">
        <v>18</v>
      </c>
      <c r="C63" s="1">
        <v>41061.53765046296</v>
      </c>
      <c r="D63" t="s">
        <v>67</v>
      </c>
      <c r="E63" t="s">
        <v>56</v>
      </c>
      <c r="F63" t="s">
        <v>68</v>
      </c>
      <c r="G63" s="2">
        <v>1342888</v>
      </c>
      <c r="H63" s="3">
        <v>5971493</v>
      </c>
      <c r="I63" t="s">
        <v>33</v>
      </c>
      <c r="J63" t="s">
        <v>30</v>
      </c>
      <c r="K63" t="s">
        <v>24</v>
      </c>
      <c r="L63" s="1">
        <v>41045.909282407411</v>
      </c>
      <c r="N63" t="s">
        <v>69</v>
      </c>
      <c r="O63" t="s">
        <v>26</v>
      </c>
      <c r="P63" t="s">
        <v>27</v>
      </c>
      <c r="Q63" t="s">
        <v>70</v>
      </c>
    </row>
    <row r="64" spans="1:17" x14ac:dyDescent="0.55000000000000004">
      <c r="A64" t="s">
        <v>66</v>
      </c>
      <c r="B64" t="s">
        <v>18</v>
      </c>
      <c r="C64" s="1">
        <v>41061.53765046296</v>
      </c>
      <c r="D64" t="s">
        <v>67</v>
      </c>
      <c r="E64" t="s">
        <v>56</v>
      </c>
      <c r="F64" t="s">
        <v>68</v>
      </c>
      <c r="G64" s="2">
        <v>1342888</v>
      </c>
      <c r="H64" s="3">
        <v>5971493</v>
      </c>
      <c r="I64" t="s">
        <v>34</v>
      </c>
      <c r="J64" t="s">
        <v>71</v>
      </c>
      <c r="K64" t="s">
        <v>24</v>
      </c>
      <c r="L64" s="1">
        <v>41047.705520833333</v>
      </c>
      <c r="N64" t="s">
        <v>69</v>
      </c>
      <c r="O64" t="s">
        <v>26</v>
      </c>
      <c r="P64" t="s">
        <v>27</v>
      </c>
      <c r="Q64" t="s">
        <v>70</v>
      </c>
    </row>
    <row r="65" spans="1:17" x14ac:dyDescent="0.55000000000000004">
      <c r="A65" t="s">
        <v>66</v>
      </c>
      <c r="B65" t="s">
        <v>18</v>
      </c>
      <c r="C65" s="1">
        <v>41061.53765046296</v>
      </c>
      <c r="D65" t="s">
        <v>67</v>
      </c>
      <c r="E65" t="s">
        <v>56</v>
      </c>
      <c r="F65" t="s">
        <v>68</v>
      </c>
      <c r="G65" s="2">
        <v>1342888</v>
      </c>
      <c r="H65" s="3">
        <v>5971493</v>
      </c>
      <c r="I65" t="s">
        <v>34</v>
      </c>
      <c r="J65" t="s">
        <v>63</v>
      </c>
      <c r="K65" t="s">
        <v>24</v>
      </c>
      <c r="L65" s="1">
        <v>41046.218622685185</v>
      </c>
      <c r="N65" t="s">
        <v>69</v>
      </c>
      <c r="O65" t="s">
        <v>26</v>
      </c>
      <c r="P65" t="s">
        <v>27</v>
      </c>
      <c r="Q65" t="s">
        <v>70</v>
      </c>
    </row>
    <row r="66" spans="1:17" x14ac:dyDescent="0.55000000000000004">
      <c r="A66" t="s">
        <v>66</v>
      </c>
      <c r="B66" t="s">
        <v>18</v>
      </c>
      <c r="C66" s="1">
        <v>41061.53765046296</v>
      </c>
      <c r="D66" t="s">
        <v>67</v>
      </c>
      <c r="E66" t="s">
        <v>56</v>
      </c>
      <c r="F66" t="s">
        <v>68</v>
      </c>
      <c r="G66" s="2">
        <v>1342888</v>
      </c>
      <c r="H66" s="3">
        <v>5971493</v>
      </c>
      <c r="I66" t="s">
        <v>34</v>
      </c>
      <c r="J66" t="s">
        <v>37</v>
      </c>
      <c r="K66" t="s">
        <v>24</v>
      </c>
      <c r="L66" s="1">
        <v>41051.737187500003</v>
      </c>
      <c r="N66" t="s">
        <v>69</v>
      </c>
      <c r="O66" t="s">
        <v>26</v>
      </c>
      <c r="P66" t="s">
        <v>27</v>
      </c>
      <c r="Q66" t="s">
        <v>70</v>
      </c>
    </row>
    <row r="67" spans="1:17" x14ac:dyDescent="0.55000000000000004">
      <c r="A67" t="s">
        <v>66</v>
      </c>
      <c r="B67" t="s">
        <v>18</v>
      </c>
      <c r="C67" s="1">
        <v>41061.53765046296</v>
      </c>
      <c r="D67" t="s">
        <v>67</v>
      </c>
      <c r="E67" t="s">
        <v>56</v>
      </c>
      <c r="F67" t="s">
        <v>68</v>
      </c>
      <c r="G67" s="2">
        <v>1342888</v>
      </c>
      <c r="H67" s="3">
        <v>5971493</v>
      </c>
      <c r="I67" t="s">
        <v>34</v>
      </c>
      <c r="J67" t="s">
        <v>42</v>
      </c>
      <c r="K67" t="s">
        <v>24</v>
      </c>
      <c r="L67" s="1">
        <v>41050.631481481483</v>
      </c>
      <c r="N67" t="s">
        <v>69</v>
      </c>
      <c r="O67" t="s">
        <v>26</v>
      </c>
      <c r="P67" t="s">
        <v>27</v>
      </c>
      <c r="Q67" t="s">
        <v>70</v>
      </c>
    </row>
    <row r="68" spans="1:17" x14ac:dyDescent="0.55000000000000004">
      <c r="A68" t="s">
        <v>66</v>
      </c>
      <c r="B68" t="s">
        <v>18</v>
      </c>
      <c r="C68" s="1">
        <v>41061.53765046296</v>
      </c>
      <c r="D68" t="s">
        <v>67</v>
      </c>
      <c r="E68" t="s">
        <v>56</v>
      </c>
      <c r="F68" t="s">
        <v>68</v>
      </c>
      <c r="G68" s="2">
        <v>1342888</v>
      </c>
      <c r="H68" s="3">
        <v>5971493</v>
      </c>
      <c r="I68" t="s">
        <v>34</v>
      </c>
      <c r="J68" t="s">
        <v>35</v>
      </c>
      <c r="K68" t="s">
        <v>24</v>
      </c>
      <c r="L68" s="1">
        <v>41047.691423611112</v>
      </c>
      <c r="N68" t="s">
        <v>69</v>
      </c>
      <c r="O68" t="s">
        <v>26</v>
      </c>
      <c r="P68" t="s">
        <v>27</v>
      </c>
      <c r="Q68" t="s">
        <v>70</v>
      </c>
    </row>
    <row r="69" spans="1:17" x14ac:dyDescent="0.55000000000000004">
      <c r="A69" t="s">
        <v>66</v>
      </c>
      <c r="B69" t="s">
        <v>18</v>
      </c>
      <c r="C69" s="1">
        <v>41061.53765046296</v>
      </c>
      <c r="D69" t="s">
        <v>67</v>
      </c>
      <c r="E69" t="s">
        <v>56</v>
      </c>
      <c r="F69" t="s">
        <v>68</v>
      </c>
      <c r="G69" s="2">
        <v>1342888</v>
      </c>
      <c r="H69" s="3">
        <v>5971493</v>
      </c>
      <c r="I69" t="s">
        <v>34</v>
      </c>
      <c r="J69" t="s">
        <v>36</v>
      </c>
      <c r="K69" t="s">
        <v>24</v>
      </c>
      <c r="L69" s="1">
        <v>41046.49763888889</v>
      </c>
      <c r="N69" t="s">
        <v>69</v>
      </c>
      <c r="O69" t="s">
        <v>26</v>
      </c>
      <c r="P69" t="s">
        <v>27</v>
      </c>
      <c r="Q69" t="s">
        <v>70</v>
      </c>
    </row>
    <row r="70" spans="1:17" x14ac:dyDescent="0.55000000000000004">
      <c r="A70" t="s">
        <v>66</v>
      </c>
      <c r="B70" t="s">
        <v>18</v>
      </c>
      <c r="C70" s="1">
        <v>41061.53765046296</v>
      </c>
      <c r="D70" t="s">
        <v>67</v>
      </c>
      <c r="E70" t="s">
        <v>56</v>
      </c>
      <c r="F70" t="s">
        <v>68</v>
      </c>
      <c r="G70" s="2">
        <v>1342888</v>
      </c>
      <c r="H70" s="3">
        <v>5971493</v>
      </c>
      <c r="I70" t="s">
        <v>34</v>
      </c>
      <c r="J70" t="s">
        <v>38</v>
      </c>
      <c r="K70" t="s">
        <v>24</v>
      </c>
      <c r="L70" s="1">
        <v>41054.916134259256</v>
      </c>
      <c r="N70" t="s">
        <v>69</v>
      </c>
      <c r="O70" t="s">
        <v>26</v>
      </c>
      <c r="P70" t="s">
        <v>27</v>
      </c>
      <c r="Q70" t="s">
        <v>70</v>
      </c>
    </row>
    <row r="71" spans="1:17" x14ac:dyDescent="0.55000000000000004">
      <c r="A71" t="s">
        <v>66</v>
      </c>
      <c r="B71" t="s">
        <v>18</v>
      </c>
      <c r="C71" s="1">
        <v>41061.53765046296</v>
      </c>
      <c r="D71" t="s">
        <v>67</v>
      </c>
      <c r="E71" t="s">
        <v>56</v>
      </c>
      <c r="F71" t="s">
        <v>68</v>
      </c>
      <c r="G71" s="2">
        <v>1342888</v>
      </c>
      <c r="H71" s="3">
        <v>5971493</v>
      </c>
      <c r="I71" t="s">
        <v>34</v>
      </c>
      <c r="J71" t="s">
        <v>39</v>
      </c>
      <c r="K71" t="s">
        <v>24</v>
      </c>
      <c r="L71" s="1">
        <v>41046.608495370368</v>
      </c>
      <c r="N71" t="s">
        <v>69</v>
      </c>
      <c r="O71" t="s">
        <v>26</v>
      </c>
      <c r="P71" t="s">
        <v>27</v>
      </c>
      <c r="Q71" t="s">
        <v>70</v>
      </c>
    </row>
    <row r="72" spans="1:17" x14ac:dyDescent="0.55000000000000004">
      <c r="A72" t="s">
        <v>66</v>
      </c>
      <c r="B72" t="s">
        <v>18</v>
      </c>
      <c r="C72" s="1">
        <v>41061.53765046296</v>
      </c>
      <c r="D72" t="s">
        <v>67</v>
      </c>
      <c r="E72" t="s">
        <v>56</v>
      </c>
      <c r="F72" t="s">
        <v>68</v>
      </c>
      <c r="G72" s="2">
        <v>1342888</v>
      </c>
      <c r="H72" s="3">
        <v>5971493</v>
      </c>
      <c r="I72" t="s">
        <v>34</v>
      </c>
      <c r="J72" t="s">
        <v>43</v>
      </c>
      <c r="K72" t="s">
        <v>24</v>
      </c>
      <c r="L72" s="1">
        <v>41046.404641203706</v>
      </c>
      <c r="N72" t="s">
        <v>69</v>
      </c>
      <c r="O72" t="s">
        <v>26</v>
      </c>
      <c r="P72" t="s">
        <v>27</v>
      </c>
      <c r="Q72" t="s">
        <v>70</v>
      </c>
    </row>
    <row r="73" spans="1:17" x14ac:dyDescent="0.55000000000000004">
      <c r="A73" t="s">
        <v>66</v>
      </c>
      <c r="B73" t="s">
        <v>18</v>
      </c>
      <c r="C73" s="1">
        <v>41061.53765046296</v>
      </c>
      <c r="D73" t="s">
        <v>67</v>
      </c>
      <c r="E73" t="s">
        <v>56</v>
      </c>
      <c r="F73" t="s">
        <v>68</v>
      </c>
      <c r="G73" s="2">
        <v>1342888</v>
      </c>
      <c r="H73" s="3">
        <v>5971493</v>
      </c>
      <c r="I73" t="s">
        <v>34</v>
      </c>
      <c r="J73" t="s">
        <v>61</v>
      </c>
      <c r="K73" t="s">
        <v>24</v>
      </c>
      <c r="L73" s="1">
        <v>41045.924224537041</v>
      </c>
      <c r="N73" t="s">
        <v>69</v>
      </c>
      <c r="O73" t="s">
        <v>26</v>
      </c>
      <c r="P73" t="s">
        <v>27</v>
      </c>
      <c r="Q73" t="s">
        <v>70</v>
      </c>
    </row>
    <row r="74" spans="1:17" x14ac:dyDescent="0.55000000000000004">
      <c r="A74" t="s">
        <v>66</v>
      </c>
      <c r="B74" t="s">
        <v>18</v>
      </c>
      <c r="C74" s="1">
        <v>41061.53765046296</v>
      </c>
      <c r="D74" t="s">
        <v>67</v>
      </c>
      <c r="E74" t="s">
        <v>56</v>
      </c>
      <c r="F74" t="s">
        <v>68</v>
      </c>
      <c r="G74" s="2">
        <v>1342888</v>
      </c>
      <c r="H74" s="3">
        <v>5971493</v>
      </c>
      <c r="I74" t="s">
        <v>47</v>
      </c>
      <c r="J74" t="s">
        <v>30</v>
      </c>
      <c r="K74" t="s">
        <v>24</v>
      </c>
      <c r="L74" s="1">
        <v>41054.916145833333</v>
      </c>
      <c r="N74" t="s">
        <v>69</v>
      </c>
      <c r="O74" t="s">
        <v>26</v>
      </c>
      <c r="P74" t="s">
        <v>27</v>
      </c>
      <c r="Q74" t="s">
        <v>70</v>
      </c>
    </row>
    <row r="75" spans="1:17" x14ac:dyDescent="0.55000000000000004">
      <c r="A75" t="s">
        <v>66</v>
      </c>
      <c r="B75" t="s">
        <v>18</v>
      </c>
      <c r="C75" s="1">
        <v>41061.53765046296</v>
      </c>
      <c r="D75" t="s">
        <v>67</v>
      </c>
      <c r="E75" t="s">
        <v>56</v>
      </c>
      <c r="F75" t="s">
        <v>68</v>
      </c>
      <c r="G75" s="2">
        <v>1342888</v>
      </c>
      <c r="H75" s="3">
        <v>5971493</v>
      </c>
      <c r="I75" t="s">
        <v>48</v>
      </c>
      <c r="J75" t="s">
        <v>23</v>
      </c>
      <c r="K75" t="s">
        <v>24</v>
      </c>
      <c r="L75" s="1">
        <v>41061.537511574075</v>
      </c>
      <c r="N75" t="s">
        <v>69</v>
      </c>
      <c r="O75" t="s">
        <v>26</v>
      </c>
      <c r="P75" t="s">
        <v>27</v>
      </c>
      <c r="Q75" t="s">
        <v>70</v>
      </c>
    </row>
    <row r="76" spans="1:17" x14ac:dyDescent="0.55000000000000004">
      <c r="A76" t="s">
        <v>66</v>
      </c>
      <c r="B76" t="s">
        <v>18</v>
      </c>
      <c r="C76" s="1">
        <v>41061.53765046296</v>
      </c>
      <c r="D76" t="s">
        <v>67</v>
      </c>
      <c r="E76" t="s">
        <v>56</v>
      </c>
      <c r="F76" t="s">
        <v>68</v>
      </c>
      <c r="G76" s="2">
        <v>1342888</v>
      </c>
      <c r="H76" s="3">
        <v>5971493</v>
      </c>
      <c r="I76" t="s">
        <v>49</v>
      </c>
      <c r="J76" t="s">
        <v>23</v>
      </c>
      <c r="K76" t="s">
        <v>24</v>
      </c>
      <c r="L76" s="1">
        <v>41061.53765046296</v>
      </c>
      <c r="N76" t="s">
        <v>69</v>
      </c>
      <c r="O76" t="s">
        <v>26</v>
      </c>
      <c r="P76" t="s">
        <v>27</v>
      </c>
      <c r="Q76" t="s">
        <v>70</v>
      </c>
    </row>
    <row r="77" spans="1:17" x14ac:dyDescent="0.55000000000000004">
      <c r="A77" t="s">
        <v>66</v>
      </c>
      <c r="B77" t="s">
        <v>18</v>
      </c>
      <c r="C77" s="1">
        <v>41061.53765046296</v>
      </c>
      <c r="D77" t="s">
        <v>67</v>
      </c>
      <c r="E77" t="s">
        <v>56</v>
      </c>
      <c r="F77" t="s">
        <v>68</v>
      </c>
      <c r="G77" s="2">
        <v>1342888</v>
      </c>
      <c r="H77" s="3">
        <v>5971493</v>
      </c>
      <c r="I77" t="s">
        <v>50</v>
      </c>
      <c r="J77" t="s">
        <v>30</v>
      </c>
      <c r="K77" t="s">
        <v>24</v>
      </c>
      <c r="L77" s="1">
        <v>41061.537662037037</v>
      </c>
      <c r="N77" t="s">
        <v>69</v>
      </c>
      <c r="O77" t="s">
        <v>26</v>
      </c>
      <c r="P77" t="s">
        <v>27</v>
      </c>
      <c r="Q77" t="s">
        <v>70</v>
      </c>
    </row>
    <row r="78" spans="1:17" x14ac:dyDescent="0.55000000000000004">
      <c r="A78" t="s">
        <v>66</v>
      </c>
      <c r="B78" t="s">
        <v>18</v>
      </c>
      <c r="C78" s="1">
        <v>41061.53765046296</v>
      </c>
      <c r="D78" t="s">
        <v>67</v>
      </c>
      <c r="E78" t="s">
        <v>56</v>
      </c>
      <c r="F78" t="s">
        <v>68</v>
      </c>
      <c r="G78" s="2">
        <v>1342888</v>
      </c>
      <c r="H78" s="3">
        <v>5971493</v>
      </c>
      <c r="I78" t="s">
        <v>51</v>
      </c>
      <c r="J78" t="s">
        <v>52</v>
      </c>
      <c r="K78" t="s">
        <v>53</v>
      </c>
      <c r="N78" t="s">
        <v>69</v>
      </c>
      <c r="O78" t="s">
        <v>26</v>
      </c>
      <c r="P78" t="s">
        <v>27</v>
      </c>
      <c r="Q78" t="s">
        <v>70</v>
      </c>
    </row>
    <row r="79" spans="1:17" x14ac:dyDescent="0.55000000000000004">
      <c r="A79" t="s">
        <v>72</v>
      </c>
      <c r="B79" t="s">
        <v>18</v>
      </c>
      <c r="C79" s="1">
        <v>41061.535868055558</v>
      </c>
      <c r="D79" t="s">
        <v>73</v>
      </c>
      <c r="E79" t="s">
        <v>56</v>
      </c>
      <c r="F79" t="s">
        <v>74</v>
      </c>
      <c r="G79" s="2">
        <v>356717</v>
      </c>
      <c r="H79" s="3">
        <v>18893786</v>
      </c>
      <c r="I79" t="s">
        <v>28</v>
      </c>
      <c r="J79" t="s">
        <v>23</v>
      </c>
      <c r="K79" t="s">
        <v>24</v>
      </c>
      <c r="L79" s="1">
        <v>41054.67292824074</v>
      </c>
      <c r="N79" t="s">
        <v>75</v>
      </c>
      <c r="O79" t="s">
        <v>26</v>
      </c>
      <c r="P79" t="s">
        <v>27</v>
      </c>
      <c r="Q79" t="s">
        <v>70</v>
      </c>
    </row>
    <row r="80" spans="1:17" x14ac:dyDescent="0.55000000000000004">
      <c r="A80" t="s">
        <v>72</v>
      </c>
      <c r="B80" t="s">
        <v>18</v>
      </c>
      <c r="C80" s="1">
        <v>41061.535868055558</v>
      </c>
      <c r="D80" t="s">
        <v>73</v>
      </c>
      <c r="E80" t="s">
        <v>56</v>
      </c>
      <c r="F80" t="s">
        <v>74</v>
      </c>
      <c r="G80" s="2">
        <v>356717</v>
      </c>
      <c r="H80" s="3">
        <v>18893786</v>
      </c>
      <c r="I80" t="s">
        <v>32</v>
      </c>
      <c r="J80" t="s">
        <v>23</v>
      </c>
      <c r="K80" t="s">
        <v>24</v>
      </c>
      <c r="L80" s="1">
        <v>41054.673518518517</v>
      </c>
      <c r="N80" t="s">
        <v>75</v>
      </c>
      <c r="O80" t="s">
        <v>26</v>
      </c>
      <c r="P80" t="s">
        <v>27</v>
      </c>
      <c r="Q80" t="s">
        <v>70</v>
      </c>
    </row>
    <row r="81" spans="1:17" x14ac:dyDescent="0.55000000000000004">
      <c r="A81" t="s">
        <v>72</v>
      </c>
      <c r="B81" t="s">
        <v>18</v>
      </c>
      <c r="C81" s="1">
        <v>41061.535868055558</v>
      </c>
      <c r="D81" t="s">
        <v>73</v>
      </c>
      <c r="E81" t="s">
        <v>56</v>
      </c>
      <c r="F81" t="s">
        <v>74</v>
      </c>
      <c r="G81" s="2">
        <v>356717</v>
      </c>
      <c r="H81" s="3">
        <v>18893786</v>
      </c>
      <c r="I81" t="s">
        <v>47</v>
      </c>
      <c r="J81" t="s">
        <v>30</v>
      </c>
      <c r="K81" t="s">
        <v>24</v>
      </c>
      <c r="L81" s="1">
        <v>41061.077847222223</v>
      </c>
      <c r="N81" t="s">
        <v>75</v>
      </c>
      <c r="O81" t="s">
        <v>26</v>
      </c>
      <c r="P81" t="s">
        <v>27</v>
      </c>
      <c r="Q81" t="s">
        <v>70</v>
      </c>
    </row>
    <row r="82" spans="1:17" x14ac:dyDescent="0.55000000000000004">
      <c r="A82" t="s">
        <v>72</v>
      </c>
      <c r="B82" t="s">
        <v>18</v>
      </c>
      <c r="C82" s="1">
        <v>41061.535868055558</v>
      </c>
      <c r="D82" t="s">
        <v>73</v>
      </c>
      <c r="E82" t="s">
        <v>56</v>
      </c>
      <c r="F82" t="s">
        <v>74</v>
      </c>
      <c r="G82" s="2">
        <v>356717</v>
      </c>
      <c r="H82" s="3">
        <v>18893786</v>
      </c>
      <c r="I82" t="s">
        <v>48</v>
      </c>
      <c r="J82" t="s">
        <v>23</v>
      </c>
      <c r="K82" t="s">
        <v>24</v>
      </c>
      <c r="L82" s="1">
        <v>41061.535833333335</v>
      </c>
      <c r="N82" t="s">
        <v>75</v>
      </c>
      <c r="O82" t="s">
        <v>26</v>
      </c>
      <c r="P82" t="s">
        <v>27</v>
      </c>
      <c r="Q82" t="s">
        <v>70</v>
      </c>
    </row>
    <row r="83" spans="1:17" x14ac:dyDescent="0.55000000000000004">
      <c r="A83" t="s">
        <v>72</v>
      </c>
      <c r="B83" t="s">
        <v>18</v>
      </c>
      <c r="C83" s="1">
        <v>41061.535868055558</v>
      </c>
      <c r="D83" t="s">
        <v>73</v>
      </c>
      <c r="E83" t="s">
        <v>56</v>
      </c>
      <c r="F83" t="s">
        <v>74</v>
      </c>
      <c r="G83" s="2">
        <v>356717</v>
      </c>
      <c r="H83" s="3">
        <v>18893786</v>
      </c>
      <c r="I83" t="s">
        <v>49</v>
      </c>
      <c r="J83" t="s">
        <v>23</v>
      </c>
      <c r="K83" t="s">
        <v>24</v>
      </c>
      <c r="L83" s="1">
        <v>41061.535868055558</v>
      </c>
      <c r="N83" t="s">
        <v>75</v>
      </c>
      <c r="O83" t="s">
        <v>26</v>
      </c>
      <c r="P83" t="s">
        <v>27</v>
      </c>
      <c r="Q83" t="s">
        <v>70</v>
      </c>
    </row>
    <row r="84" spans="1:17" x14ac:dyDescent="0.55000000000000004">
      <c r="A84" t="s">
        <v>72</v>
      </c>
      <c r="B84" t="s">
        <v>18</v>
      </c>
      <c r="C84" s="1">
        <v>41061.535868055558</v>
      </c>
      <c r="D84" t="s">
        <v>73</v>
      </c>
      <c r="E84" t="s">
        <v>56</v>
      </c>
      <c r="F84" t="s">
        <v>74</v>
      </c>
      <c r="G84" s="2">
        <v>356717</v>
      </c>
      <c r="H84" s="3">
        <v>18893786</v>
      </c>
      <c r="I84" t="s">
        <v>50</v>
      </c>
      <c r="J84" t="s">
        <v>30</v>
      </c>
      <c r="K84" t="s">
        <v>24</v>
      </c>
      <c r="L84" s="1">
        <v>41061.535879629628</v>
      </c>
      <c r="N84" t="s">
        <v>75</v>
      </c>
      <c r="O84" t="s">
        <v>26</v>
      </c>
      <c r="P84" t="s">
        <v>27</v>
      </c>
      <c r="Q84" t="s">
        <v>70</v>
      </c>
    </row>
    <row r="85" spans="1:17" x14ac:dyDescent="0.55000000000000004">
      <c r="A85" t="s">
        <v>72</v>
      </c>
      <c r="B85" t="s">
        <v>18</v>
      </c>
      <c r="C85" s="1">
        <v>41061.535868055558</v>
      </c>
      <c r="D85" t="s">
        <v>73</v>
      </c>
      <c r="E85" t="s">
        <v>56</v>
      </c>
      <c r="F85" t="s">
        <v>74</v>
      </c>
      <c r="G85" s="2">
        <v>356717</v>
      </c>
      <c r="H85" s="3">
        <v>18893786</v>
      </c>
      <c r="I85" t="s">
        <v>51</v>
      </c>
      <c r="J85" t="s">
        <v>52</v>
      </c>
      <c r="K85" t="s">
        <v>53</v>
      </c>
      <c r="N85" t="s">
        <v>75</v>
      </c>
      <c r="O85" t="s">
        <v>26</v>
      </c>
      <c r="P85" t="s">
        <v>27</v>
      </c>
      <c r="Q85" t="s">
        <v>70</v>
      </c>
    </row>
    <row r="86" spans="1:17" x14ac:dyDescent="0.55000000000000004">
      <c r="A86" t="s">
        <v>72</v>
      </c>
      <c r="B86" t="s">
        <v>18</v>
      </c>
      <c r="C86" s="1">
        <v>41061.535868055558</v>
      </c>
      <c r="D86" t="s">
        <v>73</v>
      </c>
      <c r="E86" t="s">
        <v>56</v>
      </c>
      <c r="F86" t="s">
        <v>74</v>
      </c>
      <c r="G86" s="2">
        <v>356717</v>
      </c>
      <c r="H86" s="3">
        <v>18893786</v>
      </c>
      <c r="I86" t="s">
        <v>22</v>
      </c>
      <c r="J86" t="s">
        <v>23</v>
      </c>
      <c r="K86" t="s">
        <v>24</v>
      </c>
      <c r="L86" s="1">
        <v>41054.662118055552</v>
      </c>
      <c r="N86" t="s">
        <v>75</v>
      </c>
      <c r="O86" t="s">
        <v>26</v>
      </c>
      <c r="P86" t="s">
        <v>27</v>
      </c>
      <c r="Q86" t="s">
        <v>70</v>
      </c>
    </row>
    <row r="87" spans="1:17" x14ac:dyDescent="0.55000000000000004">
      <c r="A87" t="s">
        <v>72</v>
      </c>
      <c r="B87" t="s">
        <v>18</v>
      </c>
      <c r="C87" s="1">
        <v>41061.535868055558</v>
      </c>
      <c r="D87" t="s">
        <v>73</v>
      </c>
      <c r="E87" t="s">
        <v>56</v>
      </c>
      <c r="F87" t="s">
        <v>74</v>
      </c>
      <c r="G87" s="2">
        <v>356717</v>
      </c>
      <c r="H87" s="3">
        <v>18893786</v>
      </c>
      <c r="I87" t="s">
        <v>29</v>
      </c>
      <c r="J87" t="s">
        <v>30</v>
      </c>
      <c r="K87" t="s">
        <v>24</v>
      </c>
      <c r="L87" s="1">
        <v>41054.672939814816</v>
      </c>
      <c r="N87" t="s">
        <v>75</v>
      </c>
      <c r="O87" t="s">
        <v>26</v>
      </c>
      <c r="P87" t="s">
        <v>27</v>
      </c>
      <c r="Q87" t="s">
        <v>70</v>
      </c>
    </row>
    <row r="88" spans="1:17" x14ac:dyDescent="0.55000000000000004">
      <c r="A88" t="s">
        <v>72</v>
      </c>
      <c r="B88" t="s">
        <v>18</v>
      </c>
      <c r="C88" s="1">
        <v>41061.535868055558</v>
      </c>
      <c r="D88" t="s">
        <v>73</v>
      </c>
      <c r="E88" t="s">
        <v>56</v>
      </c>
      <c r="F88" t="s">
        <v>74</v>
      </c>
      <c r="G88" s="2">
        <v>356717</v>
      </c>
      <c r="H88" s="3">
        <v>18893786</v>
      </c>
      <c r="I88" t="s">
        <v>31</v>
      </c>
      <c r="J88" t="s">
        <v>23</v>
      </c>
      <c r="K88" t="s">
        <v>24</v>
      </c>
      <c r="L88" s="1">
        <v>41054.673472222225</v>
      </c>
      <c r="N88" t="s">
        <v>75</v>
      </c>
      <c r="O88" t="s">
        <v>26</v>
      </c>
      <c r="P88" t="s">
        <v>27</v>
      </c>
      <c r="Q88" t="s">
        <v>70</v>
      </c>
    </row>
    <row r="89" spans="1:17" x14ac:dyDescent="0.55000000000000004">
      <c r="A89" t="s">
        <v>72</v>
      </c>
      <c r="B89" t="s">
        <v>18</v>
      </c>
      <c r="C89" s="1">
        <v>41061.535868055558</v>
      </c>
      <c r="D89" t="s">
        <v>73</v>
      </c>
      <c r="E89" t="s">
        <v>56</v>
      </c>
      <c r="F89" t="s">
        <v>74</v>
      </c>
      <c r="G89" s="2">
        <v>356717</v>
      </c>
      <c r="H89" s="3">
        <v>18893786</v>
      </c>
      <c r="I89" t="s">
        <v>33</v>
      </c>
      <c r="J89" t="s">
        <v>30</v>
      </c>
      <c r="K89" t="s">
        <v>24</v>
      </c>
      <c r="L89" s="1">
        <v>41054.673530092594</v>
      </c>
      <c r="N89" t="s">
        <v>75</v>
      </c>
      <c r="O89" t="s">
        <v>26</v>
      </c>
      <c r="P89" t="s">
        <v>27</v>
      </c>
      <c r="Q89" t="s">
        <v>70</v>
      </c>
    </row>
    <row r="90" spans="1:17" x14ac:dyDescent="0.55000000000000004">
      <c r="A90" t="s">
        <v>72</v>
      </c>
      <c r="B90" t="s">
        <v>18</v>
      </c>
      <c r="C90" s="1">
        <v>41061.535868055558</v>
      </c>
      <c r="D90" t="s">
        <v>73</v>
      </c>
      <c r="E90" t="s">
        <v>56</v>
      </c>
      <c r="F90" t="s">
        <v>74</v>
      </c>
      <c r="G90" s="2">
        <v>356717</v>
      </c>
      <c r="H90" s="3">
        <v>18893786</v>
      </c>
      <c r="I90" t="s">
        <v>34</v>
      </c>
      <c r="J90" t="s">
        <v>39</v>
      </c>
      <c r="K90" t="s">
        <v>24</v>
      </c>
      <c r="L90" s="1">
        <v>41058.532013888886</v>
      </c>
      <c r="N90" t="s">
        <v>75</v>
      </c>
      <c r="O90" t="s">
        <v>26</v>
      </c>
      <c r="P90" t="s">
        <v>27</v>
      </c>
      <c r="Q90" t="s">
        <v>70</v>
      </c>
    </row>
    <row r="91" spans="1:17" x14ac:dyDescent="0.55000000000000004">
      <c r="A91" t="s">
        <v>72</v>
      </c>
      <c r="B91" t="s">
        <v>18</v>
      </c>
      <c r="C91" s="1">
        <v>41061.535868055558</v>
      </c>
      <c r="D91" t="s">
        <v>73</v>
      </c>
      <c r="E91" t="s">
        <v>56</v>
      </c>
      <c r="F91" t="s">
        <v>74</v>
      </c>
      <c r="G91" s="2">
        <v>356717</v>
      </c>
      <c r="H91" s="3">
        <v>18893786</v>
      </c>
      <c r="I91" t="s">
        <v>34</v>
      </c>
      <c r="J91" t="s">
        <v>42</v>
      </c>
      <c r="K91" t="s">
        <v>24</v>
      </c>
      <c r="L91" s="1">
        <v>41058.56417824074</v>
      </c>
      <c r="N91" t="s">
        <v>75</v>
      </c>
      <c r="O91" t="s">
        <v>26</v>
      </c>
      <c r="P91" t="s">
        <v>27</v>
      </c>
      <c r="Q91" t="s">
        <v>70</v>
      </c>
    </row>
    <row r="92" spans="1:17" x14ac:dyDescent="0.55000000000000004">
      <c r="A92" t="s">
        <v>72</v>
      </c>
      <c r="B92" t="s">
        <v>18</v>
      </c>
      <c r="C92" s="1">
        <v>41061.535868055558</v>
      </c>
      <c r="D92" t="s">
        <v>73</v>
      </c>
      <c r="E92" t="s">
        <v>56</v>
      </c>
      <c r="F92" t="s">
        <v>74</v>
      </c>
      <c r="G92" s="2">
        <v>356717</v>
      </c>
      <c r="H92" s="3">
        <v>18893786</v>
      </c>
      <c r="I92" t="s">
        <v>34</v>
      </c>
      <c r="J92" t="s">
        <v>64</v>
      </c>
      <c r="K92" t="s">
        <v>24</v>
      </c>
      <c r="L92" s="1">
        <v>41058.609606481485</v>
      </c>
      <c r="N92" t="s">
        <v>75</v>
      </c>
      <c r="O92" t="s">
        <v>26</v>
      </c>
      <c r="P92" t="s">
        <v>27</v>
      </c>
      <c r="Q92" t="s">
        <v>70</v>
      </c>
    </row>
    <row r="93" spans="1:17" x14ac:dyDescent="0.55000000000000004">
      <c r="A93" t="s">
        <v>72</v>
      </c>
      <c r="B93" t="s">
        <v>18</v>
      </c>
      <c r="C93" s="1">
        <v>41061.535868055558</v>
      </c>
      <c r="D93" t="s">
        <v>73</v>
      </c>
      <c r="E93" t="s">
        <v>56</v>
      </c>
      <c r="F93" t="s">
        <v>74</v>
      </c>
      <c r="G93" s="2">
        <v>356717</v>
      </c>
      <c r="H93" s="3">
        <v>18893786</v>
      </c>
      <c r="I93" t="s">
        <v>34</v>
      </c>
      <c r="J93" t="s">
        <v>63</v>
      </c>
      <c r="K93" t="s">
        <v>24</v>
      </c>
      <c r="L93" s="1">
        <v>41061.077847222223</v>
      </c>
      <c r="N93" t="s">
        <v>75</v>
      </c>
      <c r="O93" t="s">
        <v>26</v>
      </c>
      <c r="P93" t="s">
        <v>27</v>
      </c>
      <c r="Q93" t="s">
        <v>70</v>
      </c>
    </row>
    <row r="94" spans="1:17" x14ac:dyDescent="0.55000000000000004">
      <c r="A94" t="s">
        <v>72</v>
      </c>
      <c r="B94" t="s">
        <v>18</v>
      </c>
      <c r="C94" s="1">
        <v>41061.535868055558</v>
      </c>
      <c r="D94" t="s">
        <v>73</v>
      </c>
      <c r="E94" t="s">
        <v>56</v>
      </c>
      <c r="F94" t="s">
        <v>74</v>
      </c>
      <c r="G94" s="2">
        <v>356717</v>
      </c>
      <c r="H94" s="3">
        <v>18893786</v>
      </c>
      <c r="I94" t="s">
        <v>34</v>
      </c>
      <c r="J94" t="s">
        <v>43</v>
      </c>
      <c r="K94" t="s">
        <v>24</v>
      </c>
      <c r="L94" s="1">
        <v>41054.721932870372</v>
      </c>
      <c r="N94" t="s">
        <v>75</v>
      </c>
      <c r="O94" t="s">
        <v>26</v>
      </c>
      <c r="P94" t="s">
        <v>27</v>
      </c>
      <c r="Q94" t="s">
        <v>70</v>
      </c>
    </row>
    <row r="95" spans="1:17" x14ac:dyDescent="0.55000000000000004">
      <c r="A95" t="s">
        <v>72</v>
      </c>
      <c r="B95" t="s">
        <v>18</v>
      </c>
      <c r="C95" s="1">
        <v>41061.535868055558</v>
      </c>
      <c r="D95" t="s">
        <v>73</v>
      </c>
      <c r="E95" t="s">
        <v>56</v>
      </c>
      <c r="F95" t="s">
        <v>74</v>
      </c>
      <c r="G95" s="2">
        <v>356717</v>
      </c>
      <c r="H95" s="3">
        <v>18893786</v>
      </c>
      <c r="I95" t="s">
        <v>34</v>
      </c>
      <c r="J95" t="s">
        <v>37</v>
      </c>
      <c r="K95" t="s">
        <v>24</v>
      </c>
      <c r="L95" s="1">
        <v>41054.694467592592</v>
      </c>
      <c r="N95" t="s">
        <v>75</v>
      </c>
      <c r="O95" t="s">
        <v>26</v>
      </c>
      <c r="P95" t="s">
        <v>27</v>
      </c>
      <c r="Q95" t="s">
        <v>70</v>
      </c>
    </row>
    <row r="96" spans="1:17" x14ac:dyDescent="0.55000000000000004">
      <c r="A96" t="s">
        <v>72</v>
      </c>
      <c r="B96" t="s">
        <v>18</v>
      </c>
      <c r="C96" s="1">
        <v>41061.535868055558</v>
      </c>
      <c r="D96" t="s">
        <v>73</v>
      </c>
      <c r="E96" t="s">
        <v>56</v>
      </c>
      <c r="F96" t="s">
        <v>74</v>
      </c>
      <c r="G96" s="2">
        <v>356717</v>
      </c>
      <c r="H96" s="3">
        <v>18893786</v>
      </c>
      <c r="I96" t="s">
        <v>34</v>
      </c>
      <c r="J96" t="s">
        <v>61</v>
      </c>
      <c r="K96" t="s">
        <v>24</v>
      </c>
      <c r="L96" s="1">
        <v>41054.745810185188</v>
      </c>
      <c r="N96" t="s">
        <v>75</v>
      </c>
      <c r="O96" t="s">
        <v>26</v>
      </c>
      <c r="P96" t="s">
        <v>27</v>
      </c>
      <c r="Q96" t="s">
        <v>70</v>
      </c>
    </row>
    <row r="97" spans="1:17" x14ac:dyDescent="0.55000000000000004">
      <c r="A97" t="s">
        <v>72</v>
      </c>
      <c r="B97" t="s">
        <v>18</v>
      </c>
      <c r="C97" s="1">
        <v>41061.535868055558</v>
      </c>
      <c r="D97" t="s">
        <v>73</v>
      </c>
      <c r="E97" t="s">
        <v>56</v>
      </c>
      <c r="F97" t="s">
        <v>74</v>
      </c>
      <c r="G97" s="2">
        <v>356717</v>
      </c>
      <c r="H97" s="3">
        <v>18893786</v>
      </c>
      <c r="I97" t="s">
        <v>34</v>
      </c>
      <c r="J97" t="s">
        <v>35</v>
      </c>
      <c r="K97" t="s">
        <v>24</v>
      </c>
      <c r="L97" s="1">
        <v>41054.679155092592</v>
      </c>
      <c r="N97" t="s">
        <v>75</v>
      </c>
      <c r="O97" t="s">
        <v>26</v>
      </c>
      <c r="P97" t="s">
        <v>27</v>
      </c>
      <c r="Q97" t="s">
        <v>70</v>
      </c>
    </row>
    <row r="98" spans="1:17" x14ac:dyDescent="0.55000000000000004">
      <c r="A98" t="s">
        <v>72</v>
      </c>
      <c r="B98" t="s">
        <v>18</v>
      </c>
      <c r="C98" s="1">
        <v>41061.535868055558</v>
      </c>
      <c r="D98" t="s">
        <v>73</v>
      </c>
      <c r="E98" t="s">
        <v>56</v>
      </c>
      <c r="F98" t="s">
        <v>74</v>
      </c>
      <c r="G98" s="2">
        <v>356717</v>
      </c>
      <c r="H98" s="3">
        <v>18893786</v>
      </c>
      <c r="I98" t="s">
        <v>34</v>
      </c>
      <c r="J98" t="s">
        <v>38</v>
      </c>
      <c r="K98" t="s">
        <v>24</v>
      </c>
      <c r="L98" s="1">
        <v>41054.889282407406</v>
      </c>
      <c r="N98" t="s">
        <v>75</v>
      </c>
      <c r="O98" t="s">
        <v>26</v>
      </c>
      <c r="P98" t="s">
        <v>27</v>
      </c>
      <c r="Q98" t="s">
        <v>70</v>
      </c>
    </row>
    <row r="99" spans="1:17" x14ac:dyDescent="0.55000000000000004">
      <c r="A99" t="s">
        <v>72</v>
      </c>
      <c r="B99" t="s">
        <v>18</v>
      </c>
      <c r="C99" s="1">
        <v>41061.535868055558</v>
      </c>
      <c r="D99" t="s">
        <v>73</v>
      </c>
      <c r="E99" t="s">
        <v>56</v>
      </c>
      <c r="F99" t="s">
        <v>74</v>
      </c>
      <c r="G99" s="2">
        <v>356717</v>
      </c>
      <c r="H99" s="3">
        <v>18893786</v>
      </c>
      <c r="I99" t="s">
        <v>34</v>
      </c>
      <c r="J99" t="s">
        <v>36</v>
      </c>
      <c r="K99" t="s">
        <v>24</v>
      </c>
      <c r="L99" s="1">
        <v>41058.489363425928</v>
      </c>
      <c r="N99" t="s">
        <v>75</v>
      </c>
      <c r="O99" t="s">
        <v>26</v>
      </c>
      <c r="P99" t="s">
        <v>27</v>
      </c>
      <c r="Q99" t="s">
        <v>70</v>
      </c>
    </row>
    <row r="100" spans="1:17" x14ac:dyDescent="0.55000000000000004">
      <c r="A100" t="s">
        <v>84</v>
      </c>
      <c r="B100" t="s">
        <v>85</v>
      </c>
      <c r="C100" s="1">
        <v>41067.783159722225</v>
      </c>
      <c r="D100" t="s">
        <v>86</v>
      </c>
      <c r="E100" t="s">
        <v>20</v>
      </c>
      <c r="F100" t="s">
        <v>87</v>
      </c>
      <c r="G100" s="2">
        <v>2438</v>
      </c>
      <c r="H100" s="3">
        <v>1567354</v>
      </c>
      <c r="I100" t="s">
        <v>29</v>
      </c>
      <c r="J100" t="s">
        <v>30</v>
      </c>
      <c r="K100" t="s">
        <v>24</v>
      </c>
      <c r="L100" s="1">
        <v>41067.783020833333</v>
      </c>
      <c r="N100" s="4" t="s">
        <v>88</v>
      </c>
      <c r="O100" t="s">
        <v>26</v>
      </c>
      <c r="P100" t="s">
        <v>27</v>
      </c>
      <c r="Q100" t="s">
        <v>70</v>
      </c>
    </row>
    <row r="101" spans="1:17" x14ac:dyDescent="0.55000000000000004">
      <c r="A101" t="s">
        <v>84</v>
      </c>
      <c r="B101" t="s">
        <v>85</v>
      </c>
      <c r="C101" s="1">
        <v>41067.783159722225</v>
      </c>
      <c r="D101" t="s">
        <v>86</v>
      </c>
      <c r="E101" t="s">
        <v>20</v>
      </c>
      <c r="F101" t="s">
        <v>87</v>
      </c>
      <c r="G101" s="2">
        <v>2438</v>
      </c>
      <c r="H101" s="3">
        <v>1567354</v>
      </c>
      <c r="I101" t="s">
        <v>31</v>
      </c>
      <c r="J101" t="s">
        <v>23</v>
      </c>
      <c r="K101" t="s">
        <v>24</v>
      </c>
      <c r="L101" s="1">
        <v>41067.783136574071</v>
      </c>
      <c r="N101" s="4" t="s">
        <v>88</v>
      </c>
      <c r="O101" t="s">
        <v>26</v>
      </c>
      <c r="P101" t="s">
        <v>27</v>
      </c>
      <c r="Q101" t="s">
        <v>70</v>
      </c>
    </row>
    <row r="102" spans="1:17" x14ac:dyDescent="0.55000000000000004">
      <c r="A102" t="s">
        <v>84</v>
      </c>
      <c r="B102" t="s">
        <v>85</v>
      </c>
      <c r="C102" s="1">
        <v>41067.783159722225</v>
      </c>
      <c r="D102" t="s">
        <v>86</v>
      </c>
      <c r="E102" t="s">
        <v>20</v>
      </c>
      <c r="F102" t="s">
        <v>87</v>
      </c>
      <c r="G102" s="2">
        <v>2438</v>
      </c>
      <c r="H102" s="3">
        <v>1567354</v>
      </c>
      <c r="I102" t="s">
        <v>22</v>
      </c>
      <c r="J102" t="s">
        <v>23</v>
      </c>
      <c r="K102" t="s">
        <v>24</v>
      </c>
      <c r="L102" s="1">
        <v>41067.782569444447</v>
      </c>
      <c r="N102" s="4" t="s">
        <v>88</v>
      </c>
      <c r="O102" t="s">
        <v>26</v>
      </c>
      <c r="P102" t="s">
        <v>27</v>
      </c>
      <c r="Q102" t="s">
        <v>70</v>
      </c>
    </row>
    <row r="103" spans="1:17" x14ac:dyDescent="0.55000000000000004">
      <c r="A103" t="s">
        <v>84</v>
      </c>
      <c r="B103" t="s">
        <v>85</v>
      </c>
      <c r="C103" s="1">
        <v>41067.783159722225</v>
      </c>
      <c r="D103" t="s">
        <v>86</v>
      </c>
      <c r="E103" t="s">
        <v>20</v>
      </c>
      <c r="F103" t="s">
        <v>87</v>
      </c>
      <c r="G103" s="2">
        <v>2438</v>
      </c>
      <c r="H103" s="3">
        <v>1567354</v>
      </c>
      <c r="I103" t="s">
        <v>28</v>
      </c>
      <c r="J103" t="s">
        <v>23</v>
      </c>
      <c r="K103" t="s">
        <v>24</v>
      </c>
      <c r="L103" s="1">
        <v>41067.783020833333</v>
      </c>
      <c r="N103" s="4" t="s">
        <v>88</v>
      </c>
      <c r="O103" t="s">
        <v>26</v>
      </c>
      <c r="P103" t="s">
        <v>27</v>
      </c>
      <c r="Q103" t="s">
        <v>70</v>
      </c>
    </row>
    <row r="104" spans="1:17" x14ac:dyDescent="0.55000000000000004">
      <c r="A104" t="s">
        <v>84</v>
      </c>
      <c r="B104" t="s">
        <v>85</v>
      </c>
      <c r="C104" s="1">
        <v>41067.783159722225</v>
      </c>
      <c r="D104" t="s">
        <v>86</v>
      </c>
      <c r="E104" t="s">
        <v>20</v>
      </c>
      <c r="F104" t="s">
        <v>87</v>
      </c>
      <c r="G104" s="2">
        <v>2438</v>
      </c>
      <c r="H104" s="3">
        <v>1567354</v>
      </c>
      <c r="I104" t="s">
        <v>32</v>
      </c>
      <c r="J104" t="s">
        <v>23</v>
      </c>
      <c r="K104" t="s">
        <v>24</v>
      </c>
      <c r="L104" s="1">
        <v>41067.783159722225</v>
      </c>
      <c r="N104" s="4" t="s">
        <v>88</v>
      </c>
      <c r="O104" t="s">
        <v>26</v>
      </c>
      <c r="P104" t="s">
        <v>27</v>
      </c>
      <c r="Q104" t="s">
        <v>70</v>
      </c>
    </row>
    <row r="105" spans="1:17" x14ac:dyDescent="0.55000000000000004">
      <c r="A105" t="s">
        <v>84</v>
      </c>
      <c r="B105" t="s">
        <v>85</v>
      </c>
      <c r="C105" s="1">
        <v>41067.783159722225</v>
      </c>
      <c r="D105" t="s">
        <v>86</v>
      </c>
      <c r="E105" t="s">
        <v>20</v>
      </c>
      <c r="F105" t="s">
        <v>87</v>
      </c>
      <c r="G105" s="2">
        <v>2438</v>
      </c>
      <c r="H105" s="3">
        <v>1567354</v>
      </c>
      <c r="I105" t="s">
        <v>33</v>
      </c>
      <c r="J105" t="s">
        <v>30</v>
      </c>
      <c r="K105" t="s">
        <v>24</v>
      </c>
      <c r="L105" s="1">
        <v>41067.783171296294</v>
      </c>
      <c r="N105" s="4" t="s">
        <v>88</v>
      </c>
      <c r="O105" t="s">
        <v>26</v>
      </c>
      <c r="P105" t="s">
        <v>27</v>
      </c>
      <c r="Q105" t="s">
        <v>70</v>
      </c>
    </row>
    <row r="106" spans="1:17" x14ac:dyDescent="0.55000000000000004">
      <c r="A106" t="s">
        <v>84</v>
      </c>
      <c r="B106" t="s">
        <v>85</v>
      </c>
      <c r="C106" s="1">
        <v>41067.783159722225</v>
      </c>
      <c r="D106" t="s">
        <v>86</v>
      </c>
      <c r="E106" t="s">
        <v>20</v>
      </c>
      <c r="F106" t="s">
        <v>87</v>
      </c>
      <c r="G106" s="2">
        <v>2438</v>
      </c>
      <c r="H106" s="3">
        <v>1567354</v>
      </c>
      <c r="I106" t="s">
        <v>34</v>
      </c>
      <c r="J106" t="s">
        <v>43</v>
      </c>
      <c r="K106" t="s">
        <v>24</v>
      </c>
      <c r="L106" s="1">
        <v>41072.747546296298</v>
      </c>
      <c r="N106" s="4" t="s">
        <v>88</v>
      </c>
      <c r="O106" t="s">
        <v>26</v>
      </c>
      <c r="P106" t="s">
        <v>27</v>
      </c>
      <c r="Q106" t="s">
        <v>70</v>
      </c>
    </row>
    <row r="107" spans="1:17" x14ac:dyDescent="0.55000000000000004">
      <c r="A107" t="s">
        <v>84</v>
      </c>
      <c r="B107" t="s">
        <v>85</v>
      </c>
      <c r="C107" s="1">
        <v>41067.783159722225</v>
      </c>
      <c r="D107" t="s">
        <v>86</v>
      </c>
      <c r="E107" t="s">
        <v>20</v>
      </c>
      <c r="F107" t="s">
        <v>87</v>
      </c>
      <c r="G107" s="2">
        <v>2438</v>
      </c>
      <c r="H107" s="3">
        <v>1567354</v>
      </c>
      <c r="I107" t="s">
        <v>34</v>
      </c>
      <c r="J107" t="s">
        <v>44</v>
      </c>
      <c r="K107" t="s">
        <v>24</v>
      </c>
      <c r="L107" s="1">
        <v>41068.811168981483</v>
      </c>
      <c r="N107" s="4" t="s">
        <v>88</v>
      </c>
      <c r="O107" t="s">
        <v>26</v>
      </c>
      <c r="P107" t="s">
        <v>27</v>
      </c>
      <c r="Q107" t="s">
        <v>70</v>
      </c>
    </row>
    <row r="108" spans="1:17" x14ac:dyDescent="0.55000000000000004">
      <c r="A108" t="s">
        <v>84</v>
      </c>
      <c r="B108" t="s">
        <v>85</v>
      </c>
      <c r="C108" s="1">
        <v>41067.783159722225</v>
      </c>
      <c r="D108" t="s">
        <v>86</v>
      </c>
      <c r="E108" t="s">
        <v>20</v>
      </c>
      <c r="F108" t="s">
        <v>87</v>
      </c>
      <c r="G108" s="2">
        <v>2438</v>
      </c>
      <c r="H108" s="3">
        <v>1567354</v>
      </c>
      <c r="I108" t="s">
        <v>34</v>
      </c>
      <c r="J108" t="s">
        <v>38</v>
      </c>
      <c r="K108" t="s">
        <v>24</v>
      </c>
      <c r="L108" s="1">
        <v>41067.883738425924</v>
      </c>
      <c r="N108" s="4" t="s">
        <v>88</v>
      </c>
      <c r="O108" t="s">
        <v>26</v>
      </c>
      <c r="P108" t="s">
        <v>27</v>
      </c>
      <c r="Q108" t="s">
        <v>70</v>
      </c>
    </row>
    <row r="109" spans="1:17" x14ac:dyDescent="0.55000000000000004">
      <c r="A109" t="s">
        <v>84</v>
      </c>
      <c r="B109" t="s">
        <v>85</v>
      </c>
      <c r="C109" s="1">
        <v>41067.783159722225</v>
      </c>
      <c r="D109" t="s">
        <v>86</v>
      </c>
      <c r="E109" t="s">
        <v>20</v>
      </c>
      <c r="F109" t="s">
        <v>87</v>
      </c>
      <c r="G109" s="2">
        <v>2438</v>
      </c>
      <c r="H109" s="3">
        <v>1567354</v>
      </c>
      <c r="I109" t="s">
        <v>34</v>
      </c>
      <c r="J109" t="s">
        <v>42</v>
      </c>
      <c r="K109" t="s">
        <v>24</v>
      </c>
      <c r="L109" s="1">
        <v>41067.855034722219</v>
      </c>
      <c r="N109" s="4" t="s">
        <v>88</v>
      </c>
      <c r="O109" t="s">
        <v>26</v>
      </c>
      <c r="P109" t="s">
        <v>27</v>
      </c>
      <c r="Q109" t="s">
        <v>70</v>
      </c>
    </row>
    <row r="110" spans="1:17" x14ac:dyDescent="0.55000000000000004">
      <c r="A110" t="s">
        <v>84</v>
      </c>
      <c r="B110" t="s">
        <v>85</v>
      </c>
      <c r="C110" s="1">
        <v>41067.783159722225</v>
      </c>
      <c r="D110" t="s">
        <v>86</v>
      </c>
      <c r="E110" t="s">
        <v>20</v>
      </c>
      <c r="F110" t="s">
        <v>87</v>
      </c>
      <c r="G110" s="2">
        <v>2438</v>
      </c>
      <c r="H110" s="3">
        <v>1567354</v>
      </c>
      <c r="I110" t="s">
        <v>34</v>
      </c>
      <c r="J110" t="s">
        <v>41</v>
      </c>
      <c r="K110" t="s">
        <v>24</v>
      </c>
      <c r="L110" s="1">
        <v>41067.802824074075</v>
      </c>
      <c r="N110" s="4" t="s">
        <v>88</v>
      </c>
      <c r="O110" t="s">
        <v>26</v>
      </c>
      <c r="P110" t="s">
        <v>27</v>
      </c>
      <c r="Q110" t="s">
        <v>70</v>
      </c>
    </row>
    <row r="111" spans="1:17" x14ac:dyDescent="0.55000000000000004">
      <c r="A111" t="s">
        <v>84</v>
      </c>
      <c r="B111" t="s">
        <v>85</v>
      </c>
      <c r="C111" s="1">
        <v>41067.783159722225</v>
      </c>
      <c r="D111" t="s">
        <v>86</v>
      </c>
      <c r="E111" t="s">
        <v>20</v>
      </c>
      <c r="F111" t="s">
        <v>87</v>
      </c>
      <c r="G111" s="2">
        <v>2438</v>
      </c>
      <c r="H111" s="3">
        <v>1567354</v>
      </c>
      <c r="I111" t="s">
        <v>34</v>
      </c>
      <c r="J111" t="s">
        <v>46</v>
      </c>
      <c r="K111" t="s">
        <v>53</v>
      </c>
      <c r="N111" s="4" t="s">
        <v>88</v>
      </c>
      <c r="O111" t="s">
        <v>26</v>
      </c>
      <c r="P111" t="s">
        <v>27</v>
      </c>
      <c r="Q111" t="s">
        <v>70</v>
      </c>
    </row>
    <row r="112" spans="1:17" x14ac:dyDescent="0.55000000000000004">
      <c r="A112" t="s">
        <v>84</v>
      </c>
      <c r="B112" t="s">
        <v>85</v>
      </c>
      <c r="C112" s="1">
        <v>41067.783159722225</v>
      </c>
      <c r="D112" t="s">
        <v>86</v>
      </c>
      <c r="E112" t="s">
        <v>20</v>
      </c>
      <c r="F112" t="s">
        <v>87</v>
      </c>
      <c r="G112" s="2">
        <v>2438</v>
      </c>
      <c r="H112" s="3">
        <v>1567354</v>
      </c>
      <c r="I112" t="s">
        <v>34</v>
      </c>
      <c r="J112" t="s">
        <v>39</v>
      </c>
      <c r="K112" t="s">
        <v>24</v>
      </c>
      <c r="L112" s="1">
        <v>41067.813796296294</v>
      </c>
      <c r="N112" s="4" t="s">
        <v>88</v>
      </c>
      <c r="O112" t="s">
        <v>26</v>
      </c>
      <c r="P112" t="s">
        <v>27</v>
      </c>
      <c r="Q112" t="s">
        <v>70</v>
      </c>
    </row>
    <row r="113" spans="1:17" x14ac:dyDescent="0.55000000000000004">
      <c r="A113" t="s">
        <v>84</v>
      </c>
      <c r="B113" t="s">
        <v>85</v>
      </c>
      <c r="C113" s="1">
        <v>41067.783159722225</v>
      </c>
      <c r="D113" t="s">
        <v>86</v>
      </c>
      <c r="E113" t="s">
        <v>20</v>
      </c>
      <c r="F113" t="s">
        <v>87</v>
      </c>
      <c r="G113" s="2">
        <v>2438</v>
      </c>
      <c r="H113" s="3">
        <v>1567354</v>
      </c>
      <c r="I113" t="s">
        <v>34</v>
      </c>
      <c r="J113" t="s">
        <v>35</v>
      </c>
      <c r="K113" t="s">
        <v>24</v>
      </c>
      <c r="L113" s="1">
        <v>41067.818182870367</v>
      </c>
      <c r="N113" s="4" t="s">
        <v>88</v>
      </c>
      <c r="O113" t="s">
        <v>26</v>
      </c>
      <c r="P113" t="s">
        <v>27</v>
      </c>
      <c r="Q113" t="s">
        <v>70</v>
      </c>
    </row>
    <row r="114" spans="1:17" x14ac:dyDescent="0.55000000000000004">
      <c r="A114" t="s">
        <v>84</v>
      </c>
      <c r="B114" t="s">
        <v>85</v>
      </c>
      <c r="C114" s="1">
        <v>41067.783159722225</v>
      </c>
      <c r="D114" t="s">
        <v>86</v>
      </c>
      <c r="E114" t="s">
        <v>20</v>
      </c>
      <c r="F114" t="s">
        <v>87</v>
      </c>
      <c r="G114" s="2">
        <v>2438</v>
      </c>
      <c r="H114" s="3">
        <v>1567354</v>
      </c>
      <c r="I114" t="s">
        <v>34</v>
      </c>
      <c r="J114" t="s">
        <v>37</v>
      </c>
      <c r="K114" t="s">
        <v>53</v>
      </c>
      <c r="N114" s="4" t="s">
        <v>88</v>
      </c>
      <c r="O114" t="s">
        <v>26</v>
      </c>
      <c r="P114" t="s">
        <v>27</v>
      </c>
      <c r="Q114" t="s">
        <v>70</v>
      </c>
    </row>
    <row r="115" spans="1:17" x14ac:dyDescent="0.55000000000000004">
      <c r="A115" t="s">
        <v>84</v>
      </c>
      <c r="B115" t="s">
        <v>85</v>
      </c>
      <c r="C115" s="1">
        <v>41067.783159722225</v>
      </c>
      <c r="D115" t="s">
        <v>86</v>
      </c>
      <c r="E115" t="s">
        <v>20</v>
      </c>
      <c r="F115" t="s">
        <v>87</v>
      </c>
      <c r="G115" s="2">
        <v>2438</v>
      </c>
      <c r="H115" s="3">
        <v>1567354</v>
      </c>
      <c r="I115" t="s">
        <v>34</v>
      </c>
      <c r="J115" t="s">
        <v>45</v>
      </c>
      <c r="K115" t="s">
        <v>24</v>
      </c>
      <c r="L115" s="1">
        <v>41067.786574074074</v>
      </c>
      <c r="N115" s="4" t="s">
        <v>88</v>
      </c>
      <c r="O115" t="s">
        <v>26</v>
      </c>
      <c r="P115" t="s">
        <v>27</v>
      </c>
      <c r="Q115" t="s">
        <v>70</v>
      </c>
    </row>
    <row r="116" spans="1:17" x14ac:dyDescent="0.55000000000000004">
      <c r="A116" t="s">
        <v>84</v>
      </c>
      <c r="B116" t="s">
        <v>85</v>
      </c>
      <c r="C116" s="1">
        <v>41067.783159722225</v>
      </c>
      <c r="D116" t="s">
        <v>86</v>
      </c>
      <c r="E116" t="s">
        <v>20</v>
      </c>
      <c r="F116" t="s">
        <v>87</v>
      </c>
      <c r="G116" s="2">
        <v>2438</v>
      </c>
      <c r="H116" s="3">
        <v>1567354</v>
      </c>
      <c r="I116" t="s">
        <v>34</v>
      </c>
      <c r="J116" t="s">
        <v>81</v>
      </c>
      <c r="K116" t="s">
        <v>24</v>
      </c>
      <c r="L116" s="1">
        <v>41067.784375000003</v>
      </c>
      <c r="N116" s="4" t="s">
        <v>88</v>
      </c>
      <c r="O116" t="s">
        <v>26</v>
      </c>
      <c r="P116" t="s">
        <v>27</v>
      </c>
      <c r="Q116" t="s">
        <v>70</v>
      </c>
    </row>
    <row r="117" spans="1:17" x14ac:dyDescent="0.55000000000000004">
      <c r="A117" t="s">
        <v>84</v>
      </c>
      <c r="B117" t="s">
        <v>85</v>
      </c>
      <c r="C117" s="1">
        <v>41067.783159722225</v>
      </c>
      <c r="D117" t="s">
        <v>86</v>
      </c>
      <c r="E117" t="s">
        <v>20</v>
      </c>
      <c r="F117" t="s">
        <v>87</v>
      </c>
      <c r="G117" s="2">
        <v>2438</v>
      </c>
      <c r="H117" s="3">
        <v>1567354</v>
      </c>
      <c r="I117" t="s">
        <v>34</v>
      </c>
      <c r="J117" t="s">
        <v>36</v>
      </c>
      <c r="K117" t="s">
        <v>24</v>
      </c>
      <c r="L117" s="1">
        <v>41067.790393518517</v>
      </c>
      <c r="N117" s="4" t="s">
        <v>88</v>
      </c>
      <c r="O117" t="s">
        <v>26</v>
      </c>
      <c r="P117" t="s">
        <v>27</v>
      </c>
      <c r="Q117" t="s">
        <v>70</v>
      </c>
    </row>
    <row r="118" spans="1:17" x14ac:dyDescent="0.55000000000000004">
      <c r="A118" t="s">
        <v>89</v>
      </c>
      <c r="B118" t="s">
        <v>85</v>
      </c>
      <c r="C118" s="1">
        <v>41071.003437500003</v>
      </c>
      <c r="D118" t="s">
        <v>90</v>
      </c>
      <c r="E118" t="s">
        <v>20</v>
      </c>
      <c r="F118" t="s">
        <v>91</v>
      </c>
      <c r="G118">
        <v>0</v>
      </c>
      <c r="H118" s="3">
        <v>3726923</v>
      </c>
      <c r="I118" t="s">
        <v>29</v>
      </c>
      <c r="J118" t="s">
        <v>30</v>
      </c>
      <c r="K118" t="s">
        <v>24</v>
      </c>
      <c r="L118" s="1">
        <v>41071.003194444442</v>
      </c>
      <c r="N118" t="s">
        <v>92</v>
      </c>
      <c r="O118" t="s">
        <v>26</v>
      </c>
      <c r="P118" t="s">
        <v>27</v>
      </c>
      <c r="Q118" t="s">
        <v>70</v>
      </c>
    </row>
    <row r="119" spans="1:17" x14ac:dyDescent="0.55000000000000004">
      <c r="A119" t="s">
        <v>89</v>
      </c>
      <c r="B119" t="s">
        <v>85</v>
      </c>
      <c r="C119" s="1">
        <v>41071.003437500003</v>
      </c>
      <c r="D119" t="s">
        <v>90</v>
      </c>
      <c r="E119" t="s">
        <v>20</v>
      </c>
      <c r="F119" t="s">
        <v>91</v>
      </c>
      <c r="G119">
        <v>0</v>
      </c>
      <c r="H119" s="3">
        <v>3726923</v>
      </c>
      <c r="I119" t="s">
        <v>31</v>
      </c>
      <c r="J119" t="s">
        <v>23</v>
      </c>
      <c r="K119" t="s">
        <v>24</v>
      </c>
      <c r="L119" s="1">
        <v>41071.003379629627</v>
      </c>
      <c r="N119" t="s">
        <v>92</v>
      </c>
      <c r="O119" t="s">
        <v>26</v>
      </c>
      <c r="P119" t="s">
        <v>27</v>
      </c>
      <c r="Q119" t="s">
        <v>70</v>
      </c>
    </row>
    <row r="120" spans="1:17" x14ac:dyDescent="0.55000000000000004">
      <c r="A120" t="s">
        <v>89</v>
      </c>
      <c r="B120" t="s">
        <v>85</v>
      </c>
      <c r="C120" s="1">
        <v>41071.003437500003</v>
      </c>
      <c r="D120" t="s">
        <v>90</v>
      </c>
      <c r="E120" t="s">
        <v>20</v>
      </c>
      <c r="F120" t="s">
        <v>91</v>
      </c>
      <c r="G120">
        <v>0</v>
      </c>
      <c r="H120" s="3">
        <v>3726923</v>
      </c>
      <c r="I120" t="s">
        <v>32</v>
      </c>
      <c r="J120" t="s">
        <v>23</v>
      </c>
      <c r="K120" t="s">
        <v>24</v>
      </c>
      <c r="L120" s="1">
        <v>41071.003437500003</v>
      </c>
      <c r="N120" t="s">
        <v>92</v>
      </c>
      <c r="O120" t="s">
        <v>26</v>
      </c>
      <c r="P120" t="s">
        <v>27</v>
      </c>
      <c r="Q120" t="s">
        <v>70</v>
      </c>
    </row>
    <row r="121" spans="1:17" x14ac:dyDescent="0.55000000000000004">
      <c r="A121" t="s">
        <v>89</v>
      </c>
      <c r="B121" t="s">
        <v>85</v>
      </c>
      <c r="C121" s="1">
        <v>41071.003437500003</v>
      </c>
      <c r="D121" t="s">
        <v>90</v>
      </c>
      <c r="E121" t="s">
        <v>20</v>
      </c>
      <c r="F121" t="s">
        <v>91</v>
      </c>
      <c r="G121">
        <v>0</v>
      </c>
      <c r="H121" s="3">
        <v>3726923</v>
      </c>
      <c r="I121" t="s">
        <v>22</v>
      </c>
      <c r="J121" t="s">
        <v>23</v>
      </c>
      <c r="K121" t="s">
        <v>24</v>
      </c>
      <c r="L121" s="1">
        <v>41071.002233796295</v>
      </c>
      <c r="N121" t="s">
        <v>92</v>
      </c>
      <c r="O121" t="s">
        <v>26</v>
      </c>
      <c r="P121" t="s">
        <v>27</v>
      </c>
      <c r="Q121" t="s">
        <v>70</v>
      </c>
    </row>
    <row r="122" spans="1:17" x14ac:dyDescent="0.55000000000000004">
      <c r="A122" t="s">
        <v>89</v>
      </c>
      <c r="B122" t="s">
        <v>85</v>
      </c>
      <c r="C122" s="1">
        <v>41071.003437500003</v>
      </c>
      <c r="D122" t="s">
        <v>90</v>
      </c>
      <c r="E122" t="s">
        <v>20</v>
      </c>
      <c r="F122" t="s">
        <v>91</v>
      </c>
      <c r="G122">
        <v>0</v>
      </c>
      <c r="H122" s="3">
        <v>3726923</v>
      </c>
      <c r="I122" t="s">
        <v>28</v>
      </c>
      <c r="J122" t="s">
        <v>23</v>
      </c>
      <c r="K122" t="s">
        <v>24</v>
      </c>
      <c r="L122" s="1">
        <v>41071.003182870372</v>
      </c>
      <c r="N122" t="s">
        <v>92</v>
      </c>
      <c r="O122" t="s">
        <v>26</v>
      </c>
      <c r="P122" t="s">
        <v>27</v>
      </c>
      <c r="Q122" t="s">
        <v>70</v>
      </c>
    </row>
    <row r="123" spans="1:17" x14ac:dyDescent="0.55000000000000004">
      <c r="A123" t="s">
        <v>89</v>
      </c>
      <c r="B123" t="s">
        <v>85</v>
      </c>
      <c r="C123" s="1">
        <v>41071.003437500003</v>
      </c>
      <c r="D123" t="s">
        <v>90</v>
      </c>
      <c r="E123" t="s">
        <v>20</v>
      </c>
      <c r="F123" t="s">
        <v>91</v>
      </c>
      <c r="G123">
        <v>0</v>
      </c>
      <c r="H123" s="3">
        <v>3726923</v>
      </c>
      <c r="I123" t="s">
        <v>33</v>
      </c>
      <c r="J123" t="s">
        <v>30</v>
      </c>
      <c r="K123" t="s">
        <v>24</v>
      </c>
      <c r="L123" s="1">
        <v>41071.003437500003</v>
      </c>
      <c r="N123" t="s">
        <v>92</v>
      </c>
      <c r="O123" t="s">
        <v>26</v>
      </c>
      <c r="P123" t="s">
        <v>27</v>
      </c>
      <c r="Q123" t="s">
        <v>70</v>
      </c>
    </row>
    <row r="124" spans="1:17" x14ac:dyDescent="0.55000000000000004">
      <c r="A124" t="s">
        <v>89</v>
      </c>
      <c r="B124" t="s">
        <v>85</v>
      </c>
      <c r="C124" s="1">
        <v>41071.003437500003</v>
      </c>
      <c r="D124" t="s">
        <v>90</v>
      </c>
      <c r="E124" t="s">
        <v>20</v>
      </c>
      <c r="F124" t="s">
        <v>91</v>
      </c>
      <c r="G124">
        <v>0</v>
      </c>
      <c r="H124" s="3">
        <v>3726923</v>
      </c>
      <c r="I124" t="s">
        <v>34</v>
      </c>
      <c r="J124" t="s">
        <v>82</v>
      </c>
      <c r="K124" t="s">
        <v>24</v>
      </c>
      <c r="L124" s="1">
        <v>41071.564560185187</v>
      </c>
      <c r="N124" t="s">
        <v>92</v>
      </c>
      <c r="O124" t="s">
        <v>26</v>
      </c>
      <c r="P124" t="s">
        <v>27</v>
      </c>
      <c r="Q124" t="s">
        <v>70</v>
      </c>
    </row>
    <row r="125" spans="1:17" x14ac:dyDescent="0.55000000000000004">
      <c r="A125" t="s">
        <v>89</v>
      </c>
      <c r="B125" t="s">
        <v>85</v>
      </c>
      <c r="C125" s="1">
        <v>41071.003437500003</v>
      </c>
      <c r="D125" t="s">
        <v>90</v>
      </c>
      <c r="E125" t="s">
        <v>20</v>
      </c>
      <c r="F125" t="s">
        <v>91</v>
      </c>
      <c r="G125">
        <v>0</v>
      </c>
      <c r="H125" s="3">
        <v>3726923</v>
      </c>
      <c r="I125" t="s">
        <v>34</v>
      </c>
      <c r="J125" t="s">
        <v>43</v>
      </c>
      <c r="K125" t="s">
        <v>24</v>
      </c>
      <c r="L125" s="1">
        <v>41072.639988425923</v>
      </c>
      <c r="N125" t="s">
        <v>92</v>
      </c>
      <c r="O125" t="s">
        <v>26</v>
      </c>
      <c r="P125" t="s">
        <v>27</v>
      </c>
      <c r="Q125" t="s">
        <v>70</v>
      </c>
    </row>
    <row r="126" spans="1:17" x14ac:dyDescent="0.55000000000000004">
      <c r="A126" t="s">
        <v>89</v>
      </c>
      <c r="B126" t="s">
        <v>85</v>
      </c>
      <c r="C126" s="1">
        <v>41071.003437500003</v>
      </c>
      <c r="D126" t="s">
        <v>90</v>
      </c>
      <c r="E126" t="s">
        <v>20</v>
      </c>
      <c r="F126" t="s">
        <v>91</v>
      </c>
      <c r="G126">
        <v>0</v>
      </c>
      <c r="H126" s="3">
        <v>3726923</v>
      </c>
      <c r="I126" t="s">
        <v>34</v>
      </c>
      <c r="J126" t="s">
        <v>42</v>
      </c>
      <c r="K126" t="s">
        <v>24</v>
      </c>
      <c r="L126" s="1">
        <v>41072.628738425927</v>
      </c>
      <c r="N126" t="s">
        <v>92</v>
      </c>
      <c r="O126" t="s">
        <v>26</v>
      </c>
      <c r="P126" t="s">
        <v>27</v>
      </c>
      <c r="Q126" t="s">
        <v>70</v>
      </c>
    </row>
    <row r="127" spans="1:17" x14ac:dyDescent="0.55000000000000004">
      <c r="A127" t="s">
        <v>89</v>
      </c>
      <c r="B127" t="s">
        <v>85</v>
      </c>
      <c r="C127" s="1">
        <v>41071.003437500003</v>
      </c>
      <c r="D127" t="s">
        <v>90</v>
      </c>
      <c r="E127" t="s">
        <v>20</v>
      </c>
      <c r="F127" t="s">
        <v>91</v>
      </c>
      <c r="G127">
        <v>0</v>
      </c>
      <c r="H127" s="3">
        <v>3726923</v>
      </c>
      <c r="I127" t="s">
        <v>34</v>
      </c>
      <c r="J127" t="s">
        <v>38</v>
      </c>
      <c r="K127" t="s">
        <v>24</v>
      </c>
      <c r="L127" s="1">
        <v>41072.641226851854</v>
      </c>
      <c r="N127" t="s">
        <v>92</v>
      </c>
      <c r="O127" t="s">
        <v>26</v>
      </c>
      <c r="P127" t="s">
        <v>27</v>
      </c>
      <c r="Q127" t="s">
        <v>70</v>
      </c>
    </row>
    <row r="128" spans="1:17" x14ac:dyDescent="0.55000000000000004">
      <c r="A128" t="s">
        <v>89</v>
      </c>
      <c r="B128" t="s">
        <v>85</v>
      </c>
      <c r="C128" s="1">
        <v>41071.003437500003</v>
      </c>
      <c r="D128" t="s">
        <v>90</v>
      </c>
      <c r="E128" t="s">
        <v>20</v>
      </c>
      <c r="F128" t="s">
        <v>91</v>
      </c>
      <c r="G128">
        <v>0</v>
      </c>
      <c r="H128" s="3">
        <v>3726923</v>
      </c>
      <c r="I128" t="s">
        <v>34</v>
      </c>
      <c r="J128" t="s">
        <v>35</v>
      </c>
      <c r="K128" t="s">
        <v>24</v>
      </c>
      <c r="L128" s="1">
        <v>41072.226030092592</v>
      </c>
      <c r="N128" t="s">
        <v>92</v>
      </c>
      <c r="O128" t="s">
        <v>26</v>
      </c>
      <c r="P128" t="s">
        <v>27</v>
      </c>
      <c r="Q128" t="s">
        <v>70</v>
      </c>
    </row>
    <row r="129" spans="1:17" x14ac:dyDescent="0.55000000000000004">
      <c r="A129" t="s">
        <v>89</v>
      </c>
      <c r="B129" t="s">
        <v>85</v>
      </c>
      <c r="C129" s="1">
        <v>41071.003437500003</v>
      </c>
      <c r="D129" t="s">
        <v>90</v>
      </c>
      <c r="E129" t="s">
        <v>20</v>
      </c>
      <c r="F129" t="s">
        <v>91</v>
      </c>
      <c r="G129">
        <v>0</v>
      </c>
      <c r="H129" s="3">
        <v>3726923</v>
      </c>
      <c r="I129" t="s">
        <v>34</v>
      </c>
      <c r="J129" t="s">
        <v>80</v>
      </c>
      <c r="K129" t="s">
        <v>24</v>
      </c>
      <c r="L129" s="1">
        <v>41071.498113425929</v>
      </c>
      <c r="N129" t="s">
        <v>92</v>
      </c>
      <c r="O129" t="s">
        <v>26</v>
      </c>
      <c r="P129" t="s">
        <v>27</v>
      </c>
      <c r="Q129" t="s">
        <v>70</v>
      </c>
    </row>
    <row r="130" spans="1:17" x14ac:dyDescent="0.55000000000000004">
      <c r="A130" t="s">
        <v>89</v>
      </c>
      <c r="B130" t="s">
        <v>85</v>
      </c>
      <c r="C130" s="1">
        <v>41071.003437500003</v>
      </c>
      <c r="D130" t="s">
        <v>90</v>
      </c>
      <c r="E130" t="s">
        <v>20</v>
      </c>
      <c r="F130" t="s">
        <v>91</v>
      </c>
      <c r="G130">
        <v>0</v>
      </c>
      <c r="H130" s="3">
        <v>3726923</v>
      </c>
      <c r="I130" t="s">
        <v>34</v>
      </c>
      <c r="J130" t="s">
        <v>36</v>
      </c>
      <c r="K130" t="s">
        <v>24</v>
      </c>
      <c r="L130" s="1">
        <v>41071.592291666668</v>
      </c>
      <c r="N130" t="s">
        <v>92</v>
      </c>
      <c r="O130" t="s">
        <v>26</v>
      </c>
      <c r="P130" t="s">
        <v>27</v>
      </c>
      <c r="Q130" t="s">
        <v>70</v>
      </c>
    </row>
    <row r="131" spans="1:17" x14ac:dyDescent="0.55000000000000004">
      <c r="A131" t="s">
        <v>89</v>
      </c>
      <c r="B131" t="s">
        <v>85</v>
      </c>
      <c r="C131" s="1">
        <v>41071.003437500003</v>
      </c>
      <c r="D131" t="s">
        <v>90</v>
      </c>
      <c r="E131" t="s">
        <v>20</v>
      </c>
      <c r="F131" t="s">
        <v>91</v>
      </c>
      <c r="G131">
        <v>0</v>
      </c>
      <c r="H131" s="3">
        <v>3726923</v>
      </c>
      <c r="I131" t="s">
        <v>34</v>
      </c>
      <c r="J131" t="s">
        <v>46</v>
      </c>
      <c r="K131" t="s">
        <v>53</v>
      </c>
      <c r="N131" t="s">
        <v>92</v>
      </c>
      <c r="O131" t="s">
        <v>26</v>
      </c>
      <c r="P131" t="s">
        <v>27</v>
      </c>
      <c r="Q131" t="s">
        <v>70</v>
      </c>
    </row>
    <row r="132" spans="1:17" x14ac:dyDescent="0.55000000000000004">
      <c r="A132" t="s">
        <v>89</v>
      </c>
      <c r="B132" t="s">
        <v>85</v>
      </c>
      <c r="C132" s="1">
        <v>41071.003437500003</v>
      </c>
      <c r="D132" t="s">
        <v>90</v>
      </c>
      <c r="E132" t="s">
        <v>20</v>
      </c>
      <c r="F132" t="s">
        <v>91</v>
      </c>
      <c r="G132">
        <v>0</v>
      </c>
      <c r="H132" s="3">
        <v>3726923</v>
      </c>
      <c r="I132" t="s">
        <v>34</v>
      </c>
      <c r="J132" t="s">
        <v>39</v>
      </c>
      <c r="K132" t="s">
        <v>24</v>
      </c>
      <c r="L132" s="1">
        <v>41071.550752314812</v>
      </c>
      <c r="N132" t="s">
        <v>92</v>
      </c>
      <c r="O132" t="s">
        <v>26</v>
      </c>
      <c r="P132" t="s">
        <v>27</v>
      </c>
      <c r="Q132" t="s">
        <v>70</v>
      </c>
    </row>
    <row r="133" spans="1:17" x14ac:dyDescent="0.55000000000000004">
      <c r="A133" t="s">
        <v>89</v>
      </c>
      <c r="B133" t="s">
        <v>85</v>
      </c>
      <c r="C133" s="1">
        <v>41071.003437500003</v>
      </c>
      <c r="D133" t="s">
        <v>90</v>
      </c>
      <c r="E133" t="s">
        <v>20</v>
      </c>
      <c r="F133" t="s">
        <v>91</v>
      </c>
      <c r="G133">
        <v>0</v>
      </c>
      <c r="H133" s="3">
        <v>3726923</v>
      </c>
      <c r="I133" t="s">
        <v>34</v>
      </c>
      <c r="J133" t="s">
        <v>37</v>
      </c>
      <c r="K133" t="s">
        <v>53</v>
      </c>
      <c r="N133" t="s">
        <v>92</v>
      </c>
      <c r="O133" t="s">
        <v>26</v>
      </c>
      <c r="P133" t="s">
        <v>27</v>
      </c>
      <c r="Q133" t="s">
        <v>70</v>
      </c>
    </row>
    <row r="134" spans="1:17" x14ac:dyDescent="0.55000000000000004">
      <c r="A134" t="s">
        <v>89</v>
      </c>
      <c r="B134" t="s">
        <v>85</v>
      </c>
      <c r="C134" s="1">
        <v>41071.003437500003</v>
      </c>
      <c r="D134" t="s">
        <v>90</v>
      </c>
      <c r="E134" t="s">
        <v>20</v>
      </c>
      <c r="F134" t="s">
        <v>91</v>
      </c>
      <c r="G134">
        <v>0</v>
      </c>
      <c r="H134" s="3">
        <v>3726923</v>
      </c>
      <c r="I134" t="s">
        <v>34</v>
      </c>
      <c r="J134" t="s">
        <v>41</v>
      </c>
      <c r="K134" t="s">
        <v>24</v>
      </c>
      <c r="L134" s="1">
        <v>41071.564004629632</v>
      </c>
      <c r="N134" t="s">
        <v>92</v>
      </c>
      <c r="O134" t="s">
        <v>26</v>
      </c>
      <c r="P134" t="s">
        <v>27</v>
      </c>
      <c r="Q134" t="s">
        <v>70</v>
      </c>
    </row>
  </sheetData>
  <dataConsolid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72"/>
  <sheetViews>
    <sheetView topLeftCell="A40" workbookViewId="0">
      <selection activeCell="J72" sqref="J72"/>
    </sheetView>
  </sheetViews>
  <sheetFormatPr defaultRowHeight="14.4" x14ac:dyDescent="0.55000000000000004"/>
  <cols>
    <col min="1" max="1" width="9.15625" customWidth="1"/>
    <col min="2" max="2" width="25.68359375" bestFit="1" customWidth="1"/>
    <col min="3" max="3" width="14.41796875" style="5" customWidth="1"/>
    <col min="4" max="4" width="18.26171875" customWidth="1"/>
    <col min="5" max="5" width="9.15625" customWidth="1"/>
    <col min="6" max="6" width="47.83984375" bestFit="1" customWidth="1"/>
    <col min="7" max="7" width="12.68359375" style="6" customWidth="1"/>
    <col min="8" max="8" width="13.83984375" style="6" customWidth="1"/>
    <col min="9" max="9" width="17.68359375" bestFit="1" customWidth="1"/>
    <col min="10" max="10" width="16.83984375" customWidth="1"/>
    <col min="11" max="11" width="17.68359375" customWidth="1"/>
    <col min="12" max="12" width="15.578125" bestFit="1" customWidth="1"/>
    <col min="13" max="13" width="4" customWidth="1"/>
    <col min="14" max="14" width="255.68359375" bestFit="1" customWidth="1"/>
    <col min="15" max="15" width="20.26171875" bestFit="1" customWidth="1"/>
    <col min="16" max="16" width="21.68359375" bestFit="1" customWidth="1"/>
    <col min="17" max="17" width="22.41796875" bestFit="1" customWidth="1"/>
  </cols>
  <sheetData>
    <row r="1" spans="1:17" x14ac:dyDescent="0.55000000000000004">
      <c r="A1" t="s">
        <v>0</v>
      </c>
      <c r="B1" t="s">
        <v>1</v>
      </c>
      <c r="C1" t="s">
        <v>2</v>
      </c>
      <c r="D1" t="s">
        <v>3</v>
      </c>
      <c r="E1" t="s">
        <v>4</v>
      </c>
      <c r="F1" s="64" t="s">
        <v>5</v>
      </c>
      <c r="G1" t="s">
        <v>6</v>
      </c>
      <c r="H1" s="64" t="s">
        <v>7</v>
      </c>
      <c r="I1" s="64" t="s">
        <v>8</v>
      </c>
      <c r="J1" t="s">
        <v>9</v>
      </c>
      <c r="K1" t="s">
        <v>10</v>
      </c>
      <c r="L1" t="s">
        <v>11</v>
      </c>
      <c r="M1" t="s">
        <v>12</v>
      </c>
      <c r="N1" t="s">
        <v>13</v>
      </c>
      <c r="O1" t="s">
        <v>14</v>
      </c>
      <c r="P1" t="s">
        <v>15</v>
      </c>
      <c r="Q1" t="s">
        <v>16</v>
      </c>
    </row>
    <row r="2" spans="1:17" x14ac:dyDescent="0.55000000000000004">
      <c r="A2" t="s">
        <v>84</v>
      </c>
      <c r="B2" t="s">
        <v>85</v>
      </c>
      <c r="C2" s="1">
        <v>41067.783159722225</v>
      </c>
      <c r="D2" t="s">
        <v>86</v>
      </c>
      <c r="E2" t="s">
        <v>20</v>
      </c>
      <c r="F2" s="64" t="s">
        <v>87</v>
      </c>
      <c r="G2" s="2">
        <v>2438</v>
      </c>
      <c r="H2" s="65">
        <v>1567354</v>
      </c>
      <c r="I2" s="64" t="s">
        <v>34</v>
      </c>
      <c r="J2" t="s">
        <v>43</v>
      </c>
      <c r="K2" t="s">
        <v>24</v>
      </c>
      <c r="L2" s="1">
        <v>41072.747546296298</v>
      </c>
      <c r="N2" s="4" t="s">
        <v>88</v>
      </c>
      <c r="O2" t="s">
        <v>26</v>
      </c>
      <c r="P2" t="s">
        <v>27</v>
      </c>
      <c r="Q2" t="s">
        <v>70</v>
      </c>
    </row>
    <row r="3" spans="1:17" x14ac:dyDescent="0.55000000000000004">
      <c r="A3" t="s">
        <v>84</v>
      </c>
      <c r="B3" t="s">
        <v>85</v>
      </c>
      <c r="C3" s="1">
        <v>41067.783159722225</v>
      </c>
      <c r="D3" t="s">
        <v>86</v>
      </c>
      <c r="E3" t="s">
        <v>20</v>
      </c>
      <c r="F3" s="64" t="s">
        <v>87</v>
      </c>
      <c r="G3" s="2">
        <v>2438</v>
      </c>
      <c r="H3" s="65">
        <v>1567354</v>
      </c>
      <c r="I3" s="64" t="s">
        <v>34</v>
      </c>
      <c r="J3" t="s">
        <v>44</v>
      </c>
      <c r="K3" t="s">
        <v>24</v>
      </c>
      <c r="L3" s="1">
        <v>41068.811168981483</v>
      </c>
      <c r="N3" s="4" t="s">
        <v>88</v>
      </c>
      <c r="O3" t="s">
        <v>26</v>
      </c>
      <c r="P3" t="s">
        <v>27</v>
      </c>
      <c r="Q3" t="s">
        <v>70</v>
      </c>
    </row>
    <row r="4" spans="1:17" x14ac:dyDescent="0.55000000000000004">
      <c r="A4" t="s">
        <v>84</v>
      </c>
      <c r="B4" t="s">
        <v>85</v>
      </c>
      <c r="C4" s="1">
        <v>41067.783159722225</v>
      </c>
      <c r="D4" t="s">
        <v>86</v>
      </c>
      <c r="E4" t="s">
        <v>20</v>
      </c>
      <c r="F4" s="64" t="s">
        <v>87</v>
      </c>
      <c r="G4" s="2">
        <v>2438</v>
      </c>
      <c r="H4" s="65">
        <v>1567354</v>
      </c>
      <c r="I4" s="64" t="s">
        <v>34</v>
      </c>
      <c r="J4" t="s">
        <v>38</v>
      </c>
      <c r="K4" t="s">
        <v>24</v>
      </c>
      <c r="L4" s="1">
        <v>41067.883738425924</v>
      </c>
      <c r="N4" s="4" t="s">
        <v>88</v>
      </c>
      <c r="O4" t="s">
        <v>26</v>
      </c>
      <c r="P4" t="s">
        <v>27</v>
      </c>
      <c r="Q4" t="s">
        <v>70</v>
      </c>
    </row>
    <row r="5" spans="1:17" x14ac:dyDescent="0.55000000000000004">
      <c r="A5" t="s">
        <v>84</v>
      </c>
      <c r="B5" t="s">
        <v>85</v>
      </c>
      <c r="C5" s="1">
        <v>41067.783159722225</v>
      </c>
      <c r="D5" t="s">
        <v>86</v>
      </c>
      <c r="E5" t="s">
        <v>20</v>
      </c>
      <c r="F5" s="64" t="s">
        <v>87</v>
      </c>
      <c r="G5" s="2">
        <v>2438</v>
      </c>
      <c r="H5" s="65">
        <v>1567354</v>
      </c>
      <c r="I5" s="64" t="s">
        <v>34</v>
      </c>
      <c r="J5" t="s">
        <v>42</v>
      </c>
      <c r="K5" t="s">
        <v>24</v>
      </c>
      <c r="L5" s="1">
        <v>41067.855034722219</v>
      </c>
      <c r="N5" s="4" t="s">
        <v>88</v>
      </c>
      <c r="O5" t="s">
        <v>26</v>
      </c>
      <c r="P5" t="s">
        <v>27</v>
      </c>
      <c r="Q5" t="s">
        <v>70</v>
      </c>
    </row>
    <row r="6" spans="1:17" x14ac:dyDescent="0.55000000000000004">
      <c r="A6" t="s">
        <v>84</v>
      </c>
      <c r="B6" t="s">
        <v>85</v>
      </c>
      <c r="C6" s="1">
        <v>41067.783159722225</v>
      </c>
      <c r="D6" t="s">
        <v>86</v>
      </c>
      <c r="E6" t="s">
        <v>20</v>
      </c>
      <c r="F6" s="64" t="s">
        <v>87</v>
      </c>
      <c r="G6" s="2">
        <v>2438</v>
      </c>
      <c r="H6" s="65">
        <v>1567354</v>
      </c>
      <c r="I6" s="64" t="s">
        <v>34</v>
      </c>
      <c r="J6" t="s">
        <v>41</v>
      </c>
      <c r="K6" t="s">
        <v>24</v>
      </c>
      <c r="L6" s="1">
        <v>41067.802824074075</v>
      </c>
      <c r="N6" s="4" t="s">
        <v>88</v>
      </c>
      <c r="O6" t="s">
        <v>26</v>
      </c>
      <c r="P6" t="s">
        <v>27</v>
      </c>
      <c r="Q6" t="s">
        <v>70</v>
      </c>
    </row>
    <row r="7" spans="1:17" x14ac:dyDescent="0.55000000000000004">
      <c r="A7" t="s">
        <v>84</v>
      </c>
      <c r="B7" t="s">
        <v>85</v>
      </c>
      <c r="C7" s="1">
        <v>41067.783159722225</v>
      </c>
      <c r="D7" t="s">
        <v>86</v>
      </c>
      <c r="E7" t="s">
        <v>20</v>
      </c>
      <c r="F7" s="64" t="s">
        <v>87</v>
      </c>
      <c r="G7" s="2">
        <v>2438</v>
      </c>
      <c r="H7" s="65">
        <v>1567354</v>
      </c>
      <c r="I7" s="64" t="s">
        <v>34</v>
      </c>
      <c r="J7" t="s">
        <v>39</v>
      </c>
      <c r="K7" t="s">
        <v>24</v>
      </c>
      <c r="L7" s="1">
        <v>41067.813796296294</v>
      </c>
      <c r="N7" s="4" t="s">
        <v>88</v>
      </c>
      <c r="O7" t="s">
        <v>26</v>
      </c>
      <c r="P7" t="s">
        <v>27</v>
      </c>
      <c r="Q7" t="s">
        <v>70</v>
      </c>
    </row>
    <row r="8" spans="1:17" x14ac:dyDescent="0.55000000000000004">
      <c r="A8" t="s">
        <v>84</v>
      </c>
      <c r="B8" t="s">
        <v>85</v>
      </c>
      <c r="C8" s="1">
        <v>41067.783159722225</v>
      </c>
      <c r="D8" t="s">
        <v>86</v>
      </c>
      <c r="E8" t="s">
        <v>20</v>
      </c>
      <c r="F8" s="64" t="s">
        <v>87</v>
      </c>
      <c r="G8" s="2">
        <v>2438</v>
      </c>
      <c r="H8" s="65">
        <v>1567354</v>
      </c>
      <c r="I8" s="64" t="s">
        <v>34</v>
      </c>
      <c r="J8" t="s">
        <v>35</v>
      </c>
      <c r="K8" t="s">
        <v>24</v>
      </c>
      <c r="L8" s="1">
        <v>41067.818182870367</v>
      </c>
      <c r="N8" s="4" t="s">
        <v>88</v>
      </c>
      <c r="O8" t="s">
        <v>26</v>
      </c>
      <c r="P8" t="s">
        <v>27</v>
      </c>
      <c r="Q8" t="s">
        <v>70</v>
      </c>
    </row>
    <row r="9" spans="1:17" x14ac:dyDescent="0.55000000000000004">
      <c r="A9" t="s">
        <v>84</v>
      </c>
      <c r="B9" t="s">
        <v>85</v>
      </c>
      <c r="C9" s="1">
        <v>41067.783159722225</v>
      </c>
      <c r="D9" t="s">
        <v>86</v>
      </c>
      <c r="E9" t="s">
        <v>20</v>
      </c>
      <c r="F9" s="64" t="s">
        <v>87</v>
      </c>
      <c r="G9" s="2">
        <v>2438</v>
      </c>
      <c r="H9" s="65">
        <v>1567354</v>
      </c>
      <c r="I9" s="64" t="s">
        <v>34</v>
      </c>
      <c r="J9" t="s">
        <v>45</v>
      </c>
      <c r="K9" t="s">
        <v>24</v>
      </c>
      <c r="L9" s="1">
        <v>41067.786574074074</v>
      </c>
      <c r="N9" s="4" t="s">
        <v>88</v>
      </c>
      <c r="O9" t="s">
        <v>26</v>
      </c>
      <c r="P9" t="s">
        <v>27</v>
      </c>
      <c r="Q9" t="s">
        <v>70</v>
      </c>
    </row>
    <row r="10" spans="1:17" x14ac:dyDescent="0.55000000000000004">
      <c r="A10" t="s">
        <v>84</v>
      </c>
      <c r="B10" t="s">
        <v>85</v>
      </c>
      <c r="C10" s="1">
        <v>41067.783159722225</v>
      </c>
      <c r="D10" t="s">
        <v>86</v>
      </c>
      <c r="E10" t="s">
        <v>20</v>
      </c>
      <c r="F10" s="64" t="s">
        <v>87</v>
      </c>
      <c r="G10" s="2">
        <v>2438</v>
      </c>
      <c r="H10" s="65">
        <v>1567354</v>
      </c>
      <c r="I10" s="64" t="s">
        <v>34</v>
      </c>
      <c r="J10" t="s">
        <v>81</v>
      </c>
      <c r="K10" t="s">
        <v>24</v>
      </c>
      <c r="L10" s="1">
        <v>41067.784375000003</v>
      </c>
      <c r="N10" s="4" t="s">
        <v>88</v>
      </c>
      <c r="O10" t="s">
        <v>26</v>
      </c>
      <c r="P10" t="s">
        <v>27</v>
      </c>
      <c r="Q10" t="s">
        <v>70</v>
      </c>
    </row>
    <row r="11" spans="1:17" x14ac:dyDescent="0.55000000000000004">
      <c r="A11" t="s">
        <v>84</v>
      </c>
      <c r="B11" t="s">
        <v>85</v>
      </c>
      <c r="C11" s="1">
        <v>41067.783159722225</v>
      </c>
      <c r="D11" t="s">
        <v>86</v>
      </c>
      <c r="E11" t="s">
        <v>20</v>
      </c>
      <c r="F11" s="64" t="s">
        <v>87</v>
      </c>
      <c r="G11" s="2">
        <v>2438</v>
      </c>
      <c r="H11" s="65">
        <v>1567354</v>
      </c>
      <c r="I11" s="64" t="s">
        <v>34</v>
      </c>
      <c r="J11" t="s">
        <v>36</v>
      </c>
      <c r="K11" t="s">
        <v>24</v>
      </c>
      <c r="L11" s="1">
        <v>41067.790393518517</v>
      </c>
      <c r="N11" s="4" t="s">
        <v>88</v>
      </c>
      <c r="O11" t="s">
        <v>26</v>
      </c>
      <c r="P11" t="s">
        <v>27</v>
      </c>
      <c r="Q11" t="s">
        <v>70</v>
      </c>
    </row>
    <row r="12" spans="1:17" x14ac:dyDescent="0.55000000000000004">
      <c r="A12" t="s">
        <v>84</v>
      </c>
      <c r="B12" t="s">
        <v>85</v>
      </c>
      <c r="C12" s="1">
        <v>41067.783159722225</v>
      </c>
      <c r="D12" t="s">
        <v>86</v>
      </c>
      <c r="E12" t="s">
        <v>20</v>
      </c>
      <c r="F12" s="64" t="s">
        <v>87</v>
      </c>
      <c r="G12" s="2">
        <v>2438</v>
      </c>
      <c r="H12" s="65">
        <v>1567354</v>
      </c>
      <c r="I12" s="64" t="s">
        <v>34</v>
      </c>
      <c r="J12" t="s">
        <v>46</v>
      </c>
      <c r="K12" t="s">
        <v>53</v>
      </c>
      <c r="N12" s="4" t="s">
        <v>88</v>
      </c>
      <c r="O12" t="s">
        <v>26</v>
      </c>
      <c r="P12" t="s">
        <v>27</v>
      </c>
      <c r="Q12" t="s">
        <v>70</v>
      </c>
    </row>
    <row r="13" spans="1:17" x14ac:dyDescent="0.55000000000000004">
      <c r="A13" t="s">
        <v>84</v>
      </c>
      <c r="B13" t="s">
        <v>85</v>
      </c>
      <c r="C13" s="1">
        <v>41067.783159722225</v>
      </c>
      <c r="D13" t="s">
        <v>86</v>
      </c>
      <c r="E13" t="s">
        <v>20</v>
      </c>
      <c r="F13" s="64" t="s">
        <v>87</v>
      </c>
      <c r="G13" s="2">
        <v>2438</v>
      </c>
      <c r="H13" s="65">
        <v>1567354</v>
      </c>
      <c r="I13" s="64" t="s">
        <v>34</v>
      </c>
      <c r="J13" t="s">
        <v>37</v>
      </c>
      <c r="K13" t="s">
        <v>53</v>
      </c>
      <c r="N13" s="4" t="s">
        <v>88</v>
      </c>
      <c r="O13" t="s">
        <v>26</v>
      </c>
      <c r="P13" t="s">
        <v>27</v>
      </c>
      <c r="Q13" t="s">
        <v>70</v>
      </c>
    </row>
    <row r="14" spans="1:17" x14ac:dyDescent="0.55000000000000004">
      <c r="A14" t="s">
        <v>89</v>
      </c>
      <c r="B14" t="s">
        <v>85</v>
      </c>
      <c r="C14" s="1">
        <v>41071.003437500003</v>
      </c>
      <c r="D14" t="s">
        <v>90</v>
      </c>
      <c r="E14" t="s">
        <v>20</v>
      </c>
      <c r="F14" s="64" t="s">
        <v>91</v>
      </c>
      <c r="G14">
        <v>0</v>
      </c>
      <c r="H14" s="65">
        <v>3726923</v>
      </c>
      <c r="I14" s="64" t="s">
        <v>34</v>
      </c>
      <c r="J14" t="s">
        <v>82</v>
      </c>
      <c r="K14" t="s">
        <v>24</v>
      </c>
      <c r="L14" s="1">
        <v>41071.564560185187</v>
      </c>
      <c r="N14" t="s">
        <v>92</v>
      </c>
      <c r="O14" t="s">
        <v>26</v>
      </c>
      <c r="P14" t="s">
        <v>27</v>
      </c>
      <c r="Q14" t="s">
        <v>70</v>
      </c>
    </row>
    <row r="15" spans="1:17" x14ac:dyDescent="0.55000000000000004">
      <c r="A15" t="s">
        <v>89</v>
      </c>
      <c r="B15" t="s">
        <v>85</v>
      </c>
      <c r="C15" s="1">
        <v>41071.003437500003</v>
      </c>
      <c r="D15" t="s">
        <v>90</v>
      </c>
      <c r="E15" t="s">
        <v>20</v>
      </c>
      <c r="F15" s="64" t="s">
        <v>91</v>
      </c>
      <c r="G15">
        <v>0</v>
      </c>
      <c r="H15" s="65">
        <v>3726923</v>
      </c>
      <c r="I15" s="64" t="s">
        <v>34</v>
      </c>
      <c r="J15" t="s">
        <v>43</v>
      </c>
      <c r="K15" t="s">
        <v>24</v>
      </c>
      <c r="L15" s="1">
        <v>41072.639988425923</v>
      </c>
      <c r="N15" t="s">
        <v>92</v>
      </c>
      <c r="O15" t="s">
        <v>26</v>
      </c>
      <c r="P15" t="s">
        <v>27</v>
      </c>
      <c r="Q15" t="s">
        <v>70</v>
      </c>
    </row>
    <row r="16" spans="1:17" x14ac:dyDescent="0.55000000000000004">
      <c r="A16" t="s">
        <v>89</v>
      </c>
      <c r="B16" t="s">
        <v>85</v>
      </c>
      <c r="C16" s="1">
        <v>41071.003437500003</v>
      </c>
      <c r="D16" t="s">
        <v>90</v>
      </c>
      <c r="E16" t="s">
        <v>20</v>
      </c>
      <c r="F16" s="64" t="s">
        <v>91</v>
      </c>
      <c r="G16">
        <v>0</v>
      </c>
      <c r="H16" s="65">
        <v>3726923</v>
      </c>
      <c r="I16" s="64" t="s">
        <v>34</v>
      </c>
      <c r="J16" t="s">
        <v>42</v>
      </c>
      <c r="K16" t="s">
        <v>24</v>
      </c>
      <c r="L16" s="1">
        <v>41072.628738425927</v>
      </c>
      <c r="N16" t="s">
        <v>92</v>
      </c>
      <c r="O16" t="s">
        <v>26</v>
      </c>
      <c r="P16" t="s">
        <v>27</v>
      </c>
      <c r="Q16" t="s">
        <v>70</v>
      </c>
    </row>
    <row r="17" spans="1:17" x14ac:dyDescent="0.55000000000000004">
      <c r="A17" t="s">
        <v>89</v>
      </c>
      <c r="B17" t="s">
        <v>85</v>
      </c>
      <c r="C17" s="1">
        <v>41071.003437500003</v>
      </c>
      <c r="D17" t="s">
        <v>90</v>
      </c>
      <c r="E17" t="s">
        <v>20</v>
      </c>
      <c r="F17" s="64" t="s">
        <v>91</v>
      </c>
      <c r="G17">
        <v>0</v>
      </c>
      <c r="H17" s="65">
        <v>3726923</v>
      </c>
      <c r="I17" s="64" t="s">
        <v>34</v>
      </c>
      <c r="J17" t="s">
        <v>38</v>
      </c>
      <c r="K17" t="s">
        <v>24</v>
      </c>
      <c r="L17" s="1">
        <v>41072.641226851854</v>
      </c>
      <c r="N17" t="s">
        <v>92</v>
      </c>
      <c r="O17" t="s">
        <v>26</v>
      </c>
      <c r="P17" t="s">
        <v>27</v>
      </c>
      <c r="Q17" t="s">
        <v>70</v>
      </c>
    </row>
    <row r="18" spans="1:17" x14ac:dyDescent="0.55000000000000004">
      <c r="A18" t="s">
        <v>89</v>
      </c>
      <c r="B18" t="s">
        <v>85</v>
      </c>
      <c r="C18" s="1">
        <v>41071.003437500003</v>
      </c>
      <c r="D18" t="s">
        <v>90</v>
      </c>
      <c r="E18" t="s">
        <v>20</v>
      </c>
      <c r="F18" s="64" t="s">
        <v>91</v>
      </c>
      <c r="G18">
        <v>0</v>
      </c>
      <c r="H18" s="65">
        <v>3726923</v>
      </c>
      <c r="I18" s="64" t="s">
        <v>34</v>
      </c>
      <c r="J18" t="s">
        <v>35</v>
      </c>
      <c r="K18" t="s">
        <v>24</v>
      </c>
      <c r="L18" s="1">
        <v>41072.226030092592</v>
      </c>
      <c r="N18" t="s">
        <v>92</v>
      </c>
      <c r="O18" t="s">
        <v>26</v>
      </c>
      <c r="P18" t="s">
        <v>27</v>
      </c>
      <c r="Q18" t="s">
        <v>70</v>
      </c>
    </row>
    <row r="19" spans="1:17" x14ac:dyDescent="0.55000000000000004">
      <c r="A19" t="s">
        <v>89</v>
      </c>
      <c r="B19" t="s">
        <v>85</v>
      </c>
      <c r="C19" s="1">
        <v>41071.003437500003</v>
      </c>
      <c r="D19" t="s">
        <v>90</v>
      </c>
      <c r="E19" t="s">
        <v>20</v>
      </c>
      <c r="F19" s="64" t="s">
        <v>91</v>
      </c>
      <c r="G19">
        <v>0</v>
      </c>
      <c r="H19" s="65">
        <v>3726923</v>
      </c>
      <c r="I19" s="64" t="s">
        <v>34</v>
      </c>
      <c r="J19" t="s">
        <v>80</v>
      </c>
      <c r="K19" t="s">
        <v>24</v>
      </c>
      <c r="L19" s="1">
        <v>41071.498113425929</v>
      </c>
      <c r="N19" t="s">
        <v>92</v>
      </c>
      <c r="O19" t="s">
        <v>26</v>
      </c>
      <c r="P19" t="s">
        <v>27</v>
      </c>
      <c r="Q19" t="s">
        <v>70</v>
      </c>
    </row>
    <row r="20" spans="1:17" x14ac:dyDescent="0.55000000000000004">
      <c r="A20" t="s">
        <v>89</v>
      </c>
      <c r="B20" t="s">
        <v>85</v>
      </c>
      <c r="C20" s="1">
        <v>41071.003437500003</v>
      </c>
      <c r="D20" t="s">
        <v>90</v>
      </c>
      <c r="E20" t="s">
        <v>20</v>
      </c>
      <c r="F20" s="64" t="s">
        <v>91</v>
      </c>
      <c r="G20">
        <v>0</v>
      </c>
      <c r="H20" s="65">
        <v>3726923</v>
      </c>
      <c r="I20" s="64" t="s">
        <v>34</v>
      </c>
      <c r="J20" t="s">
        <v>36</v>
      </c>
      <c r="K20" t="s">
        <v>24</v>
      </c>
      <c r="L20" s="1">
        <v>41071.592291666668</v>
      </c>
      <c r="N20" t="s">
        <v>92</v>
      </c>
      <c r="O20" t="s">
        <v>26</v>
      </c>
      <c r="P20" t="s">
        <v>27</v>
      </c>
      <c r="Q20" t="s">
        <v>70</v>
      </c>
    </row>
    <row r="21" spans="1:17" x14ac:dyDescent="0.55000000000000004">
      <c r="A21" t="s">
        <v>89</v>
      </c>
      <c r="B21" t="s">
        <v>85</v>
      </c>
      <c r="C21" s="1">
        <v>41071.003437500003</v>
      </c>
      <c r="D21" t="s">
        <v>90</v>
      </c>
      <c r="E21" t="s">
        <v>20</v>
      </c>
      <c r="F21" s="64" t="s">
        <v>91</v>
      </c>
      <c r="G21">
        <v>0</v>
      </c>
      <c r="H21" s="65">
        <v>3726923</v>
      </c>
      <c r="I21" s="64" t="s">
        <v>34</v>
      </c>
      <c r="J21" t="s">
        <v>39</v>
      </c>
      <c r="K21" t="s">
        <v>24</v>
      </c>
      <c r="L21" s="1">
        <v>41071.550752314812</v>
      </c>
      <c r="N21" t="s">
        <v>92</v>
      </c>
      <c r="O21" t="s">
        <v>26</v>
      </c>
      <c r="P21" t="s">
        <v>27</v>
      </c>
      <c r="Q21" t="s">
        <v>70</v>
      </c>
    </row>
    <row r="22" spans="1:17" x14ac:dyDescent="0.55000000000000004">
      <c r="A22" t="s">
        <v>89</v>
      </c>
      <c r="B22" t="s">
        <v>85</v>
      </c>
      <c r="C22" s="1">
        <v>41071.003437500003</v>
      </c>
      <c r="D22" t="s">
        <v>90</v>
      </c>
      <c r="E22" t="s">
        <v>20</v>
      </c>
      <c r="F22" s="64" t="s">
        <v>91</v>
      </c>
      <c r="G22">
        <v>0</v>
      </c>
      <c r="H22" s="65">
        <v>3726923</v>
      </c>
      <c r="I22" s="64" t="s">
        <v>34</v>
      </c>
      <c r="J22" t="s">
        <v>41</v>
      </c>
      <c r="K22" t="s">
        <v>24</v>
      </c>
      <c r="L22" s="1">
        <v>41071.564004629632</v>
      </c>
      <c r="N22" t="s">
        <v>92</v>
      </c>
      <c r="O22" t="s">
        <v>26</v>
      </c>
      <c r="P22" t="s">
        <v>27</v>
      </c>
      <c r="Q22" t="s">
        <v>70</v>
      </c>
    </row>
    <row r="23" spans="1:17" x14ac:dyDescent="0.55000000000000004">
      <c r="A23" t="s">
        <v>89</v>
      </c>
      <c r="B23" t="s">
        <v>85</v>
      </c>
      <c r="C23" s="1">
        <v>41071.003437500003</v>
      </c>
      <c r="D23" t="s">
        <v>90</v>
      </c>
      <c r="E23" t="s">
        <v>20</v>
      </c>
      <c r="F23" s="64" t="s">
        <v>91</v>
      </c>
      <c r="G23">
        <v>0</v>
      </c>
      <c r="H23" s="65">
        <v>3726923</v>
      </c>
      <c r="I23" s="64" t="s">
        <v>34</v>
      </c>
      <c r="J23" t="s">
        <v>46</v>
      </c>
      <c r="K23" t="s">
        <v>53</v>
      </c>
      <c r="N23" t="s">
        <v>92</v>
      </c>
      <c r="O23" t="s">
        <v>26</v>
      </c>
      <c r="P23" t="s">
        <v>27</v>
      </c>
      <c r="Q23" t="s">
        <v>70</v>
      </c>
    </row>
    <row r="24" spans="1:17" x14ac:dyDescent="0.55000000000000004">
      <c r="A24" t="s">
        <v>89</v>
      </c>
      <c r="B24" t="s">
        <v>85</v>
      </c>
      <c r="C24" s="1">
        <v>41071.003437500003</v>
      </c>
      <c r="D24" t="s">
        <v>90</v>
      </c>
      <c r="E24" t="s">
        <v>20</v>
      </c>
      <c r="F24" s="64" t="s">
        <v>91</v>
      </c>
      <c r="G24">
        <v>0</v>
      </c>
      <c r="H24" s="65">
        <v>3726923</v>
      </c>
      <c r="I24" s="64" t="s">
        <v>34</v>
      </c>
      <c r="J24" t="s">
        <v>37</v>
      </c>
      <c r="K24" t="s">
        <v>53</v>
      </c>
      <c r="N24" t="s">
        <v>92</v>
      </c>
      <c r="O24" t="s">
        <v>26</v>
      </c>
      <c r="P24" t="s">
        <v>27</v>
      </c>
      <c r="Q24" t="s">
        <v>70</v>
      </c>
    </row>
    <row r="25" spans="1:17" x14ac:dyDescent="0.55000000000000004">
      <c r="A25" t="s">
        <v>17</v>
      </c>
      <c r="B25" t="s">
        <v>18</v>
      </c>
      <c r="C25" s="1">
        <v>41060.534502314818</v>
      </c>
      <c r="D25" t="s">
        <v>19</v>
      </c>
      <c r="E25" t="s">
        <v>20</v>
      </c>
      <c r="F25" s="64" t="s">
        <v>21</v>
      </c>
      <c r="G25" s="2">
        <v>750000</v>
      </c>
      <c r="H25" s="65">
        <v>1423750</v>
      </c>
      <c r="I25" s="64" t="s">
        <v>34</v>
      </c>
      <c r="J25" t="s">
        <v>35</v>
      </c>
      <c r="K25" t="s">
        <v>24</v>
      </c>
      <c r="L25" s="1">
        <v>41058.555821759262</v>
      </c>
      <c r="N25" s="4" t="s">
        <v>25</v>
      </c>
      <c r="O25" t="s">
        <v>26</v>
      </c>
      <c r="P25" t="s">
        <v>27</v>
      </c>
    </row>
    <row r="26" spans="1:17" x14ac:dyDescent="0.55000000000000004">
      <c r="A26" t="s">
        <v>17</v>
      </c>
      <c r="B26" t="s">
        <v>18</v>
      </c>
      <c r="C26" s="1">
        <v>41060.534502314818</v>
      </c>
      <c r="D26" t="s">
        <v>19</v>
      </c>
      <c r="E26" t="s">
        <v>20</v>
      </c>
      <c r="F26" s="64" t="s">
        <v>21</v>
      </c>
      <c r="G26" s="2">
        <v>750000</v>
      </c>
      <c r="H26" s="65">
        <v>1423750</v>
      </c>
      <c r="I26" s="64" t="s">
        <v>34</v>
      </c>
      <c r="J26" t="s">
        <v>36</v>
      </c>
      <c r="K26" t="s">
        <v>24</v>
      </c>
      <c r="L26" s="1">
        <v>41058.495057870372</v>
      </c>
      <c r="N26" s="4" t="s">
        <v>25</v>
      </c>
      <c r="O26" t="s">
        <v>26</v>
      </c>
      <c r="P26" t="s">
        <v>27</v>
      </c>
    </row>
    <row r="27" spans="1:17" x14ac:dyDescent="0.55000000000000004">
      <c r="A27" t="s">
        <v>17</v>
      </c>
      <c r="B27" t="s">
        <v>18</v>
      </c>
      <c r="C27" s="1">
        <v>41060.534502314818</v>
      </c>
      <c r="D27" t="s">
        <v>19</v>
      </c>
      <c r="E27" t="s">
        <v>20</v>
      </c>
      <c r="F27" s="64" t="s">
        <v>21</v>
      </c>
      <c r="G27" s="2">
        <v>750000</v>
      </c>
      <c r="H27" s="65">
        <v>1423750</v>
      </c>
      <c r="I27" s="64" t="s">
        <v>34</v>
      </c>
      <c r="J27" t="s">
        <v>37</v>
      </c>
      <c r="K27" t="s">
        <v>24</v>
      </c>
      <c r="L27" s="1">
        <v>41054.598425925928</v>
      </c>
      <c r="N27" s="4" t="s">
        <v>25</v>
      </c>
      <c r="O27" t="s">
        <v>26</v>
      </c>
      <c r="P27" t="s">
        <v>27</v>
      </c>
    </row>
    <row r="28" spans="1:17" x14ac:dyDescent="0.55000000000000004">
      <c r="A28" t="s">
        <v>17</v>
      </c>
      <c r="B28" t="s">
        <v>18</v>
      </c>
      <c r="C28" s="1">
        <v>41060.534502314818</v>
      </c>
      <c r="D28" t="s">
        <v>19</v>
      </c>
      <c r="E28" t="s">
        <v>20</v>
      </c>
      <c r="F28" s="64" t="s">
        <v>21</v>
      </c>
      <c r="G28" s="2">
        <v>750000</v>
      </c>
      <c r="H28" s="65">
        <v>1423750</v>
      </c>
      <c r="I28" s="64" t="s">
        <v>34</v>
      </c>
      <c r="J28" t="s">
        <v>38</v>
      </c>
      <c r="K28" t="s">
        <v>24</v>
      </c>
      <c r="L28" s="1">
        <v>41054.641932870371</v>
      </c>
      <c r="N28" s="4" t="s">
        <v>25</v>
      </c>
      <c r="O28" t="s">
        <v>26</v>
      </c>
      <c r="P28" t="s">
        <v>27</v>
      </c>
    </row>
    <row r="29" spans="1:17" x14ac:dyDescent="0.55000000000000004">
      <c r="A29" t="s">
        <v>17</v>
      </c>
      <c r="B29" t="s">
        <v>18</v>
      </c>
      <c r="C29" s="1">
        <v>41060.534502314818</v>
      </c>
      <c r="D29" t="s">
        <v>19</v>
      </c>
      <c r="E29" t="s">
        <v>20</v>
      </c>
      <c r="F29" s="64" t="s">
        <v>21</v>
      </c>
      <c r="G29" s="2">
        <v>750000</v>
      </c>
      <c r="H29" s="65">
        <v>1423750</v>
      </c>
      <c r="I29" s="64" t="s">
        <v>34</v>
      </c>
      <c r="J29" t="s">
        <v>39</v>
      </c>
      <c r="K29" t="s">
        <v>24</v>
      </c>
      <c r="L29" s="1">
        <v>41058.53229166667</v>
      </c>
      <c r="N29" s="4" t="s">
        <v>25</v>
      </c>
      <c r="O29" t="s">
        <v>26</v>
      </c>
      <c r="P29" t="s">
        <v>27</v>
      </c>
    </row>
    <row r="30" spans="1:17" x14ac:dyDescent="0.55000000000000004">
      <c r="A30" t="s">
        <v>17</v>
      </c>
      <c r="B30" t="s">
        <v>18</v>
      </c>
      <c r="C30" s="1">
        <v>41060.534502314818</v>
      </c>
      <c r="D30" t="s">
        <v>19</v>
      </c>
      <c r="E30" t="s">
        <v>20</v>
      </c>
      <c r="F30" s="64" t="s">
        <v>21</v>
      </c>
      <c r="G30" s="2">
        <v>750000</v>
      </c>
      <c r="H30" s="65">
        <v>1423750</v>
      </c>
      <c r="I30" s="64" t="s">
        <v>34</v>
      </c>
      <c r="J30" t="s">
        <v>40</v>
      </c>
      <c r="K30" t="s">
        <v>24</v>
      </c>
      <c r="L30" s="1">
        <v>41058.555752314816</v>
      </c>
      <c r="N30" s="4" t="s">
        <v>25</v>
      </c>
      <c r="O30" t="s">
        <v>26</v>
      </c>
      <c r="P30" t="s">
        <v>27</v>
      </c>
    </row>
    <row r="31" spans="1:17" x14ac:dyDescent="0.55000000000000004">
      <c r="A31" t="s">
        <v>17</v>
      </c>
      <c r="B31" t="s">
        <v>18</v>
      </c>
      <c r="C31" s="1">
        <v>41060.534502314818</v>
      </c>
      <c r="D31" t="s">
        <v>19</v>
      </c>
      <c r="E31" t="s">
        <v>20</v>
      </c>
      <c r="F31" s="64" t="s">
        <v>21</v>
      </c>
      <c r="G31" s="2">
        <v>750000</v>
      </c>
      <c r="H31" s="65">
        <v>1423750</v>
      </c>
      <c r="I31" s="64" t="s">
        <v>34</v>
      </c>
      <c r="J31" t="s">
        <v>41</v>
      </c>
      <c r="K31" t="s">
        <v>24</v>
      </c>
      <c r="L31" s="1">
        <v>41054.598124999997</v>
      </c>
      <c r="N31" s="4" t="s">
        <v>25</v>
      </c>
      <c r="O31" t="s">
        <v>26</v>
      </c>
      <c r="P31" t="s">
        <v>27</v>
      </c>
    </row>
    <row r="32" spans="1:17" x14ac:dyDescent="0.55000000000000004">
      <c r="A32" t="s">
        <v>17</v>
      </c>
      <c r="B32" t="s">
        <v>18</v>
      </c>
      <c r="C32" s="1">
        <v>41060.534502314818</v>
      </c>
      <c r="D32" t="s">
        <v>19</v>
      </c>
      <c r="E32" t="s">
        <v>20</v>
      </c>
      <c r="F32" s="64" t="s">
        <v>21</v>
      </c>
      <c r="G32" s="2">
        <v>750000</v>
      </c>
      <c r="H32" s="65">
        <v>1423750</v>
      </c>
      <c r="I32" s="64" t="s">
        <v>34</v>
      </c>
      <c r="J32" t="s">
        <v>42</v>
      </c>
      <c r="K32" t="s">
        <v>24</v>
      </c>
      <c r="L32" s="1">
        <v>41058.559594907405</v>
      </c>
      <c r="N32" s="4" t="s">
        <v>25</v>
      </c>
      <c r="O32" t="s">
        <v>26</v>
      </c>
      <c r="P32" t="s">
        <v>27</v>
      </c>
    </row>
    <row r="33" spans="1:16" x14ac:dyDescent="0.55000000000000004">
      <c r="A33" t="s">
        <v>17</v>
      </c>
      <c r="B33" t="s">
        <v>18</v>
      </c>
      <c r="C33" s="1">
        <v>41060.534502314818</v>
      </c>
      <c r="D33" t="s">
        <v>19</v>
      </c>
      <c r="E33" t="s">
        <v>20</v>
      </c>
      <c r="F33" s="64" t="s">
        <v>21</v>
      </c>
      <c r="G33" s="2">
        <v>750000</v>
      </c>
      <c r="H33" s="65">
        <v>1423750</v>
      </c>
      <c r="I33" s="64" t="s">
        <v>34</v>
      </c>
      <c r="J33" t="s">
        <v>43</v>
      </c>
      <c r="K33" t="s">
        <v>24</v>
      </c>
      <c r="L33" s="1">
        <v>41054.538472222222</v>
      </c>
      <c r="N33" s="4" t="s">
        <v>25</v>
      </c>
      <c r="O33" t="s">
        <v>26</v>
      </c>
      <c r="P33" t="s">
        <v>27</v>
      </c>
    </row>
    <row r="34" spans="1:16" x14ac:dyDescent="0.55000000000000004">
      <c r="A34" t="s">
        <v>17</v>
      </c>
      <c r="B34" t="s">
        <v>18</v>
      </c>
      <c r="C34" s="1">
        <v>41060.534502314818</v>
      </c>
      <c r="D34" t="s">
        <v>19</v>
      </c>
      <c r="E34" t="s">
        <v>20</v>
      </c>
      <c r="F34" s="64" t="s">
        <v>21</v>
      </c>
      <c r="G34" s="2">
        <v>750000</v>
      </c>
      <c r="H34" s="65">
        <v>1423750</v>
      </c>
      <c r="I34" s="64" t="s">
        <v>34</v>
      </c>
      <c r="J34" t="s">
        <v>44</v>
      </c>
      <c r="K34" t="s">
        <v>24</v>
      </c>
      <c r="L34" s="1">
        <v>41057.485011574077</v>
      </c>
      <c r="N34" s="4" t="s">
        <v>25</v>
      </c>
      <c r="O34" t="s">
        <v>26</v>
      </c>
      <c r="P34" t="s">
        <v>27</v>
      </c>
    </row>
    <row r="35" spans="1:16" x14ac:dyDescent="0.55000000000000004">
      <c r="A35" t="s">
        <v>17</v>
      </c>
      <c r="B35" t="s">
        <v>18</v>
      </c>
      <c r="C35" s="1">
        <v>41060.534502314818</v>
      </c>
      <c r="D35" t="s">
        <v>19</v>
      </c>
      <c r="E35" t="s">
        <v>20</v>
      </c>
      <c r="F35" s="64" t="s">
        <v>21</v>
      </c>
      <c r="G35" s="2">
        <v>750000</v>
      </c>
      <c r="H35" s="65">
        <v>1423750</v>
      </c>
      <c r="I35" s="64" t="s">
        <v>34</v>
      </c>
      <c r="J35" t="s">
        <v>45</v>
      </c>
      <c r="K35" t="s">
        <v>24</v>
      </c>
      <c r="L35" s="1">
        <v>41055.547303240739</v>
      </c>
      <c r="N35" s="4" t="s">
        <v>25</v>
      </c>
      <c r="O35" t="s">
        <v>26</v>
      </c>
      <c r="P35" t="s">
        <v>27</v>
      </c>
    </row>
    <row r="36" spans="1:16" x14ac:dyDescent="0.55000000000000004">
      <c r="A36" t="s">
        <v>17</v>
      </c>
      <c r="B36" t="s">
        <v>18</v>
      </c>
      <c r="C36" s="1">
        <v>41060.534502314818</v>
      </c>
      <c r="D36" t="s">
        <v>19</v>
      </c>
      <c r="E36" t="s">
        <v>20</v>
      </c>
      <c r="F36" s="64" t="s">
        <v>21</v>
      </c>
      <c r="G36" s="2">
        <v>750000</v>
      </c>
      <c r="H36" s="65">
        <v>1423750</v>
      </c>
      <c r="I36" s="64" t="s">
        <v>34</v>
      </c>
      <c r="J36" t="s">
        <v>46</v>
      </c>
      <c r="K36" t="s">
        <v>24</v>
      </c>
      <c r="L36" s="1">
        <v>41059.978981481479</v>
      </c>
      <c r="N36" s="4" t="s">
        <v>25</v>
      </c>
      <c r="O36" t="s">
        <v>26</v>
      </c>
      <c r="P36" t="s">
        <v>27</v>
      </c>
    </row>
    <row r="37" spans="1:16" x14ac:dyDescent="0.55000000000000004">
      <c r="A37" t="s">
        <v>17</v>
      </c>
      <c r="B37" t="s">
        <v>18</v>
      </c>
      <c r="C37" s="1">
        <v>41060.534502314818</v>
      </c>
      <c r="D37" t="s">
        <v>19</v>
      </c>
      <c r="E37" t="s">
        <v>20</v>
      </c>
      <c r="F37" s="64" t="s">
        <v>21</v>
      </c>
      <c r="G37" s="2">
        <v>750000</v>
      </c>
      <c r="H37" s="65">
        <v>1423750</v>
      </c>
      <c r="I37" s="64" t="s">
        <v>51</v>
      </c>
      <c r="J37" t="s">
        <v>52</v>
      </c>
      <c r="K37" t="s">
        <v>53</v>
      </c>
      <c r="N37" s="4" t="s">
        <v>25</v>
      </c>
      <c r="O37" t="s">
        <v>26</v>
      </c>
      <c r="P37" t="s">
        <v>27</v>
      </c>
    </row>
    <row r="38" spans="1:16" x14ac:dyDescent="0.55000000000000004">
      <c r="A38" t="s">
        <v>54</v>
      </c>
      <c r="B38" t="s">
        <v>18</v>
      </c>
      <c r="C38" s="1">
        <v>41061.538726851853</v>
      </c>
      <c r="D38" t="s">
        <v>55</v>
      </c>
      <c r="E38" t="s">
        <v>56</v>
      </c>
      <c r="F38" s="64" t="s">
        <v>57</v>
      </c>
      <c r="G38" s="2">
        <v>317592</v>
      </c>
      <c r="H38" s="65">
        <v>546980</v>
      </c>
      <c r="I38" s="64" t="s">
        <v>34</v>
      </c>
      <c r="J38" t="s">
        <v>42</v>
      </c>
      <c r="K38" t="s">
        <v>24</v>
      </c>
      <c r="L38" s="1">
        <v>41050.60365740741</v>
      </c>
      <c r="N38" s="4" t="s">
        <v>58</v>
      </c>
      <c r="O38" t="s">
        <v>26</v>
      </c>
    </row>
    <row r="39" spans="1:16" x14ac:dyDescent="0.55000000000000004">
      <c r="A39" t="s">
        <v>54</v>
      </c>
      <c r="B39" t="s">
        <v>18</v>
      </c>
      <c r="C39" s="1">
        <v>41061.538726851853</v>
      </c>
      <c r="D39" t="s">
        <v>55</v>
      </c>
      <c r="E39" t="s">
        <v>56</v>
      </c>
      <c r="F39" s="64" t="s">
        <v>57</v>
      </c>
      <c r="G39" s="2">
        <v>317592</v>
      </c>
      <c r="H39" s="65">
        <v>546980</v>
      </c>
      <c r="I39" s="64" t="s">
        <v>34</v>
      </c>
      <c r="J39" t="s">
        <v>37</v>
      </c>
      <c r="K39" t="s">
        <v>24</v>
      </c>
      <c r="L39" s="1">
        <v>41051.538506944446</v>
      </c>
      <c r="N39" s="4" t="s">
        <v>58</v>
      </c>
      <c r="O39" t="s">
        <v>26</v>
      </c>
    </row>
    <row r="40" spans="1:16" x14ac:dyDescent="0.55000000000000004">
      <c r="A40" t="s">
        <v>54</v>
      </c>
      <c r="B40" t="s">
        <v>18</v>
      </c>
      <c r="C40" s="1">
        <v>41061.538726851853</v>
      </c>
      <c r="D40" t="s">
        <v>55</v>
      </c>
      <c r="E40" t="s">
        <v>56</v>
      </c>
      <c r="F40" s="64" t="s">
        <v>57</v>
      </c>
      <c r="G40" s="2">
        <v>317592</v>
      </c>
      <c r="H40" s="65">
        <v>546980</v>
      </c>
      <c r="I40" s="64" t="s">
        <v>34</v>
      </c>
      <c r="J40" t="s">
        <v>36</v>
      </c>
      <c r="K40" t="s">
        <v>24</v>
      </c>
      <c r="L40" s="1">
        <v>41050.501793981479</v>
      </c>
      <c r="N40" s="4" t="s">
        <v>58</v>
      </c>
      <c r="O40" t="s">
        <v>26</v>
      </c>
    </row>
    <row r="41" spans="1:16" x14ac:dyDescent="0.55000000000000004">
      <c r="A41" t="s">
        <v>54</v>
      </c>
      <c r="B41" t="s">
        <v>18</v>
      </c>
      <c r="C41" s="1">
        <v>41061.538726851853</v>
      </c>
      <c r="D41" t="s">
        <v>55</v>
      </c>
      <c r="E41" t="s">
        <v>56</v>
      </c>
      <c r="F41" s="64" t="s">
        <v>57</v>
      </c>
      <c r="G41" s="2">
        <v>317592</v>
      </c>
      <c r="H41" s="65">
        <v>546980</v>
      </c>
      <c r="I41" s="64" t="s">
        <v>34</v>
      </c>
      <c r="J41" t="s">
        <v>60</v>
      </c>
      <c r="K41" t="s">
        <v>24</v>
      </c>
      <c r="L41" s="1">
        <v>41048.091273148151</v>
      </c>
      <c r="N41" s="4" t="s">
        <v>58</v>
      </c>
      <c r="O41" t="s">
        <v>26</v>
      </c>
    </row>
    <row r="42" spans="1:16" x14ac:dyDescent="0.55000000000000004">
      <c r="A42" t="s">
        <v>54</v>
      </c>
      <c r="B42" t="s">
        <v>18</v>
      </c>
      <c r="C42" s="1">
        <v>41061.538726851853</v>
      </c>
      <c r="D42" t="s">
        <v>55</v>
      </c>
      <c r="E42" t="s">
        <v>56</v>
      </c>
      <c r="F42" s="64" t="s">
        <v>57</v>
      </c>
      <c r="G42" s="2">
        <v>317592</v>
      </c>
      <c r="H42" s="65">
        <v>546980</v>
      </c>
      <c r="I42" s="64" t="s">
        <v>34</v>
      </c>
      <c r="J42" t="s">
        <v>61</v>
      </c>
      <c r="K42" t="s">
        <v>24</v>
      </c>
      <c r="L42" s="1">
        <v>41050.466608796298</v>
      </c>
      <c r="N42" s="4" t="s">
        <v>58</v>
      </c>
      <c r="O42" t="s">
        <v>26</v>
      </c>
    </row>
    <row r="43" spans="1:16" x14ac:dyDescent="0.55000000000000004">
      <c r="A43" t="s">
        <v>54</v>
      </c>
      <c r="B43" t="s">
        <v>18</v>
      </c>
      <c r="C43" s="1">
        <v>41061.538726851853</v>
      </c>
      <c r="D43" t="s">
        <v>55</v>
      </c>
      <c r="E43" t="s">
        <v>56</v>
      </c>
      <c r="F43" s="64" t="s">
        <v>57</v>
      </c>
      <c r="G43" s="2">
        <v>317592</v>
      </c>
      <c r="H43" s="65">
        <v>546980</v>
      </c>
      <c r="I43" s="64" t="s">
        <v>34</v>
      </c>
      <c r="J43" t="s">
        <v>62</v>
      </c>
      <c r="K43" t="s">
        <v>24</v>
      </c>
      <c r="L43" s="1">
        <v>41048.879687499997</v>
      </c>
      <c r="N43" s="4" t="s">
        <v>58</v>
      </c>
      <c r="O43" t="s">
        <v>26</v>
      </c>
    </row>
    <row r="44" spans="1:16" x14ac:dyDescent="0.55000000000000004">
      <c r="A44" t="s">
        <v>54</v>
      </c>
      <c r="B44" t="s">
        <v>18</v>
      </c>
      <c r="C44" s="1">
        <v>41061.538726851853</v>
      </c>
      <c r="D44" t="s">
        <v>55</v>
      </c>
      <c r="E44" t="s">
        <v>56</v>
      </c>
      <c r="F44" s="64" t="s">
        <v>57</v>
      </c>
      <c r="G44" s="2">
        <v>317592</v>
      </c>
      <c r="H44" s="65">
        <v>546980</v>
      </c>
      <c r="I44" s="64" t="s">
        <v>34</v>
      </c>
      <c r="J44" t="s">
        <v>63</v>
      </c>
      <c r="K44" t="s">
        <v>24</v>
      </c>
      <c r="L44" s="1">
        <v>41053.879363425927</v>
      </c>
      <c r="N44" s="4" t="s">
        <v>58</v>
      </c>
      <c r="O44" t="s">
        <v>26</v>
      </c>
    </row>
    <row r="45" spans="1:16" x14ac:dyDescent="0.55000000000000004">
      <c r="A45" t="s">
        <v>54</v>
      </c>
      <c r="B45" t="s">
        <v>18</v>
      </c>
      <c r="C45" s="1">
        <v>41061.538726851853</v>
      </c>
      <c r="D45" t="s">
        <v>55</v>
      </c>
      <c r="E45" t="s">
        <v>56</v>
      </c>
      <c r="F45" s="64" t="s">
        <v>57</v>
      </c>
      <c r="G45" s="2">
        <v>317592</v>
      </c>
      <c r="H45" s="65">
        <v>546980</v>
      </c>
      <c r="I45" s="64" t="s">
        <v>34</v>
      </c>
      <c r="J45" t="s">
        <v>64</v>
      </c>
      <c r="K45" t="s">
        <v>24</v>
      </c>
      <c r="L45" s="1">
        <v>41050.037430555552</v>
      </c>
      <c r="N45" s="4" t="s">
        <v>58</v>
      </c>
      <c r="O45" t="s">
        <v>26</v>
      </c>
    </row>
    <row r="46" spans="1:16" x14ac:dyDescent="0.55000000000000004">
      <c r="A46" t="s">
        <v>54</v>
      </c>
      <c r="B46" t="s">
        <v>18</v>
      </c>
      <c r="C46" s="1">
        <v>41061.538726851853</v>
      </c>
      <c r="D46" t="s">
        <v>55</v>
      </c>
      <c r="E46" t="s">
        <v>56</v>
      </c>
      <c r="F46" s="64" t="s">
        <v>57</v>
      </c>
      <c r="G46" s="2">
        <v>317592</v>
      </c>
      <c r="H46" s="65">
        <v>546980</v>
      </c>
      <c r="I46" s="64" t="s">
        <v>34</v>
      </c>
      <c r="J46" t="s">
        <v>39</v>
      </c>
      <c r="K46" t="s">
        <v>24</v>
      </c>
      <c r="L46" s="1">
        <v>41049.8825462963</v>
      </c>
      <c r="N46" s="4" t="s">
        <v>58</v>
      </c>
      <c r="O46" t="s">
        <v>26</v>
      </c>
    </row>
    <row r="47" spans="1:16" x14ac:dyDescent="0.55000000000000004">
      <c r="A47" t="s">
        <v>54</v>
      </c>
      <c r="B47" t="s">
        <v>18</v>
      </c>
      <c r="C47" s="1">
        <v>41061.538726851853</v>
      </c>
      <c r="D47" t="s">
        <v>55</v>
      </c>
      <c r="E47" t="s">
        <v>56</v>
      </c>
      <c r="F47" s="64" t="s">
        <v>57</v>
      </c>
      <c r="G47" s="2">
        <v>317592</v>
      </c>
      <c r="H47" s="65">
        <v>546980</v>
      </c>
      <c r="I47" s="64" t="s">
        <v>34</v>
      </c>
      <c r="J47" t="s">
        <v>35</v>
      </c>
      <c r="K47" t="s">
        <v>24</v>
      </c>
      <c r="L47" s="1">
        <v>41047.880358796298</v>
      </c>
      <c r="N47" s="4" t="s">
        <v>58</v>
      </c>
      <c r="O47" t="s">
        <v>26</v>
      </c>
    </row>
    <row r="48" spans="1:16" x14ac:dyDescent="0.55000000000000004">
      <c r="A48" t="s">
        <v>54</v>
      </c>
      <c r="B48" t="s">
        <v>18</v>
      </c>
      <c r="C48" s="1">
        <v>41061.538726851853</v>
      </c>
      <c r="D48" t="s">
        <v>55</v>
      </c>
      <c r="E48" t="s">
        <v>56</v>
      </c>
      <c r="F48" s="64" t="s">
        <v>57</v>
      </c>
      <c r="G48" s="2">
        <v>317592</v>
      </c>
      <c r="H48" s="65">
        <v>546980</v>
      </c>
      <c r="I48" s="64" t="s">
        <v>34</v>
      </c>
      <c r="J48" t="s">
        <v>38</v>
      </c>
      <c r="K48" t="s">
        <v>24</v>
      </c>
      <c r="L48" s="1">
        <v>41054.890081018515</v>
      </c>
      <c r="N48" s="4" t="s">
        <v>58</v>
      </c>
      <c r="O48" t="s">
        <v>26</v>
      </c>
    </row>
    <row r="49" spans="1:17" x14ac:dyDescent="0.55000000000000004">
      <c r="A49" t="s">
        <v>54</v>
      </c>
      <c r="B49" t="s">
        <v>18</v>
      </c>
      <c r="C49" s="1">
        <v>41061.538726851853</v>
      </c>
      <c r="D49" t="s">
        <v>55</v>
      </c>
      <c r="E49" t="s">
        <v>56</v>
      </c>
      <c r="F49" s="64" t="s">
        <v>57</v>
      </c>
      <c r="G49" s="2">
        <v>317592</v>
      </c>
      <c r="H49" s="65">
        <v>546980</v>
      </c>
      <c r="I49" s="64" t="s">
        <v>34</v>
      </c>
      <c r="J49" t="s">
        <v>43</v>
      </c>
      <c r="K49" t="s">
        <v>24</v>
      </c>
      <c r="L49" s="1">
        <v>41053.068807870368</v>
      </c>
      <c r="N49" s="4" t="s">
        <v>58</v>
      </c>
      <c r="O49" t="s">
        <v>26</v>
      </c>
    </row>
    <row r="50" spans="1:17" x14ac:dyDescent="0.55000000000000004">
      <c r="A50" t="s">
        <v>54</v>
      </c>
      <c r="B50" t="s">
        <v>18</v>
      </c>
      <c r="C50" s="1">
        <v>41061.538726851853</v>
      </c>
      <c r="D50" t="s">
        <v>55</v>
      </c>
      <c r="E50" t="s">
        <v>56</v>
      </c>
      <c r="F50" s="64" t="s">
        <v>57</v>
      </c>
      <c r="G50" s="2">
        <v>317592</v>
      </c>
      <c r="H50" s="65">
        <v>546980</v>
      </c>
      <c r="I50" s="64" t="s">
        <v>51</v>
      </c>
      <c r="J50" t="s">
        <v>52</v>
      </c>
      <c r="K50" t="s">
        <v>53</v>
      </c>
      <c r="N50" s="4" t="s">
        <v>58</v>
      </c>
      <c r="O50" t="s">
        <v>26</v>
      </c>
    </row>
    <row r="51" spans="1:17" x14ac:dyDescent="0.55000000000000004">
      <c r="A51" t="s">
        <v>66</v>
      </c>
      <c r="B51" t="s">
        <v>18</v>
      </c>
      <c r="C51" s="1">
        <v>41061.53765046296</v>
      </c>
      <c r="D51" t="s">
        <v>67</v>
      </c>
      <c r="E51" t="s">
        <v>56</v>
      </c>
      <c r="F51" s="64" t="s">
        <v>68</v>
      </c>
      <c r="G51" s="2">
        <v>1342888</v>
      </c>
      <c r="H51" s="65">
        <v>5971493</v>
      </c>
      <c r="I51" s="64" t="s">
        <v>34</v>
      </c>
      <c r="J51" t="s">
        <v>71</v>
      </c>
      <c r="K51" t="s">
        <v>24</v>
      </c>
      <c r="L51" s="1">
        <v>41047.705520833333</v>
      </c>
      <c r="N51" t="s">
        <v>69</v>
      </c>
      <c r="O51" t="s">
        <v>26</v>
      </c>
      <c r="P51" t="s">
        <v>27</v>
      </c>
      <c r="Q51" t="s">
        <v>70</v>
      </c>
    </row>
    <row r="52" spans="1:17" x14ac:dyDescent="0.55000000000000004">
      <c r="A52" t="s">
        <v>66</v>
      </c>
      <c r="B52" t="s">
        <v>18</v>
      </c>
      <c r="C52" s="1">
        <v>41061.53765046296</v>
      </c>
      <c r="D52" t="s">
        <v>67</v>
      </c>
      <c r="E52" t="s">
        <v>56</v>
      </c>
      <c r="F52" s="64" t="s">
        <v>68</v>
      </c>
      <c r="G52" s="2">
        <v>1342888</v>
      </c>
      <c r="H52" s="65">
        <v>5971493</v>
      </c>
      <c r="I52" s="64" t="s">
        <v>34</v>
      </c>
      <c r="J52" t="s">
        <v>63</v>
      </c>
      <c r="K52" t="s">
        <v>24</v>
      </c>
      <c r="L52" s="1">
        <v>41046.218622685185</v>
      </c>
      <c r="N52" t="s">
        <v>69</v>
      </c>
      <c r="O52" t="s">
        <v>26</v>
      </c>
      <c r="P52" t="s">
        <v>27</v>
      </c>
      <c r="Q52" t="s">
        <v>70</v>
      </c>
    </row>
    <row r="53" spans="1:17" x14ac:dyDescent="0.55000000000000004">
      <c r="A53" t="s">
        <v>66</v>
      </c>
      <c r="B53" t="s">
        <v>18</v>
      </c>
      <c r="C53" s="1">
        <v>41061.53765046296</v>
      </c>
      <c r="D53" t="s">
        <v>67</v>
      </c>
      <c r="E53" t="s">
        <v>56</v>
      </c>
      <c r="F53" s="64" t="s">
        <v>68</v>
      </c>
      <c r="G53" s="2">
        <v>1342888</v>
      </c>
      <c r="H53" s="65">
        <v>5971493</v>
      </c>
      <c r="I53" s="64" t="s">
        <v>34</v>
      </c>
      <c r="J53" t="s">
        <v>37</v>
      </c>
      <c r="K53" t="s">
        <v>24</v>
      </c>
      <c r="L53" s="1">
        <v>41051.737187500003</v>
      </c>
      <c r="N53" t="s">
        <v>69</v>
      </c>
      <c r="O53" t="s">
        <v>26</v>
      </c>
      <c r="P53" t="s">
        <v>27</v>
      </c>
      <c r="Q53" t="s">
        <v>70</v>
      </c>
    </row>
    <row r="54" spans="1:17" x14ac:dyDescent="0.55000000000000004">
      <c r="A54" t="s">
        <v>66</v>
      </c>
      <c r="B54" t="s">
        <v>18</v>
      </c>
      <c r="C54" s="1">
        <v>41061.53765046296</v>
      </c>
      <c r="D54" t="s">
        <v>67</v>
      </c>
      <c r="E54" t="s">
        <v>56</v>
      </c>
      <c r="F54" s="64" t="s">
        <v>68</v>
      </c>
      <c r="G54" s="2">
        <v>1342888</v>
      </c>
      <c r="H54" s="65">
        <v>5971493</v>
      </c>
      <c r="I54" s="64" t="s">
        <v>34</v>
      </c>
      <c r="J54" t="s">
        <v>42</v>
      </c>
      <c r="K54" t="s">
        <v>24</v>
      </c>
      <c r="L54" s="1">
        <v>41050.631481481483</v>
      </c>
      <c r="N54" t="s">
        <v>69</v>
      </c>
      <c r="O54" t="s">
        <v>26</v>
      </c>
      <c r="P54" t="s">
        <v>27</v>
      </c>
      <c r="Q54" t="s">
        <v>70</v>
      </c>
    </row>
    <row r="55" spans="1:17" x14ac:dyDescent="0.55000000000000004">
      <c r="A55" t="s">
        <v>66</v>
      </c>
      <c r="B55" t="s">
        <v>18</v>
      </c>
      <c r="C55" s="1">
        <v>41061.53765046296</v>
      </c>
      <c r="D55" t="s">
        <v>67</v>
      </c>
      <c r="E55" t="s">
        <v>56</v>
      </c>
      <c r="F55" s="64" t="s">
        <v>68</v>
      </c>
      <c r="G55" s="2">
        <v>1342888</v>
      </c>
      <c r="H55" s="65">
        <v>5971493</v>
      </c>
      <c r="I55" s="64" t="s">
        <v>34</v>
      </c>
      <c r="J55" t="s">
        <v>35</v>
      </c>
      <c r="K55" t="s">
        <v>24</v>
      </c>
      <c r="L55" s="1">
        <v>41047.691423611112</v>
      </c>
      <c r="N55" t="s">
        <v>69</v>
      </c>
      <c r="O55" t="s">
        <v>26</v>
      </c>
      <c r="P55" t="s">
        <v>27</v>
      </c>
      <c r="Q55" t="s">
        <v>70</v>
      </c>
    </row>
    <row r="56" spans="1:17" x14ac:dyDescent="0.55000000000000004">
      <c r="A56" t="s">
        <v>66</v>
      </c>
      <c r="B56" t="s">
        <v>18</v>
      </c>
      <c r="C56" s="1">
        <v>41061.53765046296</v>
      </c>
      <c r="D56" t="s">
        <v>67</v>
      </c>
      <c r="E56" t="s">
        <v>56</v>
      </c>
      <c r="F56" s="64" t="s">
        <v>68</v>
      </c>
      <c r="G56" s="2">
        <v>1342888</v>
      </c>
      <c r="H56" s="65">
        <v>5971493</v>
      </c>
      <c r="I56" s="64" t="s">
        <v>34</v>
      </c>
      <c r="J56" t="s">
        <v>36</v>
      </c>
      <c r="K56" t="s">
        <v>24</v>
      </c>
      <c r="L56" s="1">
        <v>41046.49763888889</v>
      </c>
      <c r="N56" t="s">
        <v>69</v>
      </c>
      <c r="O56" t="s">
        <v>26</v>
      </c>
      <c r="P56" t="s">
        <v>27</v>
      </c>
      <c r="Q56" t="s">
        <v>70</v>
      </c>
    </row>
    <row r="57" spans="1:17" x14ac:dyDescent="0.55000000000000004">
      <c r="A57" t="s">
        <v>66</v>
      </c>
      <c r="B57" t="s">
        <v>18</v>
      </c>
      <c r="C57" s="1">
        <v>41061.53765046296</v>
      </c>
      <c r="D57" t="s">
        <v>67</v>
      </c>
      <c r="E57" t="s">
        <v>56</v>
      </c>
      <c r="F57" s="64" t="s">
        <v>68</v>
      </c>
      <c r="G57" s="2">
        <v>1342888</v>
      </c>
      <c r="H57" s="65">
        <v>5971493</v>
      </c>
      <c r="I57" s="64" t="s">
        <v>34</v>
      </c>
      <c r="J57" t="s">
        <v>38</v>
      </c>
      <c r="K57" t="s">
        <v>24</v>
      </c>
      <c r="L57" s="1">
        <v>41054.916134259256</v>
      </c>
      <c r="N57" t="s">
        <v>69</v>
      </c>
      <c r="O57" t="s">
        <v>26</v>
      </c>
      <c r="P57" t="s">
        <v>27</v>
      </c>
      <c r="Q57" t="s">
        <v>70</v>
      </c>
    </row>
    <row r="58" spans="1:17" x14ac:dyDescent="0.55000000000000004">
      <c r="A58" t="s">
        <v>66</v>
      </c>
      <c r="B58" t="s">
        <v>18</v>
      </c>
      <c r="C58" s="1">
        <v>41061.53765046296</v>
      </c>
      <c r="D58" t="s">
        <v>67</v>
      </c>
      <c r="E58" t="s">
        <v>56</v>
      </c>
      <c r="F58" s="64" t="s">
        <v>68</v>
      </c>
      <c r="G58" s="2">
        <v>1342888</v>
      </c>
      <c r="H58" s="65">
        <v>5971493</v>
      </c>
      <c r="I58" s="64" t="s">
        <v>34</v>
      </c>
      <c r="J58" t="s">
        <v>39</v>
      </c>
      <c r="K58" t="s">
        <v>24</v>
      </c>
      <c r="L58" s="1">
        <v>41046.608495370368</v>
      </c>
      <c r="N58" t="s">
        <v>69</v>
      </c>
      <c r="O58" t="s">
        <v>26</v>
      </c>
      <c r="P58" t="s">
        <v>27</v>
      </c>
      <c r="Q58" t="s">
        <v>70</v>
      </c>
    </row>
    <row r="59" spans="1:17" x14ac:dyDescent="0.55000000000000004">
      <c r="A59" t="s">
        <v>66</v>
      </c>
      <c r="B59" t="s">
        <v>18</v>
      </c>
      <c r="C59" s="1">
        <v>41061.53765046296</v>
      </c>
      <c r="D59" t="s">
        <v>67</v>
      </c>
      <c r="E59" t="s">
        <v>56</v>
      </c>
      <c r="F59" s="64" t="s">
        <v>68</v>
      </c>
      <c r="G59" s="2">
        <v>1342888</v>
      </c>
      <c r="H59" s="65">
        <v>5971493</v>
      </c>
      <c r="I59" s="64" t="s">
        <v>34</v>
      </c>
      <c r="J59" t="s">
        <v>43</v>
      </c>
      <c r="K59" t="s">
        <v>24</v>
      </c>
      <c r="L59" s="1">
        <v>41046.404641203706</v>
      </c>
      <c r="N59" t="s">
        <v>69</v>
      </c>
      <c r="O59" t="s">
        <v>26</v>
      </c>
      <c r="P59" t="s">
        <v>27</v>
      </c>
      <c r="Q59" t="s">
        <v>70</v>
      </c>
    </row>
    <row r="60" spans="1:17" x14ac:dyDescent="0.55000000000000004">
      <c r="A60" t="s">
        <v>66</v>
      </c>
      <c r="B60" t="s">
        <v>18</v>
      </c>
      <c r="C60" s="1">
        <v>41061.53765046296</v>
      </c>
      <c r="D60" t="s">
        <v>67</v>
      </c>
      <c r="E60" t="s">
        <v>56</v>
      </c>
      <c r="F60" s="64" t="s">
        <v>68</v>
      </c>
      <c r="G60" s="2">
        <v>1342888</v>
      </c>
      <c r="H60" s="65">
        <v>5971493</v>
      </c>
      <c r="I60" s="64" t="s">
        <v>34</v>
      </c>
      <c r="J60" t="s">
        <v>61</v>
      </c>
      <c r="K60" t="s">
        <v>24</v>
      </c>
      <c r="L60" s="1">
        <v>41045.924224537041</v>
      </c>
      <c r="N60" t="s">
        <v>69</v>
      </c>
      <c r="O60" t="s">
        <v>26</v>
      </c>
      <c r="P60" t="s">
        <v>27</v>
      </c>
      <c r="Q60" t="s">
        <v>70</v>
      </c>
    </row>
    <row r="61" spans="1:17" x14ac:dyDescent="0.55000000000000004">
      <c r="A61" t="s">
        <v>66</v>
      </c>
      <c r="B61" t="s">
        <v>18</v>
      </c>
      <c r="C61" s="1">
        <v>41061.53765046296</v>
      </c>
      <c r="D61" t="s">
        <v>67</v>
      </c>
      <c r="E61" t="s">
        <v>56</v>
      </c>
      <c r="F61" s="64" t="s">
        <v>68</v>
      </c>
      <c r="G61" s="2">
        <v>1342888</v>
      </c>
      <c r="H61" s="65">
        <v>5971493</v>
      </c>
      <c r="I61" s="64" t="s">
        <v>51</v>
      </c>
      <c r="J61" t="s">
        <v>52</v>
      </c>
      <c r="K61" t="s">
        <v>53</v>
      </c>
      <c r="N61" t="s">
        <v>69</v>
      </c>
      <c r="O61" t="s">
        <v>26</v>
      </c>
      <c r="P61" t="s">
        <v>27</v>
      </c>
      <c r="Q61" t="s">
        <v>70</v>
      </c>
    </row>
    <row r="62" spans="1:17" x14ac:dyDescent="0.55000000000000004">
      <c r="A62" t="s">
        <v>72</v>
      </c>
      <c r="B62" t="s">
        <v>18</v>
      </c>
      <c r="C62" s="1">
        <v>41061.535868055558</v>
      </c>
      <c r="D62" t="s">
        <v>73</v>
      </c>
      <c r="E62" t="s">
        <v>56</v>
      </c>
      <c r="F62" s="64" t="s">
        <v>74</v>
      </c>
      <c r="G62" s="2">
        <v>356717</v>
      </c>
      <c r="H62" s="65">
        <v>18893786</v>
      </c>
      <c r="I62" s="64" t="s">
        <v>34</v>
      </c>
      <c r="J62" t="s">
        <v>39</v>
      </c>
      <c r="K62" t="s">
        <v>24</v>
      </c>
      <c r="L62" s="1">
        <v>41058.532013888886</v>
      </c>
      <c r="N62" t="s">
        <v>75</v>
      </c>
      <c r="O62" t="s">
        <v>26</v>
      </c>
      <c r="P62" t="s">
        <v>27</v>
      </c>
      <c r="Q62" t="s">
        <v>70</v>
      </c>
    </row>
    <row r="63" spans="1:17" x14ac:dyDescent="0.55000000000000004">
      <c r="A63" t="s">
        <v>72</v>
      </c>
      <c r="B63" t="s">
        <v>18</v>
      </c>
      <c r="C63" s="1">
        <v>41061.535868055558</v>
      </c>
      <c r="D63" t="s">
        <v>73</v>
      </c>
      <c r="E63" t="s">
        <v>56</v>
      </c>
      <c r="F63" s="64" t="s">
        <v>74</v>
      </c>
      <c r="G63" s="2">
        <v>356717</v>
      </c>
      <c r="H63" s="65">
        <v>18893786</v>
      </c>
      <c r="I63" s="64" t="s">
        <v>34</v>
      </c>
      <c r="J63" t="s">
        <v>42</v>
      </c>
      <c r="K63" t="s">
        <v>24</v>
      </c>
      <c r="L63" s="1">
        <v>41058.56417824074</v>
      </c>
      <c r="N63" t="s">
        <v>75</v>
      </c>
      <c r="O63" t="s">
        <v>26</v>
      </c>
      <c r="P63" t="s">
        <v>27</v>
      </c>
      <c r="Q63" t="s">
        <v>70</v>
      </c>
    </row>
    <row r="64" spans="1:17" x14ac:dyDescent="0.55000000000000004">
      <c r="A64" t="s">
        <v>72</v>
      </c>
      <c r="B64" t="s">
        <v>18</v>
      </c>
      <c r="C64" s="1">
        <v>41061.535868055558</v>
      </c>
      <c r="D64" t="s">
        <v>73</v>
      </c>
      <c r="E64" t="s">
        <v>56</v>
      </c>
      <c r="F64" s="64" t="s">
        <v>74</v>
      </c>
      <c r="G64" s="2">
        <v>356717</v>
      </c>
      <c r="H64" s="65">
        <v>18893786</v>
      </c>
      <c r="I64" s="64" t="s">
        <v>34</v>
      </c>
      <c r="J64" t="s">
        <v>64</v>
      </c>
      <c r="K64" t="s">
        <v>24</v>
      </c>
      <c r="L64" s="1">
        <v>41058.609606481485</v>
      </c>
      <c r="N64" t="s">
        <v>75</v>
      </c>
      <c r="O64" t="s">
        <v>26</v>
      </c>
      <c r="P64" t="s">
        <v>27</v>
      </c>
      <c r="Q64" t="s">
        <v>70</v>
      </c>
    </row>
    <row r="65" spans="1:17" x14ac:dyDescent="0.55000000000000004">
      <c r="A65" t="s">
        <v>72</v>
      </c>
      <c r="B65" t="s">
        <v>18</v>
      </c>
      <c r="C65" s="1">
        <v>41061.535868055558</v>
      </c>
      <c r="D65" t="s">
        <v>73</v>
      </c>
      <c r="E65" t="s">
        <v>56</v>
      </c>
      <c r="F65" s="64" t="s">
        <v>74</v>
      </c>
      <c r="G65" s="2">
        <v>356717</v>
      </c>
      <c r="H65" s="65">
        <v>18893786</v>
      </c>
      <c r="I65" s="64" t="s">
        <v>34</v>
      </c>
      <c r="J65" t="s">
        <v>63</v>
      </c>
      <c r="K65" t="s">
        <v>24</v>
      </c>
      <c r="L65" s="1">
        <v>41061.077847222223</v>
      </c>
      <c r="N65" t="s">
        <v>75</v>
      </c>
      <c r="O65" t="s">
        <v>26</v>
      </c>
      <c r="P65" t="s">
        <v>27</v>
      </c>
      <c r="Q65" t="s">
        <v>70</v>
      </c>
    </row>
    <row r="66" spans="1:17" x14ac:dyDescent="0.55000000000000004">
      <c r="A66" t="s">
        <v>72</v>
      </c>
      <c r="B66" t="s">
        <v>18</v>
      </c>
      <c r="C66" s="1">
        <v>41061.535868055558</v>
      </c>
      <c r="D66" t="s">
        <v>73</v>
      </c>
      <c r="E66" t="s">
        <v>56</v>
      </c>
      <c r="F66" s="64" t="s">
        <v>74</v>
      </c>
      <c r="G66" s="2">
        <v>356717</v>
      </c>
      <c r="H66" s="65">
        <v>18893786</v>
      </c>
      <c r="I66" s="64" t="s">
        <v>34</v>
      </c>
      <c r="J66" t="s">
        <v>43</v>
      </c>
      <c r="K66" t="s">
        <v>24</v>
      </c>
      <c r="L66" s="1">
        <v>41054.721932870372</v>
      </c>
      <c r="N66" t="s">
        <v>75</v>
      </c>
      <c r="O66" t="s">
        <v>26</v>
      </c>
      <c r="P66" t="s">
        <v>27</v>
      </c>
      <c r="Q66" t="s">
        <v>70</v>
      </c>
    </row>
    <row r="67" spans="1:17" x14ac:dyDescent="0.55000000000000004">
      <c r="A67" t="s">
        <v>72</v>
      </c>
      <c r="B67" t="s">
        <v>18</v>
      </c>
      <c r="C67" s="1">
        <v>41061.535868055558</v>
      </c>
      <c r="D67" t="s">
        <v>73</v>
      </c>
      <c r="E67" t="s">
        <v>56</v>
      </c>
      <c r="F67" s="64" t="s">
        <v>74</v>
      </c>
      <c r="G67" s="2">
        <v>356717</v>
      </c>
      <c r="H67" s="65">
        <v>18893786</v>
      </c>
      <c r="I67" s="64" t="s">
        <v>34</v>
      </c>
      <c r="J67" t="s">
        <v>37</v>
      </c>
      <c r="K67" t="s">
        <v>24</v>
      </c>
      <c r="L67" s="1">
        <v>41054.694467592592</v>
      </c>
      <c r="N67" t="s">
        <v>75</v>
      </c>
      <c r="O67" t="s">
        <v>26</v>
      </c>
      <c r="P67" t="s">
        <v>27</v>
      </c>
      <c r="Q67" t="s">
        <v>70</v>
      </c>
    </row>
    <row r="68" spans="1:17" x14ac:dyDescent="0.55000000000000004">
      <c r="A68" t="s">
        <v>72</v>
      </c>
      <c r="B68" t="s">
        <v>18</v>
      </c>
      <c r="C68" s="1">
        <v>41061.535868055558</v>
      </c>
      <c r="D68" t="s">
        <v>73</v>
      </c>
      <c r="E68" t="s">
        <v>56</v>
      </c>
      <c r="F68" s="64" t="s">
        <v>74</v>
      </c>
      <c r="G68" s="2">
        <v>356717</v>
      </c>
      <c r="H68" s="65">
        <v>18893786</v>
      </c>
      <c r="I68" s="64" t="s">
        <v>34</v>
      </c>
      <c r="J68" t="s">
        <v>61</v>
      </c>
      <c r="K68" t="s">
        <v>24</v>
      </c>
      <c r="L68" s="1">
        <v>41054.745810185188</v>
      </c>
      <c r="N68" t="s">
        <v>75</v>
      </c>
      <c r="O68" t="s">
        <v>26</v>
      </c>
      <c r="P68" t="s">
        <v>27</v>
      </c>
      <c r="Q68" t="s">
        <v>70</v>
      </c>
    </row>
    <row r="69" spans="1:17" x14ac:dyDescent="0.55000000000000004">
      <c r="A69" t="s">
        <v>72</v>
      </c>
      <c r="B69" t="s">
        <v>18</v>
      </c>
      <c r="C69" s="1">
        <v>41061.535868055558</v>
      </c>
      <c r="D69" t="s">
        <v>73</v>
      </c>
      <c r="E69" t="s">
        <v>56</v>
      </c>
      <c r="F69" s="64" t="s">
        <v>74</v>
      </c>
      <c r="G69" s="2">
        <v>356717</v>
      </c>
      <c r="H69" s="65">
        <v>18893786</v>
      </c>
      <c r="I69" s="64" t="s">
        <v>34</v>
      </c>
      <c r="J69" t="s">
        <v>35</v>
      </c>
      <c r="K69" t="s">
        <v>24</v>
      </c>
      <c r="L69" s="1">
        <v>41054.679155092592</v>
      </c>
      <c r="N69" t="s">
        <v>75</v>
      </c>
      <c r="O69" t="s">
        <v>26</v>
      </c>
      <c r="P69" t="s">
        <v>27</v>
      </c>
      <c r="Q69" t="s">
        <v>70</v>
      </c>
    </row>
    <row r="70" spans="1:17" x14ac:dyDescent="0.55000000000000004">
      <c r="A70" t="s">
        <v>72</v>
      </c>
      <c r="B70" t="s">
        <v>18</v>
      </c>
      <c r="C70" s="1">
        <v>41061.535868055558</v>
      </c>
      <c r="D70" t="s">
        <v>73</v>
      </c>
      <c r="E70" t="s">
        <v>56</v>
      </c>
      <c r="F70" s="64" t="s">
        <v>74</v>
      </c>
      <c r="G70" s="2">
        <v>356717</v>
      </c>
      <c r="H70" s="65">
        <v>18893786</v>
      </c>
      <c r="I70" s="64" t="s">
        <v>34</v>
      </c>
      <c r="J70" t="s">
        <v>38</v>
      </c>
      <c r="K70" t="s">
        <v>24</v>
      </c>
      <c r="L70" s="1">
        <v>41054.889282407406</v>
      </c>
      <c r="N70" t="s">
        <v>75</v>
      </c>
      <c r="O70" t="s">
        <v>26</v>
      </c>
      <c r="P70" t="s">
        <v>27</v>
      </c>
      <c r="Q70" t="s">
        <v>70</v>
      </c>
    </row>
    <row r="71" spans="1:17" x14ac:dyDescent="0.55000000000000004">
      <c r="A71" t="s">
        <v>72</v>
      </c>
      <c r="B71" t="s">
        <v>18</v>
      </c>
      <c r="C71" s="1">
        <v>41061.535868055558</v>
      </c>
      <c r="D71" t="s">
        <v>73</v>
      </c>
      <c r="E71" t="s">
        <v>56</v>
      </c>
      <c r="F71" s="64" t="s">
        <v>74</v>
      </c>
      <c r="G71" s="2">
        <v>356717</v>
      </c>
      <c r="H71" s="65">
        <v>18893786</v>
      </c>
      <c r="I71" s="64" t="s">
        <v>34</v>
      </c>
      <c r="J71" t="s">
        <v>36</v>
      </c>
      <c r="K71" t="s">
        <v>24</v>
      </c>
      <c r="L71" s="1">
        <v>41058.489363425928</v>
      </c>
      <c r="N71" t="s">
        <v>75</v>
      </c>
      <c r="O71" t="s">
        <v>26</v>
      </c>
      <c r="P71" t="s">
        <v>27</v>
      </c>
      <c r="Q71" t="s">
        <v>70</v>
      </c>
    </row>
    <row r="72" spans="1:17" x14ac:dyDescent="0.55000000000000004">
      <c r="A72" t="s">
        <v>72</v>
      </c>
      <c r="B72" t="s">
        <v>18</v>
      </c>
      <c r="C72" s="1">
        <v>41061.535868055558</v>
      </c>
      <c r="D72" t="s">
        <v>73</v>
      </c>
      <c r="E72" t="s">
        <v>56</v>
      </c>
      <c r="F72" s="64" t="s">
        <v>74</v>
      </c>
      <c r="G72" s="2">
        <v>356717</v>
      </c>
      <c r="H72" s="65">
        <v>18893786</v>
      </c>
      <c r="I72" s="64" t="s">
        <v>51</v>
      </c>
      <c r="J72" t="s">
        <v>52</v>
      </c>
      <c r="K72" t="s">
        <v>53</v>
      </c>
      <c r="N72" t="s">
        <v>75</v>
      </c>
      <c r="O72" t="s">
        <v>26</v>
      </c>
      <c r="P72" t="s">
        <v>27</v>
      </c>
      <c r="Q72" t="s">
        <v>70</v>
      </c>
    </row>
  </sheetData>
  <autoFilter ref="A1:Q72" xr:uid="{00000000-0009-0000-0000-000001000000}"/>
  <sortState ref="A2:Q72">
    <sortCondition ref="D2:D72"/>
    <sortCondition ref="K2:K7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40"/>
  <sheetViews>
    <sheetView workbookViewId="0">
      <selection activeCell="G23" sqref="G23"/>
    </sheetView>
  </sheetViews>
  <sheetFormatPr defaultRowHeight="14.4" x14ac:dyDescent="0.55000000000000004"/>
  <cols>
    <col min="1" max="1" width="38" bestFit="1" customWidth="1"/>
    <col min="2" max="2" width="9.68359375" bestFit="1" customWidth="1"/>
    <col min="3" max="3" width="11" style="5" bestFit="1" customWidth="1"/>
    <col min="4" max="4" width="12.15625" bestFit="1" customWidth="1"/>
    <col min="5" max="5" width="15.68359375" bestFit="1" customWidth="1"/>
    <col min="6" max="6" width="16.578125" style="6" bestFit="1" customWidth="1"/>
    <col min="7" max="7" width="18" style="6" bestFit="1" customWidth="1"/>
    <col min="8" max="8" width="56" bestFit="1" customWidth="1"/>
  </cols>
  <sheetData>
    <row r="1" spans="1:8" x14ac:dyDescent="0.55000000000000004">
      <c r="A1" t="s">
        <v>0</v>
      </c>
      <c r="B1" t="s">
        <v>1</v>
      </c>
      <c r="C1" s="5" t="s">
        <v>2</v>
      </c>
      <c r="D1" t="s">
        <v>230</v>
      </c>
      <c r="E1" t="s">
        <v>4</v>
      </c>
      <c r="F1" s="6" t="s">
        <v>7</v>
      </c>
      <c r="G1" s="6" t="s">
        <v>229</v>
      </c>
      <c r="H1" t="s">
        <v>228</v>
      </c>
    </row>
    <row r="2" spans="1:8" x14ac:dyDescent="0.55000000000000004">
      <c r="A2" t="s">
        <v>227</v>
      </c>
      <c r="B2" t="s">
        <v>103</v>
      </c>
      <c r="C2" s="5">
        <v>40949.59097222222</v>
      </c>
      <c r="D2" t="s">
        <v>226</v>
      </c>
      <c r="E2" t="s">
        <v>20</v>
      </c>
      <c r="F2" s="6">
        <v>303711</v>
      </c>
      <c r="G2" s="6">
        <v>1075</v>
      </c>
      <c r="H2" t="s">
        <v>225</v>
      </c>
    </row>
    <row r="3" spans="1:8" x14ac:dyDescent="0.55000000000000004">
      <c r="A3" t="s">
        <v>224</v>
      </c>
      <c r="B3" t="s">
        <v>103</v>
      </c>
      <c r="C3" s="5">
        <v>40952.873611111114</v>
      </c>
      <c r="D3" t="s">
        <v>223</v>
      </c>
      <c r="E3" t="s">
        <v>20</v>
      </c>
      <c r="F3" s="6">
        <v>432038</v>
      </c>
      <c r="G3" s="6">
        <v>22233</v>
      </c>
      <c r="H3" t="s">
        <v>222</v>
      </c>
    </row>
    <row r="4" spans="1:8" x14ac:dyDescent="0.55000000000000004">
      <c r="A4" t="s">
        <v>221</v>
      </c>
      <c r="B4" t="s">
        <v>103</v>
      </c>
      <c r="C4" s="5">
        <v>41002.85</v>
      </c>
      <c r="D4" t="s">
        <v>220</v>
      </c>
      <c r="F4" s="6">
        <v>221270</v>
      </c>
      <c r="G4" s="6">
        <v>214729</v>
      </c>
      <c r="H4" t="s">
        <v>219</v>
      </c>
    </row>
    <row r="5" spans="1:8" x14ac:dyDescent="0.55000000000000004">
      <c r="A5" t="s">
        <v>218</v>
      </c>
      <c r="B5" t="s">
        <v>103</v>
      </c>
      <c r="C5" s="5">
        <v>40896.71597222222</v>
      </c>
      <c r="D5" t="s">
        <v>217</v>
      </c>
      <c r="E5" t="s">
        <v>20</v>
      </c>
      <c r="F5" s="6">
        <v>187200</v>
      </c>
      <c r="G5" s="6">
        <v>93600</v>
      </c>
      <c r="H5" t="s">
        <v>216</v>
      </c>
    </row>
    <row r="6" spans="1:8" x14ac:dyDescent="0.55000000000000004">
      <c r="A6" t="s">
        <v>215</v>
      </c>
      <c r="B6" t="s">
        <v>103</v>
      </c>
      <c r="C6" s="5">
        <v>40987.537499999999</v>
      </c>
      <c r="D6" t="s">
        <v>214</v>
      </c>
      <c r="E6" t="s">
        <v>20</v>
      </c>
      <c r="F6" s="6">
        <v>888900</v>
      </c>
      <c r="G6" s="6">
        <v>882900</v>
      </c>
      <c r="H6" t="s">
        <v>213</v>
      </c>
    </row>
    <row r="7" spans="1:8" x14ac:dyDescent="0.55000000000000004">
      <c r="A7" t="s">
        <v>212</v>
      </c>
      <c r="B7" t="s">
        <v>103</v>
      </c>
      <c r="C7" s="5">
        <v>40990.872916666667</v>
      </c>
      <c r="D7" t="s">
        <v>211</v>
      </c>
      <c r="E7" t="s">
        <v>20</v>
      </c>
      <c r="F7" s="6">
        <v>1153182</v>
      </c>
      <c r="G7" s="6">
        <v>666112</v>
      </c>
      <c r="H7" t="s">
        <v>210</v>
      </c>
    </row>
    <row r="8" spans="1:8" x14ac:dyDescent="0.55000000000000004">
      <c r="A8" t="s">
        <v>209</v>
      </c>
      <c r="B8" t="s">
        <v>103</v>
      </c>
      <c r="C8" s="5">
        <v>41044.792361111111</v>
      </c>
      <c r="D8" t="s">
        <v>208</v>
      </c>
      <c r="E8" t="s">
        <v>20</v>
      </c>
      <c r="F8" s="6">
        <v>283800</v>
      </c>
      <c r="G8" s="6">
        <v>283800</v>
      </c>
      <c r="H8" t="s">
        <v>207</v>
      </c>
    </row>
    <row r="9" spans="1:8" x14ac:dyDescent="0.55000000000000004">
      <c r="A9" t="s">
        <v>206</v>
      </c>
      <c r="B9" t="s">
        <v>103</v>
      </c>
      <c r="C9" s="5">
        <v>40862.698611111111</v>
      </c>
      <c r="D9" t="s">
        <v>205</v>
      </c>
      <c r="E9" t="s">
        <v>20</v>
      </c>
      <c r="F9" s="6">
        <v>550000</v>
      </c>
      <c r="G9" s="6">
        <v>550000</v>
      </c>
      <c r="H9" t="s">
        <v>204</v>
      </c>
    </row>
    <row r="10" spans="1:8" x14ac:dyDescent="0.55000000000000004">
      <c r="A10" t="s">
        <v>203</v>
      </c>
      <c r="B10" t="s">
        <v>103</v>
      </c>
      <c r="C10" s="5">
        <v>40891.829861111109</v>
      </c>
      <c r="D10" t="s">
        <v>202</v>
      </c>
      <c r="E10" t="s">
        <v>20</v>
      </c>
      <c r="F10" s="6">
        <v>234000</v>
      </c>
      <c r="G10" s="6">
        <v>117000</v>
      </c>
      <c r="H10" t="s">
        <v>201</v>
      </c>
    </row>
    <row r="11" spans="1:8" x14ac:dyDescent="0.55000000000000004">
      <c r="A11" t="s">
        <v>200</v>
      </c>
      <c r="B11" t="s">
        <v>103</v>
      </c>
      <c r="C11" s="5">
        <v>40952.854166666664</v>
      </c>
      <c r="D11" t="s">
        <v>19</v>
      </c>
      <c r="E11" t="s">
        <v>20</v>
      </c>
      <c r="F11" s="6">
        <v>248160</v>
      </c>
      <c r="G11" s="6">
        <v>220220</v>
      </c>
      <c r="H11" t="s">
        <v>199</v>
      </c>
    </row>
    <row r="12" spans="1:8" x14ac:dyDescent="0.55000000000000004">
      <c r="A12" t="s">
        <v>198</v>
      </c>
      <c r="B12" t="s">
        <v>103</v>
      </c>
      <c r="C12" s="5">
        <v>41008.536111111112</v>
      </c>
      <c r="D12" t="s">
        <v>197</v>
      </c>
      <c r="E12" t="s">
        <v>20</v>
      </c>
      <c r="F12" s="6">
        <v>767268</v>
      </c>
      <c r="G12" s="6">
        <v>348438</v>
      </c>
      <c r="H12" t="s">
        <v>196</v>
      </c>
    </row>
    <row r="13" spans="1:8" x14ac:dyDescent="0.55000000000000004">
      <c r="A13" t="s">
        <v>195</v>
      </c>
      <c r="B13" t="s">
        <v>103</v>
      </c>
      <c r="C13" s="5">
        <v>41052.775694444441</v>
      </c>
      <c r="D13" t="s">
        <v>194</v>
      </c>
      <c r="E13" t="s">
        <v>56</v>
      </c>
      <c r="F13" s="6">
        <v>693446</v>
      </c>
      <c r="G13" s="6">
        <v>457414</v>
      </c>
      <c r="H13" t="s">
        <v>193</v>
      </c>
    </row>
    <row r="14" spans="1:8" x14ac:dyDescent="0.55000000000000004">
      <c r="A14" t="s">
        <v>192</v>
      </c>
      <c r="B14" t="s">
        <v>103</v>
      </c>
      <c r="C14" s="5">
        <v>40928.652777777781</v>
      </c>
      <c r="D14" t="s">
        <v>191</v>
      </c>
      <c r="E14" t="s">
        <v>20</v>
      </c>
      <c r="F14" s="6">
        <v>341356</v>
      </c>
      <c r="G14" s="6">
        <v>28478</v>
      </c>
      <c r="H14" t="s">
        <v>190</v>
      </c>
    </row>
    <row r="15" spans="1:8" x14ac:dyDescent="0.55000000000000004">
      <c r="A15" t="s">
        <v>189</v>
      </c>
      <c r="B15" t="s">
        <v>103</v>
      </c>
      <c r="C15" s="5">
        <v>40983.852777777778</v>
      </c>
      <c r="D15" t="s">
        <v>188</v>
      </c>
      <c r="E15" t="s">
        <v>187</v>
      </c>
      <c r="F15" s="6">
        <v>929650</v>
      </c>
      <c r="G15" s="6">
        <v>45650</v>
      </c>
      <c r="H15" t="s">
        <v>186</v>
      </c>
    </row>
    <row r="16" spans="1:8" x14ac:dyDescent="0.55000000000000004">
      <c r="A16" t="s">
        <v>185</v>
      </c>
      <c r="B16" t="s">
        <v>103</v>
      </c>
      <c r="C16" s="5">
        <v>41001.885416666664</v>
      </c>
      <c r="D16" t="s">
        <v>184</v>
      </c>
      <c r="E16" t="s">
        <v>56</v>
      </c>
      <c r="F16" s="6">
        <v>124406</v>
      </c>
      <c r="G16" s="6">
        <v>119906</v>
      </c>
      <c r="H16" t="s">
        <v>183</v>
      </c>
    </row>
    <row r="17" spans="1:8" x14ac:dyDescent="0.55000000000000004">
      <c r="A17" t="s">
        <v>182</v>
      </c>
      <c r="B17" t="s">
        <v>103</v>
      </c>
      <c r="C17" s="5">
        <v>40952.925694444442</v>
      </c>
      <c r="D17" t="s">
        <v>181</v>
      </c>
      <c r="E17" t="s">
        <v>20</v>
      </c>
      <c r="F17" s="6">
        <v>281011</v>
      </c>
      <c r="G17" s="6">
        <v>224698</v>
      </c>
      <c r="H17" t="s">
        <v>180</v>
      </c>
    </row>
    <row r="18" spans="1:8" x14ac:dyDescent="0.55000000000000004">
      <c r="A18" t="s">
        <v>179</v>
      </c>
      <c r="B18" t="s">
        <v>103</v>
      </c>
      <c r="C18" s="5">
        <v>40927.587500000001</v>
      </c>
      <c r="D18" t="s">
        <v>178</v>
      </c>
      <c r="E18" t="s">
        <v>20</v>
      </c>
      <c r="F18" s="6">
        <v>946095</v>
      </c>
      <c r="G18" s="6">
        <v>201240</v>
      </c>
      <c r="H18" t="s">
        <v>177</v>
      </c>
    </row>
    <row r="19" spans="1:8" x14ac:dyDescent="0.55000000000000004">
      <c r="A19" t="s">
        <v>176</v>
      </c>
      <c r="B19" t="s">
        <v>103</v>
      </c>
      <c r="C19" s="5">
        <v>40859.945138888892</v>
      </c>
      <c r="D19" t="s">
        <v>175</v>
      </c>
      <c r="E19" t="s">
        <v>110</v>
      </c>
      <c r="F19" s="6">
        <v>1600599</v>
      </c>
      <c r="G19" s="6">
        <v>1600599</v>
      </c>
      <c r="H19" t="s">
        <v>174</v>
      </c>
    </row>
    <row r="20" spans="1:8" x14ac:dyDescent="0.55000000000000004">
      <c r="A20" t="s">
        <v>173</v>
      </c>
      <c r="B20" t="s">
        <v>103</v>
      </c>
      <c r="C20" s="5">
        <v>40897.790277777778</v>
      </c>
      <c r="D20" t="s">
        <v>172</v>
      </c>
      <c r="E20" t="s">
        <v>171</v>
      </c>
      <c r="F20" s="6">
        <v>134350</v>
      </c>
      <c r="G20" s="6">
        <v>119350</v>
      </c>
      <c r="H20" t="s">
        <v>170</v>
      </c>
    </row>
    <row r="21" spans="1:8" x14ac:dyDescent="0.55000000000000004">
      <c r="A21" t="s">
        <v>169</v>
      </c>
      <c r="B21" t="s">
        <v>103</v>
      </c>
      <c r="C21" s="5">
        <v>40995.606944444444</v>
      </c>
      <c r="D21" t="s">
        <v>168</v>
      </c>
      <c r="E21" t="s">
        <v>20</v>
      </c>
      <c r="F21" s="6">
        <v>511200</v>
      </c>
      <c r="G21" s="6">
        <v>0</v>
      </c>
      <c r="H21" t="s">
        <v>167</v>
      </c>
    </row>
    <row r="22" spans="1:8" x14ac:dyDescent="0.55000000000000004">
      <c r="A22" t="s">
        <v>166</v>
      </c>
      <c r="B22" t="s">
        <v>103</v>
      </c>
      <c r="C22" s="5">
        <v>40889.575694444444</v>
      </c>
      <c r="D22" t="s">
        <v>165</v>
      </c>
      <c r="E22" t="s">
        <v>20</v>
      </c>
      <c r="F22" s="6">
        <v>338518</v>
      </c>
      <c r="G22" s="6">
        <v>36000</v>
      </c>
      <c r="H22" t="s">
        <v>164</v>
      </c>
    </row>
    <row r="23" spans="1:8" x14ac:dyDescent="0.55000000000000004">
      <c r="A23" t="s">
        <v>163</v>
      </c>
      <c r="B23" t="s">
        <v>103</v>
      </c>
      <c r="C23" s="5">
        <v>40932.573611111111</v>
      </c>
      <c r="D23" t="s">
        <v>162</v>
      </c>
      <c r="E23" t="s">
        <v>20</v>
      </c>
      <c r="F23" s="6">
        <v>756642</v>
      </c>
      <c r="G23" s="6">
        <v>173412</v>
      </c>
      <c r="H23" t="s">
        <v>161</v>
      </c>
    </row>
    <row r="24" spans="1:8" x14ac:dyDescent="0.55000000000000004">
      <c r="A24" t="s">
        <v>160</v>
      </c>
      <c r="B24" t="s">
        <v>103</v>
      </c>
      <c r="C24" s="5">
        <v>40994.76458333333</v>
      </c>
      <c r="D24" t="s">
        <v>159</v>
      </c>
      <c r="E24" t="s">
        <v>20</v>
      </c>
      <c r="F24" s="6">
        <v>865906</v>
      </c>
      <c r="G24" s="6">
        <v>604803</v>
      </c>
      <c r="H24" t="s">
        <v>158</v>
      </c>
    </row>
    <row r="25" spans="1:8" x14ac:dyDescent="0.55000000000000004">
      <c r="A25" t="s">
        <v>157</v>
      </c>
      <c r="B25" t="s">
        <v>103</v>
      </c>
      <c r="C25" s="5">
        <v>40962.649305555555</v>
      </c>
      <c r="D25" t="s">
        <v>156</v>
      </c>
      <c r="E25" t="s">
        <v>20</v>
      </c>
      <c r="F25" s="6">
        <v>286268</v>
      </c>
      <c r="G25" s="6">
        <v>213358</v>
      </c>
      <c r="H25" t="s">
        <v>155</v>
      </c>
    </row>
    <row r="26" spans="1:8" x14ac:dyDescent="0.55000000000000004">
      <c r="A26" t="s">
        <v>154</v>
      </c>
      <c r="B26" t="s">
        <v>103</v>
      </c>
      <c r="C26" s="5">
        <v>40990.868750000001</v>
      </c>
      <c r="D26" t="s">
        <v>153</v>
      </c>
      <c r="E26" t="s">
        <v>20</v>
      </c>
      <c r="F26" s="6">
        <v>779130</v>
      </c>
      <c r="G26" s="6">
        <v>669460</v>
      </c>
      <c r="H26" t="s">
        <v>152</v>
      </c>
    </row>
    <row r="27" spans="1:8" x14ac:dyDescent="0.55000000000000004">
      <c r="A27" t="s">
        <v>151</v>
      </c>
      <c r="B27" t="s">
        <v>103</v>
      </c>
      <c r="C27" s="5">
        <v>40969.691666666666</v>
      </c>
      <c r="D27" t="s">
        <v>150</v>
      </c>
      <c r="E27" t="s">
        <v>20</v>
      </c>
      <c r="F27" s="6">
        <v>204251</v>
      </c>
      <c r="G27" s="6">
        <v>196970</v>
      </c>
      <c r="H27" t="s">
        <v>149</v>
      </c>
    </row>
    <row r="28" spans="1:8" x14ac:dyDescent="0.55000000000000004">
      <c r="A28" t="s">
        <v>148</v>
      </c>
      <c r="B28" t="s">
        <v>103</v>
      </c>
      <c r="C28" s="5">
        <v>40960.689583333333</v>
      </c>
      <c r="D28" t="s">
        <v>147</v>
      </c>
      <c r="E28" t="s">
        <v>20</v>
      </c>
      <c r="F28" s="6">
        <v>442989</v>
      </c>
      <c r="G28" s="6">
        <v>11857</v>
      </c>
      <c r="H28" t="s">
        <v>146</v>
      </c>
    </row>
    <row r="29" spans="1:8" x14ac:dyDescent="0.55000000000000004">
      <c r="A29" t="s">
        <v>145</v>
      </c>
      <c r="B29" t="s">
        <v>103</v>
      </c>
      <c r="C29" s="5">
        <v>41052.779166666667</v>
      </c>
      <c r="D29" t="s">
        <v>144</v>
      </c>
      <c r="E29" t="s">
        <v>20</v>
      </c>
      <c r="F29" s="6">
        <v>681768</v>
      </c>
      <c r="G29" s="6">
        <v>664768</v>
      </c>
      <c r="H29" t="s">
        <v>143</v>
      </c>
    </row>
    <row r="30" spans="1:8" x14ac:dyDescent="0.55000000000000004">
      <c r="A30" t="s">
        <v>142</v>
      </c>
      <c r="B30" t="s">
        <v>103</v>
      </c>
      <c r="C30" s="5">
        <v>40954.829861111109</v>
      </c>
      <c r="D30" t="s">
        <v>86</v>
      </c>
      <c r="E30" t="s">
        <v>20</v>
      </c>
      <c r="F30" s="6">
        <v>712145</v>
      </c>
      <c r="G30" s="6">
        <v>2438</v>
      </c>
      <c r="H30" t="s">
        <v>141</v>
      </c>
    </row>
    <row r="31" spans="1:8" x14ac:dyDescent="0.55000000000000004">
      <c r="A31" t="s">
        <v>140</v>
      </c>
      <c r="B31" t="s">
        <v>103</v>
      </c>
      <c r="C31" s="5">
        <v>41059.737500000003</v>
      </c>
      <c r="D31" t="s">
        <v>139</v>
      </c>
      <c r="E31" t="s">
        <v>20</v>
      </c>
      <c r="F31" s="6">
        <v>1351106</v>
      </c>
      <c r="G31" s="6">
        <v>289834</v>
      </c>
      <c r="H31" t="s">
        <v>138</v>
      </c>
    </row>
    <row r="32" spans="1:8" x14ac:dyDescent="0.55000000000000004">
      <c r="A32" t="s">
        <v>137</v>
      </c>
      <c r="B32" t="s">
        <v>103</v>
      </c>
      <c r="C32" s="5">
        <v>40980.78402777778</v>
      </c>
      <c r="D32" t="s">
        <v>136</v>
      </c>
      <c r="E32" t="s">
        <v>20</v>
      </c>
      <c r="F32" s="6">
        <v>670818</v>
      </c>
      <c r="G32" s="6">
        <v>0</v>
      </c>
      <c r="H32" t="s">
        <v>135</v>
      </c>
    </row>
    <row r="33" spans="1:8" x14ac:dyDescent="0.55000000000000004">
      <c r="A33" t="s">
        <v>134</v>
      </c>
      <c r="B33" t="s">
        <v>103</v>
      </c>
      <c r="C33" s="5">
        <v>40868.824999999997</v>
      </c>
      <c r="D33" t="s">
        <v>133</v>
      </c>
      <c r="E33" t="s">
        <v>114</v>
      </c>
      <c r="F33" s="6">
        <v>788326</v>
      </c>
      <c r="G33" s="6">
        <v>181395</v>
      </c>
      <c r="H33" t="s">
        <v>132</v>
      </c>
    </row>
    <row r="34" spans="1:8" x14ac:dyDescent="0.55000000000000004">
      <c r="A34" t="s">
        <v>131</v>
      </c>
      <c r="B34" t="s">
        <v>103</v>
      </c>
      <c r="C34" s="5">
        <v>40948.806944444441</v>
      </c>
      <c r="D34" t="s">
        <v>130</v>
      </c>
      <c r="E34" t="s">
        <v>20</v>
      </c>
      <c r="F34" s="6">
        <v>409880</v>
      </c>
      <c r="G34" s="6">
        <v>94910</v>
      </c>
      <c r="H34" t="s">
        <v>129</v>
      </c>
    </row>
    <row r="35" spans="1:8" x14ac:dyDescent="0.55000000000000004">
      <c r="A35" t="s">
        <v>128</v>
      </c>
      <c r="B35" t="s">
        <v>103</v>
      </c>
      <c r="C35" s="5">
        <v>40946.582638888889</v>
      </c>
      <c r="D35" t="s">
        <v>118</v>
      </c>
      <c r="E35" t="s">
        <v>20</v>
      </c>
      <c r="F35" s="6">
        <v>644361</v>
      </c>
      <c r="G35" s="6">
        <v>26048</v>
      </c>
      <c r="H35" t="s">
        <v>127</v>
      </c>
    </row>
    <row r="36" spans="1:8" x14ac:dyDescent="0.55000000000000004">
      <c r="A36" t="s">
        <v>126</v>
      </c>
      <c r="B36" t="s">
        <v>103</v>
      </c>
      <c r="C36" s="5">
        <v>40956.584027777775</v>
      </c>
      <c r="D36" t="s">
        <v>125</v>
      </c>
      <c r="E36" t="s">
        <v>20</v>
      </c>
      <c r="F36" s="6">
        <v>3580101</v>
      </c>
      <c r="G36" s="6">
        <v>61717</v>
      </c>
      <c r="H36" t="s">
        <v>124</v>
      </c>
    </row>
    <row r="37" spans="1:8" x14ac:dyDescent="0.55000000000000004">
      <c r="A37" t="s">
        <v>123</v>
      </c>
      <c r="B37" t="s">
        <v>103</v>
      </c>
      <c r="C37" s="5">
        <v>40994.548611111109</v>
      </c>
      <c r="D37" t="s">
        <v>122</v>
      </c>
      <c r="E37" t="s">
        <v>121</v>
      </c>
      <c r="F37" s="6">
        <v>782030</v>
      </c>
      <c r="G37" s="6">
        <v>774030</v>
      </c>
      <c r="H37" t="s">
        <v>120</v>
      </c>
    </row>
    <row r="38" spans="1:8" x14ac:dyDescent="0.55000000000000004">
      <c r="A38" t="s">
        <v>119</v>
      </c>
      <c r="B38" t="s">
        <v>103</v>
      </c>
      <c r="C38" s="5">
        <v>40897.600694444445</v>
      </c>
      <c r="D38" t="s">
        <v>118</v>
      </c>
      <c r="E38" t="s">
        <v>20</v>
      </c>
      <c r="F38" s="6">
        <v>122510</v>
      </c>
      <c r="G38" s="6">
        <v>25000</v>
      </c>
      <c r="H38" t="s">
        <v>117</v>
      </c>
    </row>
    <row r="39" spans="1:8" x14ac:dyDescent="0.55000000000000004">
      <c r="A39" t="s">
        <v>116</v>
      </c>
      <c r="B39" t="s">
        <v>103</v>
      </c>
      <c r="C39" s="5">
        <v>41043.792361111111</v>
      </c>
      <c r="D39" t="s">
        <v>115</v>
      </c>
      <c r="E39" t="s">
        <v>114</v>
      </c>
      <c r="F39" s="6">
        <v>392386</v>
      </c>
      <c r="G39" s="6">
        <v>189223</v>
      </c>
      <c r="H39" t="s">
        <v>113</v>
      </c>
    </row>
    <row r="40" spans="1:8" x14ac:dyDescent="0.55000000000000004">
      <c r="A40" t="s">
        <v>112</v>
      </c>
      <c r="B40" t="s">
        <v>103</v>
      </c>
      <c r="C40" s="5">
        <v>40956.643750000003</v>
      </c>
      <c r="D40" t="s">
        <v>111</v>
      </c>
      <c r="E40" t="s">
        <v>110</v>
      </c>
      <c r="F40" s="6">
        <v>30120676</v>
      </c>
      <c r="G40" s="6">
        <v>30120676</v>
      </c>
      <c r="H40" t="s">
        <v>109</v>
      </c>
    </row>
  </sheetData>
  <autoFilter ref="A1:H4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44"/>
  <sheetViews>
    <sheetView workbookViewId="0">
      <selection activeCell="E10" sqref="E10"/>
    </sheetView>
  </sheetViews>
  <sheetFormatPr defaultRowHeight="14.4" x14ac:dyDescent="0.55000000000000004"/>
  <cols>
    <col min="1" max="1" width="27.41796875" bestFit="1" customWidth="1"/>
    <col min="2" max="2" width="19.68359375" bestFit="1" customWidth="1"/>
  </cols>
  <sheetData>
    <row r="1" spans="1:7" x14ac:dyDescent="0.55000000000000004">
      <c r="B1" s="24" t="s">
        <v>16</v>
      </c>
    </row>
    <row r="2" spans="1:7" x14ac:dyDescent="0.55000000000000004">
      <c r="B2" s="40" t="s">
        <v>76</v>
      </c>
      <c r="C2" s="40" t="s">
        <v>236</v>
      </c>
    </row>
    <row r="3" spans="1:7" x14ac:dyDescent="0.55000000000000004">
      <c r="A3" t="s">
        <v>26</v>
      </c>
      <c r="B3" s="31" t="s">
        <v>231</v>
      </c>
      <c r="C3" s="31">
        <v>500</v>
      </c>
    </row>
    <row r="4" spans="1:7" x14ac:dyDescent="0.55000000000000004">
      <c r="A4" t="s">
        <v>27</v>
      </c>
      <c r="B4" s="31" t="s">
        <v>77</v>
      </c>
      <c r="C4" s="31">
        <v>1000</v>
      </c>
      <c r="G4" t="s">
        <v>237</v>
      </c>
    </row>
    <row r="5" spans="1:7" x14ac:dyDescent="0.55000000000000004">
      <c r="A5" t="s">
        <v>70</v>
      </c>
      <c r="B5" s="31" t="s">
        <v>79</v>
      </c>
      <c r="C5" s="31">
        <v>1500</v>
      </c>
      <c r="E5" s="66"/>
      <c r="G5" t="s">
        <v>238</v>
      </c>
    </row>
    <row r="6" spans="1:7" x14ac:dyDescent="0.55000000000000004">
      <c r="A6" t="s">
        <v>233</v>
      </c>
      <c r="B6" s="31" t="s">
        <v>78</v>
      </c>
      <c r="C6" s="31">
        <v>2000</v>
      </c>
      <c r="E6" s="66"/>
      <c r="F6" s="66"/>
      <c r="G6" s="43" t="s">
        <v>231</v>
      </c>
    </row>
    <row r="7" spans="1:7" x14ac:dyDescent="0.55000000000000004">
      <c r="A7" t="s">
        <v>234</v>
      </c>
      <c r="B7" s="31" t="s">
        <v>83</v>
      </c>
      <c r="C7" s="31">
        <v>4000</v>
      </c>
      <c r="E7" s="66"/>
      <c r="F7" s="66"/>
      <c r="G7" s="43" t="s">
        <v>77</v>
      </c>
    </row>
    <row r="8" spans="1:7" x14ac:dyDescent="0.55000000000000004">
      <c r="A8" t="s">
        <v>235</v>
      </c>
      <c r="B8" s="44" t="s">
        <v>232</v>
      </c>
      <c r="C8" s="44">
        <v>8000</v>
      </c>
      <c r="E8" s="66"/>
      <c r="F8" s="66"/>
      <c r="G8" s="43" t="s">
        <v>79</v>
      </c>
    </row>
    <row r="9" spans="1:7" x14ac:dyDescent="0.55000000000000004">
      <c r="E9" s="66"/>
      <c r="F9" s="66"/>
      <c r="G9" s="43" t="s">
        <v>78</v>
      </c>
    </row>
    <row r="10" spans="1:7" x14ac:dyDescent="0.55000000000000004">
      <c r="E10" s="66"/>
      <c r="F10" s="66"/>
      <c r="G10" s="43" t="s">
        <v>83</v>
      </c>
    </row>
    <row r="34" spans="6:9" x14ac:dyDescent="0.55000000000000004">
      <c r="F34" s="66"/>
      <c r="G34" s="66"/>
      <c r="H34" s="66"/>
      <c r="I34" s="66"/>
    </row>
    <row r="35" spans="6:9" x14ac:dyDescent="0.55000000000000004">
      <c r="F35" s="66"/>
      <c r="G35" s="67"/>
      <c r="H35" s="66"/>
      <c r="I35" s="66"/>
    </row>
    <row r="36" spans="6:9" x14ac:dyDescent="0.55000000000000004">
      <c r="F36" s="66"/>
      <c r="G36" s="66"/>
      <c r="H36" s="66"/>
      <c r="I36" s="66"/>
    </row>
    <row r="37" spans="6:9" x14ac:dyDescent="0.55000000000000004">
      <c r="F37" s="66"/>
      <c r="G37" s="66"/>
      <c r="H37" s="66"/>
      <c r="I37" s="66"/>
    </row>
    <row r="38" spans="6:9" x14ac:dyDescent="0.55000000000000004">
      <c r="F38" s="66"/>
      <c r="G38" s="66"/>
      <c r="H38" s="66"/>
      <c r="I38" s="66"/>
    </row>
    <row r="39" spans="6:9" x14ac:dyDescent="0.55000000000000004">
      <c r="F39" s="66"/>
      <c r="G39" s="66"/>
      <c r="H39" s="66"/>
      <c r="I39" s="66"/>
    </row>
    <row r="40" spans="6:9" x14ac:dyDescent="0.55000000000000004">
      <c r="F40" s="66"/>
      <c r="G40" s="66"/>
      <c r="H40" s="66"/>
      <c r="I40" s="66"/>
    </row>
    <row r="41" spans="6:9" x14ac:dyDescent="0.55000000000000004">
      <c r="F41" s="66"/>
      <c r="G41" s="66"/>
      <c r="H41" s="66"/>
      <c r="I41" s="66"/>
    </row>
    <row r="42" spans="6:9" x14ac:dyDescent="0.55000000000000004">
      <c r="F42" s="66"/>
      <c r="G42" s="66"/>
      <c r="H42" s="66"/>
      <c r="I42" s="66"/>
    </row>
    <row r="43" spans="6:9" x14ac:dyDescent="0.55000000000000004">
      <c r="F43" s="66"/>
      <c r="G43" s="66"/>
      <c r="H43" s="66"/>
      <c r="I43" s="66"/>
    </row>
    <row r="44" spans="6:9" x14ac:dyDescent="0.55000000000000004">
      <c r="F44" s="66"/>
      <c r="G44" s="66"/>
      <c r="H44" s="66"/>
      <c r="I44" s="6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5"/>
  </sheetPr>
  <dimension ref="A1:K58"/>
  <sheetViews>
    <sheetView zoomScale="85" zoomScaleNormal="85" zoomScaleSheetLayoutView="85" workbookViewId="0">
      <selection activeCell="O22" sqref="O22"/>
    </sheetView>
  </sheetViews>
  <sheetFormatPr defaultRowHeight="14.4" x14ac:dyDescent="0.55000000000000004"/>
  <cols>
    <col min="1" max="1" width="10" customWidth="1"/>
    <col min="2" max="2" width="16" bestFit="1" customWidth="1"/>
    <col min="3" max="3" width="29.83984375" bestFit="1" customWidth="1"/>
    <col min="4" max="4" width="19.26171875" bestFit="1" customWidth="1"/>
    <col min="5" max="5" width="14.68359375" bestFit="1" customWidth="1"/>
    <col min="6" max="6" width="57.15625" bestFit="1" customWidth="1"/>
    <col min="7" max="7" width="12.68359375" bestFit="1" customWidth="1"/>
    <col min="8" max="8" width="18.15625" bestFit="1" customWidth="1"/>
    <col min="9" max="9" width="25.68359375" bestFit="1" customWidth="1"/>
    <col min="10" max="10" width="12.578125" bestFit="1" customWidth="1"/>
    <col min="11" max="11" width="22.68359375" customWidth="1"/>
  </cols>
  <sheetData>
    <row r="1" spans="1:11" ht="20.100000000000001" x14ac:dyDescent="0.7">
      <c r="A1" s="7" t="s">
        <v>93</v>
      </c>
      <c r="B1" s="8"/>
      <c r="C1" s="9" t="s">
        <v>94</v>
      </c>
      <c r="D1" s="9"/>
      <c r="E1" s="10"/>
      <c r="F1" s="11"/>
      <c r="G1" s="8"/>
      <c r="H1" s="12"/>
      <c r="I1" s="13" t="s">
        <v>95</v>
      </c>
      <c r="J1" s="13"/>
      <c r="K1" s="8"/>
    </row>
    <row r="2" spans="1:11" x14ac:dyDescent="0.55000000000000004">
      <c r="A2" s="14" t="s">
        <v>96</v>
      </c>
      <c r="B2" s="15">
        <f ca="1">NOW()</f>
        <v>43208.725512500001</v>
      </c>
      <c r="C2" s="15"/>
      <c r="D2" s="15"/>
      <c r="E2" s="10"/>
      <c r="F2" s="11"/>
      <c r="G2" s="8"/>
      <c r="H2" s="12"/>
      <c r="I2" s="13"/>
      <c r="J2" s="13"/>
      <c r="K2" s="8"/>
    </row>
    <row r="3" spans="1:11" x14ac:dyDescent="0.55000000000000004">
      <c r="A3" s="16"/>
      <c r="B3" s="17">
        <f ca="1">NOW()</f>
        <v>43208.725512500001</v>
      </c>
      <c r="C3" s="18"/>
      <c r="D3" s="18"/>
      <c r="E3" s="10"/>
      <c r="F3" s="11"/>
      <c r="G3" s="8"/>
      <c r="H3" s="12"/>
      <c r="I3" s="13"/>
      <c r="J3" s="13"/>
      <c r="K3" s="8"/>
    </row>
    <row r="4" spans="1:11" x14ac:dyDescent="0.55000000000000004">
      <c r="A4" s="16" t="s">
        <v>97</v>
      </c>
      <c r="B4" s="9"/>
      <c r="C4" s="9"/>
      <c r="D4" s="9"/>
      <c r="E4" s="10"/>
      <c r="F4" s="11"/>
      <c r="H4" s="12"/>
      <c r="J4" s="13"/>
      <c r="K4" s="8"/>
    </row>
    <row r="5" spans="1:11" x14ac:dyDescent="0.55000000000000004">
      <c r="A5" s="19" t="s">
        <v>98</v>
      </c>
      <c r="B5" s="9"/>
      <c r="C5" s="9"/>
      <c r="D5" s="9"/>
      <c r="E5" s="10"/>
      <c r="F5" s="11"/>
      <c r="G5" s="8"/>
      <c r="H5" s="12"/>
      <c r="I5" s="13"/>
      <c r="J5" s="13"/>
      <c r="K5" s="8"/>
    </row>
    <row r="6" spans="1:11" ht="14.7" thickBot="1" x14ac:dyDescent="0.6">
      <c r="A6" s="20" t="s">
        <v>99</v>
      </c>
      <c r="B6" s="9"/>
      <c r="C6" s="9"/>
      <c r="D6" s="9"/>
      <c r="E6" s="10"/>
      <c r="F6" s="11"/>
      <c r="G6" s="8"/>
      <c r="H6" s="12"/>
      <c r="I6" s="13"/>
      <c r="J6" s="13"/>
      <c r="K6" s="8"/>
    </row>
    <row r="7" spans="1:11" ht="15.3" x14ac:dyDescent="0.55000000000000004">
      <c r="A7" s="21" t="s">
        <v>1</v>
      </c>
      <c r="B7" s="21" t="s">
        <v>100</v>
      </c>
      <c r="C7" s="34" t="s">
        <v>4</v>
      </c>
      <c r="D7" s="35" t="s">
        <v>101</v>
      </c>
      <c r="E7" s="36" t="s">
        <v>102</v>
      </c>
      <c r="F7" s="35" t="s">
        <v>76</v>
      </c>
      <c r="G7" s="22" t="s">
        <v>103</v>
      </c>
      <c r="H7" s="23" t="s">
        <v>104</v>
      </c>
      <c r="I7" s="37" t="s">
        <v>105</v>
      </c>
      <c r="J7" s="38" t="s">
        <v>106</v>
      </c>
      <c r="K7" s="39" t="s">
        <v>107</v>
      </c>
    </row>
    <row r="8" spans="1:11" x14ac:dyDescent="0.55000000000000004">
      <c r="A8" s="71" t="s">
        <v>103</v>
      </c>
      <c r="B8" s="40" t="str">
        <f>RawData_Approved!D2</f>
        <v>WER-A-B234</v>
      </c>
      <c r="C8" s="40" t="str">
        <f>RawData_Approved!E2</f>
        <v>Global</v>
      </c>
      <c r="D8" s="41">
        <f>RawData_Approved!F2/1000</f>
        <v>303.71100000000001</v>
      </c>
      <c r="E8" s="41">
        <f>RawData_Approved!G2/1000</f>
        <v>1.075</v>
      </c>
      <c r="F8" s="40" t="str">
        <f>RawData_Approved!H2</f>
        <v>Synergex 2012</v>
      </c>
      <c r="G8" s="40" t="str">
        <f>RawData_Approved!B2</f>
        <v>Approved</v>
      </c>
      <c r="H8" s="42">
        <f>RawData_Approved!C2</f>
        <v>40949.59097222222</v>
      </c>
      <c r="I8" s="40"/>
      <c r="J8" s="40"/>
      <c r="K8" s="40"/>
    </row>
    <row r="9" spans="1:11" x14ac:dyDescent="0.55000000000000004">
      <c r="A9" s="71"/>
      <c r="B9" s="40" t="str">
        <f>RawData_Approved!D3</f>
        <v>WER-A-B225</v>
      </c>
      <c r="C9" s="40" t="str">
        <f>RawData_Approved!E3</f>
        <v>Global</v>
      </c>
      <c r="D9" s="41">
        <f>RawData_Approved!F3/1000</f>
        <v>432.03800000000001</v>
      </c>
      <c r="E9" s="41">
        <f>RawData_Approved!G3/1000</f>
        <v>22.233000000000001</v>
      </c>
      <c r="F9" s="40" t="str">
        <f>RawData_Approved!H3</f>
        <v>Web Small Enhancements  - Full CR (Clarity 111225)</v>
      </c>
      <c r="G9" s="40" t="str">
        <f>RawData_Approved!B3</f>
        <v>Approved</v>
      </c>
      <c r="H9" s="42">
        <f>RawData_Approved!C3</f>
        <v>40952.873611111114</v>
      </c>
      <c r="I9" s="40"/>
      <c r="J9" s="40"/>
      <c r="K9" s="40"/>
    </row>
    <row r="10" spans="1:11" x14ac:dyDescent="0.55000000000000004">
      <c r="A10" s="71"/>
      <c r="B10" s="40" t="str">
        <f>RawData_Approved!D4</f>
        <v>THG-A-C731</v>
      </c>
      <c r="C10" s="40">
        <f>RawData_Approved!E4</f>
        <v>0</v>
      </c>
      <c r="D10" s="41">
        <f>RawData_Approved!F4/1000</f>
        <v>221.27</v>
      </c>
      <c r="E10" s="41">
        <f>RawData_Approved!G4/1000</f>
        <v>214.72900000000001</v>
      </c>
      <c r="F10" s="40" t="str">
        <f>RawData_Approved!H4</f>
        <v>James Villas Air Conditioning Upgrade</v>
      </c>
      <c r="G10" s="40" t="str">
        <f>RawData_Approved!B4</f>
        <v>Approved</v>
      </c>
      <c r="H10" s="42">
        <f>RawData_Approved!C4</f>
        <v>41002.85</v>
      </c>
      <c r="I10" s="40"/>
      <c r="J10" s="40"/>
      <c r="K10" s="40"/>
    </row>
    <row r="11" spans="1:11" x14ac:dyDescent="0.55000000000000004">
      <c r="A11" s="71"/>
      <c r="B11" s="40" t="str">
        <f>RawData_Approved!D5</f>
        <v>WER-A-B152</v>
      </c>
      <c r="C11" s="40" t="str">
        <f>RawData_Approved!E5</f>
        <v>Global</v>
      </c>
      <c r="D11" s="41">
        <f>RawData_Approved!F5/1000</f>
        <v>187.2</v>
      </c>
      <c r="E11" s="41">
        <f>RawData_Approved!G5/1000</f>
        <v>93.6</v>
      </c>
      <c r="F11" s="40" t="str">
        <f>RawData_Approved!H5</f>
        <v>Wily License True-up</v>
      </c>
      <c r="G11" s="40" t="str">
        <f>RawData_Approved!B5</f>
        <v>Approved</v>
      </c>
      <c r="H11" s="42">
        <f>RawData_Approved!C5</f>
        <v>40896.71597222222</v>
      </c>
      <c r="I11" s="40"/>
      <c r="J11" s="40"/>
      <c r="K11" s="40"/>
    </row>
    <row r="12" spans="1:11" x14ac:dyDescent="0.55000000000000004">
      <c r="A12" s="71"/>
      <c r="B12" s="40" t="str">
        <f>RawData_Approved!D6</f>
        <v>WER-A-C104</v>
      </c>
      <c r="C12" s="40" t="str">
        <f>RawData_Approved!E6</f>
        <v>Global</v>
      </c>
      <c r="D12" s="41">
        <f>RawData_Approved!F6/1000</f>
        <v>888.9</v>
      </c>
      <c r="E12" s="41">
        <f>RawData_Approved!G6/1000</f>
        <v>882.9</v>
      </c>
      <c r="F12" s="40" t="str">
        <f>RawData_Approved!H6</f>
        <v>Enterprise Data Warehouse Phase 1 Discovery CR</v>
      </c>
      <c r="G12" s="40" t="str">
        <f>RawData_Approved!B6</f>
        <v>Approved</v>
      </c>
      <c r="H12" s="42">
        <f>RawData_Approved!C6</f>
        <v>40987.537499999999</v>
      </c>
      <c r="I12" s="40"/>
      <c r="J12" s="40"/>
      <c r="K12" s="40"/>
    </row>
    <row r="13" spans="1:11" x14ac:dyDescent="0.55000000000000004">
      <c r="A13" s="71"/>
      <c r="B13" s="40" t="str">
        <f>RawData_Approved!D7</f>
        <v>WER-A-C110</v>
      </c>
      <c r="C13" s="40" t="str">
        <f>RawData_Approved!E7</f>
        <v>Global</v>
      </c>
      <c r="D13" s="41">
        <f>RawData_Approved!F7/1000</f>
        <v>1153.182</v>
      </c>
      <c r="E13" s="41">
        <f>RawData_Approved!G7/1000</f>
        <v>666.11199999999997</v>
      </c>
      <c r="F13" s="40" t="str">
        <f>RawData_Approved!H7</f>
        <v>Enterprise Service Bus (ESB) Platform</v>
      </c>
      <c r="G13" s="40" t="str">
        <f>RawData_Approved!B7</f>
        <v>Approved</v>
      </c>
      <c r="H13" s="42">
        <f>RawData_Approved!C7</f>
        <v>40990.872916666667</v>
      </c>
      <c r="I13" s="40"/>
      <c r="J13" s="40"/>
      <c r="K13" s="40"/>
    </row>
    <row r="14" spans="1:11" x14ac:dyDescent="0.55000000000000004">
      <c r="A14" s="71"/>
      <c r="B14" s="40" t="str">
        <f>RawData_Approved!D8</f>
        <v>EVR-A-B195</v>
      </c>
      <c r="C14" s="40" t="str">
        <f>RawData_Approved!E8</f>
        <v>Global</v>
      </c>
      <c r="D14" s="41">
        <f>RawData_Approved!F8/1000</f>
        <v>283.8</v>
      </c>
      <c r="E14" s="41">
        <f>RawData_Approved!G8/1000</f>
        <v>283.8</v>
      </c>
      <c r="F14" s="40" t="str">
        <f>RawData_Approved!H8</f>
        <v>My Vacation Watcher</v>
      </c>
      <c r="G14" s="40" t="str">
        <f>RawData_Approved!B8</f>
        <v>Approved</v>
      </c>
      <c r="H14" s="42">
        <f>RawData_Approved!C8</f>
        <v>41044.792361111111</v>
      </c>
      <c r="I14" s="40"/>
      <c r="J14" s="40"/>
      <c r="K14" s="40"/>
    </row>
    <row r="15" spans="1:11" x14ac:dyDescent="0.55000000000000004">
      <c r="A15" s="71"/>
      <c r="B15" s="40" t="str">
        <f>RawData_Approved!D9</f>
        <v>EVR-A-B186</v>
      </c>
      <c r="C15" s="40" t="str">
        <f>RawData_Approved!E9</f>
        <v>Global</v>
      </c>
      <c r="D15" s="41">
        <f>RawData_Approved!F9/1000</f>
        <v>550</v>
      </c>
      <c r="E15" s="41">
        <f>RawData_Approved!G9/1000</f>
        <v>550</v>
      </c>
      <c r="F15" s="40" t="str">
        <f>RawData_Approved!H9</f>
        <v>Final Testing on 11-14</v>
      </c>
      <c r="G15" s="40" t="str">
        <f>RawData_Approved!B9</f>
        <v>Approved</v>
      </c>
      <c r="H15" s="42">
        <f>RawData_Approved!C9</f>
        <v>40862.698611111111</v>
      </c>
      <c r="I15" s="40"/>
      <c r="J15" s="40"/>
      <c r="K15" s="40"/>
    </row>
    <row r="16" spans="1:11" x14ac:dyDescent="0.55000000000000004">
      <c r="A16" s="71"/>
      <c r="B16" s="40" t="str">
        <f>RawData_Approved!D10</f>
        <v>WER-A-C137</v>
      </c>
      <c r="C16" s="40" t="str">
        <f>RawData_Approved!E10</f>
        <v>Global</v>
      </c>
      <c r="D16" s="41">
        <f>RawData_Approved!F10/1000</f>
        <v>234</v>
      </c>
      <c r="E16" s="41">
        <f>RawData_Approved!G10/1000</f>
        <v>117</v>
      </c>
      <c r="F16" s="40" t="str">
        <f>RawData_Approved!H10</f>
        <v>2012 Wiley for Mobile Apps</v>
      </c>
      <c r="G16" s="40" t="str">
        <f>RawData_Approved!B10</f>
        <v>Approved</v>
      </c>
      <c r="H16" s="42">
        <f>RawData_Approved!C10</f>
        <v>40891.829861111109</v>
      </c>
      <c r="I16" s="40"/>
      <c r="J16" s="40"/>
      <c r="K16" s="40"/>
    </row>
    <row r="17" spans="1:11" x14ac:dyDescent="0.55000000000000004">
      <c r="A17" s="71"/>
      <c r="B17" s="40" t="str">
        <f>RawData_Approved!D11</f>
        <v>WER-A-C107</v>
      </c>
      <c r="C17" s="40" t="str">
        <f>RawData_Approved!E11</f>
        <v>Global</v>
      </c>
      <c r="D17" s="41">
        <f>RawData_Approved!F11/1000</f>
        <v>248.16</v>
      </c>
      <c r="E17" s="41">
        <f>RawData_Approved!G11/1000</f>
        <v>220.22</v>
      </c>
      <c r="F17" s="40" t="str">
        <f>RawData_Approved!H11</f>
        <v>Club Efficiencies - Discovery CR</v>
      </c>
      <c r="G17" s="40" t="str">
        <f>RawData_Approved!B11</f>
        <v>Approved</v>
      </c>
      <c r="H17" s="42">
        <f>RawData_Approved!C11</f>
        <v>40952.854166666664</v>
      </c>
      <c r="I17" s="40"/>
      <c r="J17" s="40"/>
      <c r="K17" s="40"/>
    </row>
    <row r="18" spans="1:11" x14ac:dyDescent="0.55000000000000004">
      <c r="A18" s="71"/>
      <c r="B18" s="40" t="str">
        <f>RawData_Approved!D12</f>
        <v>WER-A-C968</v>
      </c>
      <c r="C18" s="40" t="str">
        <f>RawData_Approved!E12</f>
        <v>Global</v>
      </c>
      <c r="D18" s="41">
        <f>RawData_Approved!F12/1000</f>
        <v>767.26800000000003</v>
      </c>
      <c r="E18" s="41">
        <f>RawData_Approved!G12/1000</f>
        <v>348.43799999999999</v>
      </c>
      <c r="F18" s="40" t="str">
        <f>RawData_Approved!H12</f>
        <v>SAS Multi Region Access Licenses</v>
      </c>
      <c r="G18" s="40" t="str">
        <f>RawData_Approved!B12</f>
        <v>Approved</v>
      </c>
      <c r="H18" s="42">
        <f>RawData_Approved!C12</f>
        <v>41008.536111111112</v>
      </c>
      <c r="I18" s="40"/>
      <c r="J18" s="40"/>
      <c r="K18" s="40"/>
    </row>
    <row r="19" spans="1:11" x14ac:dyDescent="0.55000000000000004">
      <c r="A19" s="71"/>
      <c r="B19" s="40" t="str">
        <f>RawData_Approved!D13</f>
        <v>WVR-A-C101</v>
      </c>
      <c r="C19" s="40" t="str">
        <f>RawData_Approved!E13</f>
        <v>Rental - WVR</v>
      </c>
      <c r="D19" s="41">
        <f>RawData_Approved!F13/1000</f>
        <v>693.44600000000003</v>
      </c>
      <c r="E19" s="41">
        <f>RawData_Approved!G13/1000</f>
        <v>457.41399999999999</v>
      </c>
      <c r="F19" s="40" t="str">
        <f>RawData_Approved!H13</f>
        <v>WVR Integration</v>
      </c>
      <c r="G19" s="40" t="str">
        <f>RawData_Approved!B13</f>
        <v>Approved</v>
      </c>
      <c r="H19" s="42">
        <f>RawData_Approved!C13</f>
        <v>41052.775694444441</v>
      </c>
      <c r="I19" s="40"/>
      <c r="J19" s="40"/>
      <c r="K19" s="40"/>
    </row>
    <row r="20" spans="1:11" x14ac:dyDescent="0.55000000000000004">
      <c r="A20" s="71"/>
      <c r="B20" s="40" t="str">
        <f>RawData_Approved!D14</f>
        <v>WER-A-B228</v>
      </c>
      <c r="C20" s="40" t="str">
        <f>RawData_Approved!E14</f>
        <v>Global</v>
      </c>
      <c r="D20" s="41">
        <f>RawData_Approved!F14/1000</f>
        <v>341.35599999999999</v>
      </c>
      <c r="E20" s="41">
        <f>RawData_Approved!G14/1000</f>
        <v>28.478000000000002</v>
      </c>
      <c r="F20" s="40" t="str">
        <f>RawData_Approved!H14</f>
        <v xml:space="preserve">Points Area Restrictions - Full CR (Clarity 111228) </v>
      </c>
      <c r="G20" s="40" t="str">
        <f>RawData_Approved!B14</f>
        <v>Approved</v>
      </c>
      <c r="H20" s="42">
        <f>RawData_Approved!C14</f>
        <v>40928.652777777781</v>
      </c>
      <c r="I20" s="40"/>
      <c r="J20" s="40"/>
      <c r="K20" s="40"/>
    </row>
    <row r="21" spans="1:11" x14ac:dyDescent="0.55000000000000004">
      <c r="A21" s="71"/>
      <c r="B21" s="40" t="str">
        <f>RawData_Approved!D15</f>
        <v>RCI-A-C191</v>
      </c>
      <c r="C21" s="40" t="str">
        <f>RawData_Approved!E15</f>
        <v>North America</v>
      </c>
      <c r="D21" s="41">
        <f>RawData_Approved!F15/1000</f>
        <v>929.65</v>
      </c>
      <c r="E21" s="41">
        <f>RawData_Approved!G15/1000</f>
        <v>45.65</v>
      </c>
      <c r="F21" s="40" t="str">
        <f>RawData_Approved!H15</f>
        <v>Call Center Contact Analytics</v>
      </c>
      <c r="G21" s="40" t="str">
        <f>RawData_Approved!B15</f>
        <v>Approved</v>
      </c>
      <c r="H21" s="42">
        <f>RawData_Approved!C15</f>
        <v>40983.852777777778</v>
      </c>
      <c r="I21" s="40"/>
      <c r="J21" s="40"/>
      <c r="K21" s="40"/>
    </row>
    <row r="22" spans="1:11" x14ac:dyDescent="0.55000000000000004">
      <c r="A22" s="71"/>
      <c r="B22" s="40" t="str">
        <f>RawData_Approved!D16</f>
        <v>WVR-A-C116</v>
      </c>
      <c r="C22" s="40" t="str">
        <f>RawData_Approved!E16</f>
        <v>Rental - WVR</v>
      </c>
      <c r="D22" s="41">
        <f>RawData_Approved!F16/1000</f>
        <v>124.40600000000001</v>
      </c>
      <c r="E22" s="41">
        <f>RawData_Approved!G16/1000</f>
        <v>119.90600000000001</v>
      </c>
      <c r="F22" s="40" t="str">
        <f>RawData_Approved!H16</f>
        <v>WVR-A-C116 WVR NA Essbase Implementation (FULL)</v>
      </c>
      <c r="G22" s="40" t="str">
        <f>RawData_Approved!B16</f>
        <v>Approved</v>
      </c>
      <c r="H22" s="42">
        <f>RawData_Approved!C16</f>
        <v>41001.885416666664</v>
      </c>
      <c r="I22" s="40"/>
      <c r="J22" s="40"/>
      <c r="K22" s="40"/>
    </row>
    <row r="23" spans="1:11" x14ac:dyDescent="0.55000000000000004">
      <c r="A23" s="71"/>
      <c r="B23" s="40" t="str">
        <f>RawData_Approved!D17</f>
        <v>WER-A-C130</v>
      </c>
      <c r="C23" s="40" t="str">
        <f>RawData_Approved!E17</f>
        <v>Global</v>
      </c>
      <c r="D23" s="41">
        <f>RawData_Approved!F17/1000</f>
        <v>281.01100000000002</v>
      </c>
      <c r="E23" s="41">
        <f>RawData_Approved!G17/1000</f>
        <v>224.69800000000001</v>
      </c>
      <c r="F23" s="40" t="str">
        <f>RawData_Approved!H17</f>
        <v>Oracle Enh - Brazil Synchro Module Implementation</v>
      </c>
      <c r="G23" s="40" t="str">
        <f>RawData_Approved!B17</f>
        <v>Approved</v>
      </c>
      <c r="H23" s="42">
        <f>RawData_Approved!C17</f>
        <v>40952.925694444442</v>
      </c>
      <c r="I23" s="40"/>
      <c r="J23" s="40"/>
      <c r="K23" s="40"/>
    </row>
    <row r="24" spans="1:11" x14ac:dyDescent="0.55000000000000004">
      <c r="A24" s="71"/>
      <c r="B24" s="40" t="str">
        <f>RawData_Approved!D18</f>
        <v>WER-A-B205</v>
      </c>
      <c r="C24" s="40" t="str">
        <f>RawData_Approved!E18</f>
        <v>Global</v>
      </c>
      <c r="D24" s="41">
        <f>RawData_Approved!F18/1000</f>
        <v>946.09500000000003</v>
      </c>
      <c r="E24" s="41">
        <f>RawData_Approved!G18/1000</f>
        <v>201.24</v>
      </c>
      <c r="F24" s="40" t="str">
        <f>RawData_Approved!H18</f>
        <v>Weeks Platinum Phase 2 (Final)</v>
      </c>
      <c r="G24" s="40" t="str">
        <f>RawData_Approved!B18</f>
        <v>Approved</v>
      </c>
      <c r="H24" s="42">
        <f>RawData_Approved!C18</f>
        <v>40927.587500000001</v>
      </c>
      <c r="I24" s="40"/>
      <c r="J24" s="40"/>
      <c r="K24" s="40"/>
    </row>
    <row r="25" spans="1:11" x14ac:dyDescent="0.55000000000000004">
      <c r="A25" s="71"/>
      <c r="B25" s="40" t="str">
        <f>RawData_Approved!D19</f>
        <v>CAN-A-B700</v>
      </c>
      <c r="C25" s="40" t="str">
        <f>RawData_Approved!E19</f>
        <v>EU-Rental</v>
      </c>
      <c r="D25" s="41">
        <f>RawData_Approved!F19/1000</f>
        <v>1600.5989999999999</v>
      </c>
      <c r="E25" s="41">
        <f>RawData_Approved!G19/1000</f>
        <v>1600.5989999999999</v>
      </c>
      <c r="F25" s="40" t="str">
        <f>RawData_Approved!H19</f>
        <v>Integrify Testing #2</v>
      </c>
      <c r="G25" s="40" t="str">
        <f>RawData_Approved!B19</f>
        <v>Approved</v>
      </c>
      <c r="H25" s="42">
        <f>RawData_Approved!C19</f>
        <v>40859.945138888892</v>
      </c>
      <c r="I25" s="40"/>
      <c r="J25" s="40"/>
      <c r="K25" s="40"/>
    </row>
    <row r="26" spans="1:11" x14ac:dyDescent="0.55000000000000004">
      <c r="A26" s="71"/>
      <c r="B26" s="40" t="str">
        <f>RawData_Approved!D20</f>
        <v>RSQ-A-B972</v>
      </c>
      <c r="C26" s="40" t="str">
        <f>RawData_Approved!E20</f>
        <v>ResortQuest</v>
      </c>
      <c r="D26" s="41">
        <f>RawData_Approved!F20/1000</f>
        <v>134.35</v>
      </c>
      <c r="E26" s="41">
        <f>RawData_Approved!G20/1000</f>
        <v>119.35</v>
      </c>
      <c r="F26" s="40" t="str">
        <f>RawData_Approved!H20</f>
        <v>TOPS'L Tiki &amp; Beach Pool</v>
      </c>
      <c r="G26" s="40" t="str">
        <f>RawData_Approved!B20</f>
        <v>Approved</v>
      </c>
      <c r="H26" s="42">
        <f>RawData_Approved!C20</f>
        <v>40897.790277777778</v>
      </c>
      <c r="I26" s="40"/>
      <c r="J26" s="40"/>
      <c r="K26" s="40"/>
    </row>
    <row r="27" spans="1:11" x14ac:dyDescent="0.55000000000000004">
      <c r="A27" s="71"/>
      <c r="B27" s="40" t="str">
        <f>RawData_Approved!D21</f>
        <v>WER-A-B223</v>
      </c>
      <c r="C27" s="40" t="str">
        <f>RawData_Approved!E21</f>
        <v>Global</v>
      </c>
      <c r="D27" s="41">
        <f>RawData_Approved!F21/1000</f>
        <v>511.2</v>
      </c>
      <c r="E27" s="41">
        <f>RawData_Approved!G21/1000</f>
        <v>0</v>
      </c>
      <c r="F27" s="40" t="str">
        <f>RawData_Approved!H21</f>
        <v>Information Architecture Content Management (DISCOVERY)</v>
      </c>
      <c r="G27" s="40" t="str">
        <f>RawData_Approved!B21</f>
        <v>Approved</v>
      </c>
      <c r="H27" s="42">
        <f>RawData_Approved!C21</f>
        <v>40995.606944444444</v>
      </c>
      <c r="I27" s="40"/>
      <c r="J27" s="40"/>
      <c r="K27" s="40"/>
    </row>
    <row r="28" spans="1:11" x14ac:dyDescent="0.55000000000000004">
      <c r="A28" s="71"/>
      <c r="B28" s="40" t="str">
        <f>RawData_Approved!D22</f>
        <v>WER-A-B180</v>
      </c>
      <c r="C28" s="40" t="str">
        <f>RawData_Approved!E22</f>
        <v>Global</v>
      </c>
      <c r="D28" s="41">
        <f>RawData_Approved!F22/1000</f>
        <v>338.51799999999997</v>
      </c>
      <c r="E28" s="41">
        <f>RawData_Approved!G22/1000</f>
        <v>36</v>
      </c>
      <c r="F28" s="40" t="str">
        <f>RawData_Approved!H22</f>
        <v>EU Exch - Essbase Migration - Phase 1</v>
      </c>
      <c r="G28" s="40" t="str">
        <f>RawData_Approved!B22</f>
        <v>Approved</v>
      </c>
      <c r="H28" s="42">
        <f>RawData_Approved!C22</f>
        <v>40889.575694444444</v>
      </c>
      <c r="I28" s="40"/>
      <c r="J28" s="40"/>
      <c r="K28" s="40"/>
    </row>
    <row r="29" spans="1:11" x14ac:dyDescent="0.55000000000000004">
      <c r="A29" s="71"/>
      <c r="B29" s="40" t="str">
        <f>RawData_Approved!D23</f>
        <v>WER-A-B208</v>
      </c>
      <c r="C29" s="40" t="str">
        <f>RawData_Approved!E23</f>
        <v>Global</v>
      </c>
      <c r="D29" s="41">
        <f>RawData_Approved!F23/1000</f>
        <v>756.64200000000005</v>
      </c>
      <c r="E29" s="41">
        <f>RawData_Approved!G23/1000</f>
        <v>173.41200000000001</v>
      </c>
      <c r="F29" s="40" t="str">
        <f>RawData_Approved!H23</f>
        <v>Travel Integration Expansion</v>
      </c>
      <c r="G29" s="40" t="str">
        <f>RawData_Approved!B23</f>
        <v>Approved</v>
      </c>
      <c r="H29" s="42">
        <f>RawData_Approved!C23</f>
        <v>40932.573611111111</v>
      </c>
      <c r="I29" s="40"/>
      <c r="J29" s="40"/>
      <c r="K29" s="40"/>
    </row>
    <row r="30" spans="1:11" x14ac:dyDescent="0.55000000000000004">
      <c r="A30" s="71"/>
      <c r="B30" s="40" t="str">
        <f>RawData_Approved!D24</f>
        <v>WER-A-C119</v>
      </c>
      <c r="C30" s="40" t="str">
        <f>RawData_Approved!E24</f>
        <v>Global</v>
      </c>
      <c r="D30" s="41">
        <f>RawData_Approved!F24/1000</f>
        <v>865.90599999999995</v>
      </c>
      <c r="E30" s="41">
        <f>RawData_Approved!G24/1000</f>
        <v>604.803</v>
      </c>
      <c r="F30" s="40" t="str">
        <f>RawData_Approved!H24</f>
        <v>SAN Replacement</v>
      </c>
      <c r="G30" s="40" t="str">
        <f>RawData_Approved!B24</f>
        <v>Approved</v>
      </c>
      <c r="H30" s="42">
        <f>RawData_Approved!C24</f>
        <v>40994.76458333333</v>
      </c>
      <c r="I30" s="40"/>
      <c r="J30" s="40"/>
      <c r="K30" s="40"/>
    </row>
    <row r="31" spans="1:11" x14ac:dyDescent="0.55000000000000004">
      <c r="A31" s="71"/>
      <c r="B31" s="40" t="str">
        <f>RawData_Approved!D25</f>
        <v>WER-A-C109</v>
      </c>
      <c r="C31" s="40" t="str">
        <f>RawData_Approved!E25</f>
        <v>Global</v>
      </c>
      <c r="D31" s="41">
        <f>RawData_Approved!F25/1000</f>
        <v>286.26799999999997</v>
      </c>
      <c r="E31" s="41">
        <f>RawData_Approved!G25/1000</f>
        <v>213.358</v>
      </c>
      <c r="F31" s="40" t="str">
        <f>RawData_Approved!H25</f>
        <v>Member Preference Center (Discovery)</v>
      </c>
      <c r="G31" s="40" t="str">
        <f>RawData_Approved!B25</f>
        <v>Approved</v>
      </c>
      <c r="H31" s="42">
        <f>RawData_Approved!C25</f>
        <v>40962.649305555555</v>
      </c>
      <c r="I31" s="40"/>
      <c r="J31" s="40"/>
      <c r="K31" s="40"/>
    </row>
    <row r="32" spans="1:11" x14ac:dyDescent="0.55000000000000004">
      <c r="A32" s="71"/>
      <c r="B32" s="40" t="str">
        <f>RawData_Approved!D26</f>
        <v>WER-A-B224</v>
      </c>
      <c r="C32" s="40" t="str">
        <f>RawData_Approved!E26</f>
        <v>Global</v>
      </c>
      <c r="D32" s="41">
        <f>RawData_Approved!F26/1000</f>
        <v>779.13</v>
      </c>
      <c r="E32" s="41">
        <f>RawData_Approved!G26/1000</f>
        <v>669.46</v>
      </c>
      <c r="F32" s="40" t="str">
        <f>RawData_Approved!H26</f>
        <v>Interest and Destination Content Search (DISCOVERY)</v>
      </c>
      <c r="G32" s="40" t="str">
        <f>RawData_Approved!B26</f>
        <v>Approved</v>
      </c>
      <c r="H32" s="42">
        <f>RawData_Approved!C26</f>
        <v>40990.868750000001</v>
      </c>
      <c r="I32" s="40"/>
      <c r="J32" s="40"/>
      <c r="K32" s="40"/>
    </row>
    <row r="33" spans="1:11" x14ac:dyDescent="0.55000000000000004">
      <c r="A33" s="71"/>
      <c r="B33" s="40" t="str">
        <f>RawData_Approved!D27</f>
        <v>WER-A-C114</v>
      </c>
      <c r="C33" s="40" t="str">
        <f>RawData_Approved!E27</f>
        <v>Global</v>
      </c>
      <c r="D33" s="41">
        <f>RawData_Approved!F27/1000</f>
        <v>204.251</v>
      </c>
      <c r="E33" s="41">
        <f>RawData_Approved!G27/1000</f>
        <v>196.97</v>
      </c>
      <c r="F33" s="40" t="str">
        <f>RawData_Approved!H27</f>
        <v>Mobile rci.com ARDA Release (Full CR)</v>
      </c>
      <c r="G33" s="40" t="str">
        <f>RawData_Approved!B27</f>
        <v>Approved</v>
      </c>
      <c r="H33" s="42">
        <f>RawData_Approved!C27</f>
        <v>40969.691666666666</v>
      </c>
      <c r="I33" s="40"/>
      <c r="J33" s="40"/>
      <c r="K33" s="40"/>
    </row>
    <row r="34" spans="1:11" x14ac:dyDescent="0.55000000000000004">
      <c r="A34" s="71"/>
      <c r="B34" s="40" t="str">
        <f>RawData_Approved!D28</f>
        <v>WER-A-B126</v>
      </c>
      <c r="C34" s="40" t="str">
        <f>RawData_Approved!E28</f>
        <v>Global</v>
      </c>
      <c r="D34" s="41">
        <f>RawData_Approved!F28/1000</f>
        <v>442.98899999999998</v>
      </c>
      <c r="E34" s="41">
        <f>RawData_Approved!G28/1000</f>
        <v>11.856999999999999</v>
      </c>
      <c r="F34" s="40" t="str">
        <f>RawData_Approved!H28</f>
        <v>Deposit Simplification (Discovery)</v>
      </c>
      <c r="G34" s="40" t="str">
        <f>RawData_Approved!B28</f>
        <v>Approved</v>
      </c>
      <c r="H34" s="42">
        <f>RawData_Approved!C28</f>
        <v>40960.689583333333</v>
      </c>
      <c r="I34" s="40"/>
      <c r="J34" s="40"/>
      <c r="K34" s="40"/>
    </row>
    <row r="35" spans="1:11" x14ac:dyDescent="0.55000000000000004">
      <c r="A35" s="71"/>
      <c r="B35" s="40" t="str">
        <f>RawData_Approved!D29</f>
        <v>WER-A-C121</v>
      </c>
      <c r="C35" s="40" t="str">
        <f>RawData_Approved!E29</f>
        <v>Global</v>
      </c>
      <c r="D35" s="41">
        <f>RawData_Approved!F29/1000</f>
        <v>681.76800000000003</v>
      </c>
      <c r="E35" s="41">
        <f>RawData_Approved!G29/1000</f>
        <v>664.76800000000003</v>
      </c>
      <c r="F35" s="40" t="str">
        <f>RawData_Approved!H29</f>
        <v>July Small Enhancements (FULL)</v>
      </c>
      <c r="G35" s="40" t="str">
        <f>RawData_Approved!B29</f>
        <v>Approved</v>
      </c>
      <c r="H35" s="42">
        <f>RawData_Approved!C29</f>
        <v>41052.779166666667</v>
      </c>
      <c r="I35" s="40"/>
      <c r="J35" s="40"/>
      <c r="K35" s="40"/>
    </row>
    <row r="36" spans="1:11" x14ac:dyDescent="0.55000000000000004">
      <c r="A36" s="71"/>
      <c r="B36" s="40" t="str">
        <f>RawData_Approved!D30</f>
        <v>WER-A-B122</v>
      </c>
      <c r="C36" s="40" t="str">
        <f>RawData_Approved!E30</f>
        <v>Global</v>
      </c>
      <c r="D36" s="41">
        <f>RawData_Approved!F30/1000</f>
        <v>712.14499999999998</v>
      </c>
      <c r="E36" s="41">
        <f>RawData_Approved!G30/1000</f>
        <v>2.4380000000000002</v>
      </c>
      <c r="F36" s="40" t="str">
        <f>RawData_Approved!H30</f>
        <v>Enable Points Transactions Online (Discovery)</v>
      </c>
      <c r="G36" s="40" t="str">
        <f>RawData_Approved!B30</f>
        <v>Approved</v>
      </c>
      <c r="H36" s="42">
        <f>RawData_Approved!C30</f>
        <v>40954.829861111109</v>
      </c>
      <c r="I36" s="40"/>
      <c r="J36" s="40"/>
      <c r="K36" s="40"/>
    </row>
    <row r="37" spans="1:11" x14ac:dyDescent="0.55000000000000004">
      <c r="A37" s="71"/>
      <c r="B37" s="40" t="str">
        <f>RawData_Approved!D31</f>
        <v>WER-A-C214</v>
      </c>
      <c r="C37" s="40" t="str">
        <f>RawData_Approved!E31</f>
        <v>Global</v>
      </c>
      <c r="D37" s="41">
        <f>RawData_Approved!F31/1000</f>
        <v>1351.106</v>
      </c>
      <c r="E37" s="41">
        <f>RawData_Approved!G31/1000</f>
        <v>289.834</v>
      </c>
      <c r="F37" s="40" t="str">
        <f>RawData_Approved!H31</f>
        <v>Mainframe RPO Reduction</v>
      </c>
      <c r="G37" s="40" t="str">
        <f>RawData_Approved!B31</f>
        <v>Approved</v>
      </c>
      <c r="H37" s="42">
        <f>RawData_Approved!C31</f>
        <v>41059.737500000003</v>
      </c>
      <c r="I37" s="40"/>
      <c r="J37" s="40"/>
      <c r="K37" s="40"/>
    </row>
    <row r="38" spans="1:11" x14ac:dyDescent="0.55000000000000004">
      <c r="A38" s="71"/>
      <c r="B38" s="40" t="str">
        <f>RawData_Approved!D32</f>
        <v>WER-A-B124</v>
      </c>
      <c r="C38" s="40" t="str">
        <f>RawData_Approved!E32</f>
        <v>Global</v>
      </c>
      <c r="D38" s="41">
        <f>RawData_Approved!F32/1000</f>
        <v>670.81799999999998</v>
      </c>
      <c r="E38" s="41">
        <f>RawData_Approved!G32/1000</f>
        <v>0</v>
      </c>
      <c r="F38" s="40" t="str">
        <f>RawData_Approved!H32</f>
        <v>Cross Sell Discovery CR (111124)</v>
      </c>
      <c r="G38" s="40" t="str">
        <f>RawData_Approved!B32</f>
        <v>Approved</v>
      </c>
      <c r="H38" s="42">
        <f>RawData_Approved!C32</f>
        <v>40980.78402777778</v>
      </c>
      <c r="I38" s="40"/>
      <c r="J38" s="40"/>
      <c r="K38" s="40"/>
    </row>
    <row r="39" spans="1:11" x14ac:dyDescent="0.55000000000000004">
      <c r="A39" s="71"/>
      <c r="B39" s="40" t="str">
        <f>RawData_Approved!D33</f>
        <v>EME-A-B632</v>
      </c>
      <c r="C39" s="40" t="str">
        <f>RawData_Approved!E33</f>
        <v>EMEAI-Exchange</v>
      </c>
      <c r="D39" s="41">
        <f>RawData_Approved!F33/1000</f>
        <v>788.32600000000002</v>
      </c>
      <c r="E39" s="41">
        <f>RawData_Approved!G33/1000</f>
        <v>181.39500000000001</v>
      </c>
      <c r="F39" s="40" t="str">
        <f>RawData_Approved!H33</f>
        <v>Intech Storage Back Up</v>
      </c>
      <c r="G39" s="40" t="str">
        <f>RawData_Approved!B33</f>
        <v>Approved</v>
      </c>
      <c r="H39" s="42">
        <f>RawData_Approved!C33</f>
        <v>40868.824999999997</v>
      </c>
      <c r="I39" s="40"/>
      <c r="J39" s="40"/>
      <c r="K39" s="40"/>
    </row>
    <row r="40" spans="1:11" x14ac:dyDescent="0.55000000000000004">
      <c r="A40" s="71"/>
      <c r="B40" s="40" t="str">
        <f>RawData_Approved!D34</f>
        <v>WER-A-B178</v>
      </c>
      <c r="C40" s="40" t="str">
        <f>RawData_Approved!E34</f>
        <v>Global</v>
      </c>
      <c r="D40" s="41">
        <f>RawData_Approved!F34/1000</f>
        <v>409.88</v>
      </c>
      <c r="E40" s="41">
        <f>RawData_Approved!G34/1000</f>
        <v>94.91</v>
      </c>
      <c r="F40" s="40" t="str">
        <f>RawData_Approved!H34</f>
        <v>DBL Operator ID Expansion</v>
      </c>
      <c r="G40" s="40" t="str">
        <f>RawData_Approved!B34</f>
        <v>Approved</v>
      </c>
      <c r="H40" s="42">
        <f>RawData_Approved!C34</f>
        <v>40948.806944444441</v>
      </c>
      <c r="I40" s="40"/>
      <c r="J40" s="40"/>
      <c r="K40" s="40"/>
    </row>
    <row r="41" spans="1:11" x14ac:dyDescent="0.55000000000000004">
      <c r="A41" s="71"/>
      <c r="B41" s="40" t="str">
        <f>RawData_Approved!D35</f>
        <v>WER-A-B222</v>
      </c>
      <c r="C41" s="40" t="str">
        <f>RawData_Approved!E35</f>
        <v>Global</v>
      </c>
      <c r="D41" s="41">
        <f>RawData_Approved!F35/1000</f>
        <v>644.36099999999999</v>
      </c>
      <c r="E41" s="41">
        <f>RawData_Approved!G35/1000</f>
        <v>26.047999999999998</v>
      </c>
      <c r="F41" s="40" t="str">
        <f>RawData_Approved!H35</f>
        <v>Discount Internal Exchange Trading Power (Full)</v>
      </c>
      <c r="G41" s="40" t="str">
        <f>RawData_Approved!B35</f>
        <v>Approved</v>
      </c>
      <c r="H41" s="42">
        <f>RawData_Approved!C35</f>
        <v>40946.582638888889</v>
      </c>
      <c r="I41" s="40"/>
      <c r="J41" s="40"/>
      <c r="K41" s="40"/>
    </row>
    <row r="42" spans="1:11" x14ac:dyDescent="0.55000000000000004">
      <c r="A42" s="71"/>
      <c r="B42" s="40" t="str">
        <f>RawData_Approved!D36</f>
        <v>WVR-A-B198</v>
      </c>
      <c r="C42" s="40" t="str">
        <f>RawData_Approved!E36</f>
        <v>Global</v>
      </c>
      <c r="D42" s="41">
        <f>RawData_Approved!F36/1000</f>
        <v>3580.1010000000001</v>
      </c>
      <c r="E42" s="41">
        <f>RawData_Approved!G36/1000</f>
        <v>61.716999999999999</v>
      </c>
      <c r="F42" s="40" t="str">
        <f>RawData_Approved!H36</f>
        <v>Traveller Phase 1 (Part of Program United)</v>
      </c>
      <c r="G42" s="40" t="str">
        <f>RawData_Approved!B36</f>
        <v>Approved</v>
      </c>
      <c r="H42" s="42">
        <f>RawData_Approved!C36</f>
        <v>40956.584027777775</v>
      </c>
      <c r="I42" s="40"/>
      <c r="J42" s="40"/>
      <c r="K42" s="40"/>
    </row>
    <row r="43" spans="1:11" x14ac:dyDescent="0.55000000000000004">
      <c r="A43" s="71"/>
      <c r="B43" s="40" t="str">
        <f>RawData_Approved!D37</f>
        <v>WVR-A-C100</v>
      </c>
      <c r="C43" s="40" t="str">
        <f>RawData_Approved!E37</f>
        <v>Rentals - NA</v>
      </c>
      <c r="D43" s="41">
        <f>RawData_Approved!F37/1000</f>
        <v>782.03</v>
      </c>
      <c r="E43" s="41">
        <f>RawData_Approved!G37/1000</f>
        <v>774.03</v>
      </c>
      <c r="F43" s="40" t="str">
        <f>RawData_Approved!H37</f>
        <v>WVR NA Oracle Financials Phase 1 (FULL)</v>
      </c>
      <c r="G43" s="40" t="str">
        <f>RawData_Approved!B37</f>
        <v>Approved</v>
      </c>
      <c r="H43" s="42">
        <f>RawData_Approved!C37</f>
        <v>40994.548611111109</v>
      </c>
      <c r="I43" s="40"/>
      <c r="J43" s="40"/>
      <c r="K43" s="40"/>
    </row>
    <row r="44" spans="1:11" x14ac:dyDescent="0.55000000000000004">
      <c r="A44" s="71"/>
      <c r="B44" s="40" t="str">
        <f>RawData_Approved!D38</f>
        <v>WER-A-B222</v>
      </c>
      <c r="C44" s="40" t="str">
        <f>RawData_Approved!E38</f>
        <v>Global</v>
      </c>
      <c r="D44" s="41">
        <f>RawData_Approved!F38/1000</f>
        <v>122.51</v>
      </c>
      <c r="E44" s="41">
        <f>RawData_Approved!G38/1000</f>
        <v>25</v>
      </c>
      <c r="F44" s="40" t="str">
        <f>RawData_Approved!H38</f>
        <v>Discount Internal Exchange Trading Power - Discovery</v>
      </c>
      <c r="G44" s="40" t="str">
        <f>RawData_Approved!B38</f>
        <v>Approved</v>
      </c>
      <c r="H44" s="42">
        <f>RawData_Approved!C38</f>
        <v>40897.600694444445</v>
      </c>
      <c r="I44" s="40"/>
      <c r="J44" s="40"/>
      <c r="K44" s="40"/>
    </row>
    <row r="45" spans="1:11" x14ac:dyDescent="0.55000000000000004">
      <c r="A45" s="71"/>
      <c r="B45" s="40" t="str">
        <f>RawData_Approved!D39</f>
        <v>SAF-A-C624</v>
      </c>
      <c r="C45" s="40" t="str">
        <f>RawData_Approved!E39</f>
        <v>EMEAI-Exchange</v>
      </c>
      <c r="D45" s="41">
        <f>RawData_Approved!F39/1000</f>
        <v>392.38600000000002</v>
      </c>
      <c r="E45" s="41">
        <f>RawData_Approved!G39/1000</f>
        <v>189.22300000000001</v>
      </c>
      <c r="F45" s="40" t="str">
        <f>RawData_Approved!H39</f>
        <v>Infrastructure Upgrade</v>
      </c>
      <c r="G45" s="40" t="str">
        <f>RawData_Approved!B39</f>
        <v>Approved</v>
      </c>
      <c r="H45" s="42">
        <f>RawData_Approved!C39</f>
        <v>41043.792361111111</v>
      </c>
      <c r="I45" s="40"/>
      <c r="J45" s="40"/>
      <c r="K45" s="40"/>
    </row>
    <row r="46" spans="1:11" x14ac:dyDescent="0.55000000000000004">
      <c r="A46" s="71"/>
      <c r="B46" s="40" t="str">
        <f>RawData_Approved!D40</f>
        <v>LAN-A-C800</v>
      </c>
      <c r="C46" s="40" t="str">
        <f>RawData_Approved!E40</f>
        <v>EU-Rental</v>
      </c>
      <c r="D46" s="41">
        <f>RawData_Approved!F40/1000</f>
        <v>30120.675999999999</v>
      </c>
      <c r="E46" s="41">
        <f>RawData_Approved!G40/1000</f>
        <v>30120.675999999999</v>
      </c>
      <c r="F46" s="40" t="str">
        <f>RawData_Approved!H40</f>
        <v>Park operating Capital</v>
      </c>
      <c r="G46" s="40" t="str">
        <f>RawData_Approved!B40</f>
        <v>Approved</v>
      </c>
      <c r="H46" s="42">
        <f>RawData_Approved!C40</f>
        <v>40956.643750000003</v>
      </c>
      <c r="I46" s="40"/>
      <c r="J46" s="40"/>
      <c r="K46" s="40"/>
    </row>
    <row r="47" spans="1:11" x14ac:dyDescent="0.55000000000000004">
      <c r="D47" s="33"/>
      <c r="E47" s="33"/>
    </row>
    <row r="48" spans="1:11" x14ac:dyDescent="0.55000000000000004">
      <c r="D48" s="33"/>
      <c r="E48" s="33"/>
    </row>
    <row r="49" spans="4:5" x14ac:dyDescent="0.55000000000000004">
      <c r="D49" s="33"/>
      <c r="E49" s="33"/>
    </row>
    <row r="50" spans="4:5" x14ac:dyDescent="0.55000000000000004">
      <c r="D50" s="33"/>
      <c r="E50" s="33"/>
    </row>
    <row r="51" spans="4:5" x14ac:dyDescent="0.55000000000000004">
      <c r="D51" s="33"/>
      <c r="E51" s="33"/>
    </row>
    <row r="52" spans="4:5" x14ac:dyDescent="0.55000000000000004">
      <c r="D52" s="33"/>
      <c r="E52" s="33"/>
    </row>
    <row r="53" spans="4:5" x14ac:dyDescent="0.55000000000000004">
      <c r="D53" s="33"/>
      <c r="E53" s="33"/>
    </row>
    <row r="54" spans="4:5" x14ac:dyDescent="0.55000000000000004">
      <c r="D54" s="33"/>
      <c r="E54" s="33"/>
    </row>
    <row r="55" spans="4:5" x14ac:dyDescent="0.55000000000000004">
      <c r="D55" s="33"/>
      <c r="E55" s="33"/>
    </row>
    <row r="56" spans="4:5" x14ac:dyDescent="0.55000000000000004">
      <c r="D56" s="33"/>
      <c r="E56" s="33"/>
    </row>
    <row r="57" spans="4:5" x14ac:dyDescent="0.55000000000000004">
      <c r="D57" s="33"/>
      <c r="E57" s="33"/>
    </row>
    <row r="58" spans="4:5" x14ac:dyDescent="0.55000000000000004">
      <c r="D58" s="33"/>
      <c r="E58" s="33"/>
    </row>
  </sheetData>
  <mergeCells count="1">
    <mergeCell ref="A8:A46"/>
  </mergeCells>
  <conditionalFormatting sqref="B8:K46">
    <cfRule type="expression" dxfId="8" priority="1">
      <formula>$D8&gt;=1500</formula>
    </cfRule>
  </conditionalFormatting>
  <hyperlinks>
    <hyperlink ref="A5" r:id="rId1" xr:uid="{00000000-0004-0000-0400-000000000000}"/>
  </hyperlinks>
  <pageMargins left="0.7" right="0.7" top="0.75" bottom="0.75" header="0.3" footer="0.3"/>
  <pageSetup scale="38" orientation="landscape"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theme="3"/>
  </sheetPr>
  <dimension ref="A1:M168"/>
  <sheetViews>
    <sheetView tabSelected="1" zoomScale="70" zoomScaleNormal="70" workbookViewId="0">
      <selection activeCell="K8" sqref="K8"/>
    </sheetView>
  </sheetViews>
  <sheetFormatPr defaultRowHeight="14.4" x14ac:dyDescent="0.55000000000000004"/>
  <cols>
    <col min="1" max="1" width="12.68359375" customWidth="1"/>
    <col min="2" max="2" width="21.578125" bestFit="1" customWidth="1"/>
    <col min="3" max="3" width="29.68359375" bestFit="1" customWidth="1"/>
    <col min="4" max="4" width="18.41796875" bestFit="1" customWidth="1"/>
    <col min="5" max="5" width="14.578125" bestFit="1" customWidth="1"/>
    <col min="6" max="6" width="54" customWidth="1"/>
    <col min="7" max="7" width="20.578125" bestFit="1" customWidth="1"/>
    <col min="8" max="8" width="17" bestFit="1" customWidth="1"/>
    <col min="9" max="9" width="23.83984375" bestFit="1" customWidth="1"/>
    <col min="10" max="10" width="12" bestFit="1" customWidth="1"/>
    <col min="11" max="11" width="14.15625" customWidth="1"/>
    <col min="12" max="12" width="9.26171875" hidden="1" customWidth="1"/>
    <col min="14" max="14" width="19.578125" bestFit="1" customWidth="1"/>
  </cols>
  <sheetData>
    <row r="1" spans="1:13" ht="20.100000000000001" x14ac:dyDescent="0.7">
      <c r="A1" s="7" t="s">
        <v>93</v>
      </c>
      <c r="B1" s="8"/>
      <c r="C1" s="9" t="s">
        <v>94</v>
      </c>
      <c r="D1" s="9"/>
      <c r="E1" s="10"/>
      <c r="F1" s="11"/>
      <c r="G1" s="8"/>
      <c r="H1" s="12"/>
      <c r="I1" s="13" t="s">
        <v>95</v>
      </c>
      <c r="J1" s="13"/>
      <c r="K1" s="8"/>
    </row>
    <row r="2" spans="1:13" x14ac:dyDescent="0.55000000000000004">
      <c r="A2" s="14" t="s">
        <v>96</v>
      </c>
      <c r="B2" s="15">
        <f ca="1">NOW()</f>
        <v>43208.725512500001</v>
      </c>
      <c r="C2" s="15"/>
      <c r="D2" s="15"/>
      <c r="E2" s="10"/>
      <c r="F2" s="11"/>
      <c r="G2" s="8"/>
      <c r="H2" s="12"/>
      <c r="I2" s="13"/>
      <c r="J2" s="13"/>
      <c r="K2" s="8"/>
    </row>
    <row r="3" spans="1:13" x14ac:dyDescent="0.55000000000000004">
      <c r="A3" s="16"/>
      <c r="B3" s="17">
        <f ca="1">NOW()</f>
        <v>43208.725512500001</v>
      </c>
      <c r="C3" s="18"/>
      <c r="D3" s="18"/>
      <c r="E3" s="10"/>
      <c r="F3" s="11"/>
      <c r="G3" s="8"/>
      <c r="H3" s="12"/>
      <c r="I3" s="13"/>
      <c r="J3" s="13"/>
      <c r="K3" s="8"/>
    </row>
    <row r="4" spans="1:13" x14ac:dyDescent="0.55000000000000004">
      <c r="A4" s="16" t="s">
        <v>97</v>
      </c>
      <c r="B4" s="9"/>
      <c r="C4" s="9"/>
      <c r="D4" s="9"/>
      <c r="E4" s="10"/>
      <c r="F4" s="11"/>
      <c r="H4" s="12"/>
      <c r="J4" s="13"/>
    </row>
    <row r="5" spans="1:13" x14ac:dyDescent="0.55000000000000004">
      <c r="A5" s="19" t="s">
        <v>98</v>
      </c>
      <c r="B5" s="9"/>
      <c r="C5" s="9"/>
      <c r="D5" s="9"/>
      <c r="E5" s="10"/>
      <c r="F5" s="11"/>
      <c r="G5" s="8"/>
      <c r="H5" s="12"/>
      <c r="I5" s="13"/>
      <c r="J5" s="13"/>
      <c r="K5" s="8"/>
    </row>
    <row r="6" spans="1:13" ht="14.7" thickBot="1" x14ac:dyDescent="0.6">
      <c r="A6" s="20" t="s">
        <v>99</v>
      </c>
      <c r="B6" s="9"/>
      <c r="C6" s="9"/>
      <c r="D6" s="9"/>
      <c r="E6" s="10"/>
      <c r="F6" s="11"/>
      <c r="G6" s="8"/>
      <c r="H6" s="12"/>
      <c r="I6" s="13"/>
      <c r="J6" s="13"/>
      <c r="K6" s="8"/>
    </row>
    <row r="7" spans="1:13" ht="30.6" thickBot="1" x14ac:dyDescent="0.6">
      <c r="A7" s="49" t="s">
        <v>1</v>
      </c>
      <c r="B7" s="50" t="s">
        <v>100</v>
      </c>
      <c r="C7" s="51" t="s">
        <v>4</v>
      </c>
      <c r="D7" s="52" t="s">
        <v>101</v>
      </c>
      <c r="E7" s="53" t="s">
        <v>102</v>
      </c>
      <c r="F7" s="52" t="s">
        <v>76</v>
      </c>
      <c r="G7" s="54" t="s">
        <v>103</v>
      </c>
      <c r="H7" s="55" t="s">
        <v>104</v>
      </c>
      <c r="I7" s="56" t="s">
        <v>105</v>
      </c>
      <c r="J7" s="57" t="s">
        <v>106</v>
      </c>
      <c r="K7" s="58" t="s">
        <v>107</v>
      </c>
    </row>
    <row r="8" spans="1:13" x14ac:dyDescent="0.55000000000000004">
      <c r="A8" s="71" t="s">
        <v>108</v>
      </c>
      <c r="B8" s="28" t="str">
        <f>IF(Filter1_Pending!D2=Filter1_Pending!D1,"",Filter1_Pending!D2)</f>
        <v>WER-A-B122</v>
      </c>
      <c r="C8" s="27" t="str">
        <f>IFERROR(VLOOKUP($B8,RawData_Pending!$D$2:$H$134,2,FALSE),"")</f>
        <v>Global</v>
      </c>
      <c r="D8" s="29">
        <f>IFERROR(VLOOKUP($B8,RawData_Pending!$D$2:$H$134,5,FALSE)/1000,"")</f>
        <v>1567.354</v>
      </c>
      <c r="E8" s="29">
        <f>IFERROR(VLOOKUP($B8,RawData_Pending!$D$2:$H$134,4,FALSE)/1000,"")</f>
        <v>2.4380000000000002</v>
      </c>
      <c r="F8" s="27" t="str">
        <f>IFERROR(VLOOKUP($B8,RawData_Pending!$D$2:$H$134,3,FALSE),"")</f>
        <v>Enable Points Transactions Online</v>
      </c>
      <c r="G8" s="31" t="str">
        <f>IF(INDEX(Filter1_Pending!$1:$1048576,MATCH($B$8,Filter1_Pending!$D:$D,0)+L8,11)="Completed",INDEX(Filter1_Pending!$1:$1048576,MATCH($B$8,Filter1_Pending!$D:$D,0)+L8,10),"")</f>
        <v>Stan Kreydin</v>
      </c>
      <c r="H8" s="32">
        <f>IF(INDEX(Filter1_Pending!$1:$1048576,MATCH($B$8,Filter1_Pending!$D:$D,0)+L8,11)="Completed",INDEX(Filter1_Pending!$1:$1048576,MATCH($B$8,Filter1_Pending!$D:$D,0)+L8,12),"")</f>
        <v>41072.747546296298</v>
      </c>
      <c r="I8" s="45" t="str">
        <f>IF(INDEX(Filter1_Pending!$1:$1048576,MATCH($B$8,Filter1_Pending!$D:$D,0)+L8,11)="Initialized",INDEX(Filter1_Pending!$1:$1048576,MATCH($B$8,Filter1_Pending!$D:$D,0)+L8,10),"")</f>
        <v/>
      </c>
      <c r="J8" s="46" t="str">
        <f>IF(INDEX(Filter1_Pending!$1:$1048576,MATCH($B$8,Filter1_Pending!$D:$D,0)+L8,11)="Initialized",INDEX(Filter1_Pending!$1:$1048576,MATCH($B$8,Filter1_Pending!$D:$D,0)+L8,3),"")</f>
        <v/>
      </c>
      <c r="K8" s="31" t="str">
        <f t="array" ref="K8">IFERROR(INDEX(Final_List,IF(ROW(1:1)&lt;COUNTA($J$7:$J$19),ROW(1:1),IF(ROW(1:1)&lt;COUNTA($J$7:$J$30),COUNTA($J8:J$20),IF(ROW(1:1)&lt;COUNTA($J$7:$J$43),COUNTA($J8:J$31),IF(ROW(1:1)&lt;COUNTA($J$7:$J$56),COUNTA($J8:J$44),IF(ROW(1:1)&lt;COUNTA($J$7:$J$67),COUNTA($J8:J$57),IF(ROW(1:1)&lt;COUNTA($J$7:$J$78),COUNTA($J8:J$68))))))),MATCH(M8,Sheet1!$I$27:$N$27,0)),"")</f>
        <v>Gail Mandel</v>
      </c>
      <c r="L8">
        <v>0</v>
      </c>
      <c r="M8" s="72" t="str">
        <f>$B$8</f>
        <v>WER-A-B122</v>
      </c>
    </row>
    <row r="9" spans="1:13" x14ac:dyDescent="0.55000000000000004">
      <c r="A9" s="71"/>
      <c r="B9" s="28" t="str">
        <f>IF(Filter1_Pending!D3=Filter1_Pending!D2,"",Filter1_Pending!D3)</f>
        <v/>
      </c>
      <c r="C9" s="28" t="str">
        <f>IFERROR(VLOOKUP($B9,RawData_Pending!$D$2:$H$134,2,FALSE),"")</f>
        <v/>
      </c>
      <c r="D9" s="30" t="str">
        <f>IFERROR(VLOOKUP($B9,RawData_Pending!$D$2:$H$134,5,FALSE)/1000,"")</f>
        <v/>
      </c>
      <c r="E9" s="30" t="str">
        <f>IFERROR(VLOOKUP($B9,RawData_Pending!$D$2:$H$134,4,FALSE)/1000,"")</f>
        <v/>
      </c>
      <c r="F9" s="28" t="str">
        <f>IFERROR(VLOOKUP($B9,RawData_Pending!$D$2:$H$134,3,FALSE),"")</f>
        <v/>
      </c>
      <c r="G9" s="31" t="str">
        <f>IF(INDEX(Filter1_Pending!$1:$1048576,MATCH($B$8,Filter1_Pending!$D:$D,0)+L9,11)="Completed",INDEX(Filter1_Pending!$1:$1048576,MATCH($B$8,Filter1_Pending!$D:$D,0)+L9,10),"")</f>
        <v>Fiona Downing</v>
      </c>
      <c r="H9" s="32">
        <f>IF(INDEX(Filter1_Pending!$1:$1048576,MATCH($B$8,Filter1_Pending!$D:$D,0)+L9,11)="Completed",INDEX(Filter1_Pending!$1:$1048576,MATCH($B$8,Filter1_Pending!$D:$D,0)+L9,12),"")</f>
        <v>41068.811168981483</v>
      </c>
      <c r="I9" s="47" t="str">
        <f>IF(INDEX(Filter1_Pending!$1:$1048576,MATCH($B$8,Filter1_Pending!$D:$D,0)+L9,11)="Initialized",INDEX(Filter1_Pending!$1:$1048576,MATCH($B$8,Filter1_Pending!$D:$D,0)+L9,10),"")</f>
        <v/>
      </c>
      <c r="J9" s="48" t="str">
        <f>IF(INDEX(Filter1_Pending!$1:$1048576,MATCH($B$8,Filter1_Pending!$D:$D,0)+L9,11)="Initialized",INDEX(Filter1_Pending!$1:$1048576,MATCH($B$8,Filter1_Pending!$D:$D,0)+L9,3),"")</f>
        <v/>
      </c>
      <c r="K9" s="31" t="str">
        <f t="array" ref="K9">IFERROR(INDEX(Final_List,IF(ROW(2:2)&lt;COUNTA($J$7:$J$19),ROW(2:2),IF(ROW(2:2)&lt;COUNTA($J$7:$J$30),COUNTA($J9:J$20),IF(ROW(2:2)&lt;COUNTA($J$7:$J$43),COUNTA($J9:J$31),IF(ROW(2:2)&lt;COUNTA($J$7:$J$56),COUNTA($J9:J$44),IF(ROW(2:2)&lt;COUNTA($J$7:$J$67),COUNTA($J9:J$57),IF(ROW(2:2)&lt;COUNTA($J$7:$J$78),COUNTA($J9:J$68))))))),MATCH(M9,Sheet1!$I$27:$N$27,0)),"")</f>
        <v>Geoff Ballotti</v>
      </c>
      <c r="L9">
        <v>1</v>
      </c>
      <c r="M9" s="72" t="str">
        <f t="shared" ref="M9:M20" si="0">$B$8</f>
        <v>WER-A-B122</v>
      </c>
    </row>
    <row r="10" spans="1:13" x14ac:dyDescent="0.55000000000000004">
      <c r="A10" s="71"/>
      <c r="B10" s="28" t="str">
        <f>IF(Filter1_Pending!D4=Filter1_Pending!D3,"",Filter1_Pending!D4)</f>
        <v/>
      </c>
      <c r="C10" s="28" t="str">
        <f>IFERROR(VLOOKUP($B10,RawData_Pending!$D$2:$H$134,2,FALSE),"")</f>
        <v/>
      </c>
      <c r="D10" s="30" t="str">
        <f>IFERROR(VLOOKUP($B10,RawData_Pending!$D$2:$H$134,5,FALSE)/1000,"")</f>
        <v/>
      </c>
      <c r="E10" s="30" t="str">
        <f>IFERROR(VLOOKUP($B10,RawData_Pending!$D$2:$H$134,4,FALSE)/1000,"")</f>
        <v/>
      </c>
      <c r="F10" s="28" t="str">
        <f>IFERROR(VLOOKUP($B10,RawData_Pending!$D$2:$H$134,3,FALSE),"")</f>
        <v/>
      </c>
      <c r="G10" s="31" t="str">
        <f>IF(INDEX(Filter1_Pending!$1:$1048576,MATCH($B$8,Filter1_Pending!$D:$D,0)+L10,11)="Completed",INDEX(Filter1_Pending!$1:$1048576,MATCH($B$8,Filter1_Pending!$D:$D,0)+L10,10),"")</f>
        <v>Brian Gosling</v>
      </c>
      <c r="H10" s="32">
        <f>IF(INDEX(Filter1_Pending!$1:$1048576,MATCH($B$8,Filter1_Pending!$D:$D,0)+L10,11)="Completed",INDEX(Filter1_Pending!$1:$1048576,MATCH($B$8,Filter1_Pending!$D:$D,0)+L10,12),"")</f>
        <v>41067.883738425924</v>
      </c>
      <c r="I10" s="47" t="str">
        <f>IF(INDEX(Filter1_Pending!$1:$1048576,MATCH($B$8,Filter1_Pending!$D:$D,0)+L10,11)="Initialized",INDEX(Filter1_Pending!$1:$1048576,MATCH($B$8,Filter1_Pending!$D:$D,0)+L10,10),"")</f>
        <v/>
      </c>
      <c r="J10" s="48" t="str">
        <f>IF(INDEX(Filter1_Pending!$1:$1048576,MATCH($B$8,Filter1_Pending!$D:$D,0)+L10,11)="Initialized",INDEX(Filter1_Pending!$1:$1048576,MATCH($B$8,Filter1_Pending!$D:$D,0)+L10,3),"")</f>
        <v/>
      </c>
      <c r="K10" s="31" t="str">
        <f t="array" ref="K10">IFERROR(INDEX(Final_List,IF(ROW(3:3)&lt;COUNTA($J$7:$J$19),ROW(3:3),IF(ROW(3:3)&lt;COUNTA($J$7:$J$30),COUNTA($J10:J$20),IF(ROW(3:3)&lt;COUNTA($J$7:$J$43),COUNTA($J10:J$31),IF(ROW(3:3)&lt;COUNTA($J$7:$J$56),COUNTA($J10:J$44),IF(ROW(3:3)&lt;COUNTA($J$7:$J$67),COUNTA($J10:J$57),IF(ROW(3:3)&lt;COUNTA($J$7:$J$78),COUNTA($J10:J$68))))))),MATCH(M10,Sheet1!$I$27:$N$27,0)),"")</f>
        <v>Kevin Linder</v>
      </c>
      <c r="L10">
        <v>2</v>
      </c>
      <c r="M10" s="72" t="str">
        <f t="shared" si="0"/>
        <v>WER-A-B122</v>
      </c>
    </row>
    <row r="11" spans="1:13" x14ac:dyDescent="0.55000000000000004">
      <c r="A11" s="71"/>
      <c r="B11" s="28" t="str">
        <f>IF(Filter1_Pending!D5=Filter1_Pending!D4,"",Filter1_Pending!D5)</f>
        <v/>
      </c>
      <c r="C11" s="28" t="str">
        <f>IFERROR(VLOOKUP($B11,RawData_Pending!$D$2:$H$134,2,FALSE),"")</f>
        <v/>
      </c>
      <c r="D11" s="30" t="str">
        <f>IFERROR(VLOOKUP($B11,RawData_Pending!$D$2:$H$134,5,FALSE)/1000,"")</f>
        <v/>
      </c>
      <c r="E11" s="30" t="str">
        <f>IFERROR(VLOOKUP($B11,RawData_Pending!$D$2:$H$134,4,FALSE)/1000,"")</f>
        <v/>
      </c>
      <c r="F11" s="28" t="str">
        <f>IFERROR(VLOOKUP($B11,RawData_Pending!$D$2:$H$134,3,FALSE),"")</f>
        <v/>
      </c>
      <c r="G11" s="31" t="str">
        <f>IF(INDEX(Filter1_Pending!$1:$1048576,MATCH($B$8,Filter1_Pending!$D:$D,0)+L11,11)="Completed",INDEX(Filter1_Pending!$1:$1048576,MATCH($B$8,Filter1_Pending!$D:$D,0)+L11,10),"")</f>
        <v>Mike Toscano</v>
      </c>
      <c r="H11" s="32">
        <f>IF(INDEX(Filter1_Pending!$1:$1048576,MATCH($B$8,Filter1_Pending!$D:$D,0)+L11,11)="Completed",INDEX(Filter1_Pending!$1:$1048576,MATCH($B$8,Filter1_Pending!$D:$D,0)+L11,12),"")</f>
        <v>41067.855034722219</v>
      </c>
      <c r="I11" s="47" t="str">
        <f>IF(INDEX(Filter1_Pending!$1:$1048576,MATCH($B$8,Filter1_Pending!$D:$D,0)+L11,11)="Initialized",INDEX(Filter1_Pending!$1:$1048576,MATCH($B$8,Filter1_Pending!$D:$D,0)+L11,10),"")</f>
        <v/>
      </c>
      <c r="J11" s="48" t="str">
        <f>IF(INDEX(Filter1_Pending!$1:$1048576,MATCH($B$8,Filter1_Pending!$D:$D,0)+L11,11)="Initialized",INDEX(Filter1_Pending!$1:$1048576,MATCH($B$8,Filter1_Pending!$D:$D,0)+L11,3),"")</f>
        <v/>
      </c>
      <c r="K11" s="31" t="str">
        <f t="array" ref="K11">IFERROR(INDEX(Final_List,IF(ROW(4:4)&lt;COUNTA($J$7:$J$19),ROW(4:4),IF(ROW(4:4)&lt;COUNTA($J$7:$J$30),COUNTA($J11:J$20),IF(ROW(4:4)&lt;COUNTA($J$7:$J$43),COUNTA($J11:J$31),IF(ROW(4:4)&lt;COUNTA($J$7:$J$56),COUNTA($J11:J$44),IF(ROW(4:4)&lt;COUNTA($J$7:$J$67),COUNTA($J11:J$57),IF(ROW(4:4)&lt;COUNTA($J$7:$J$78),COUNTA($J11:J$68))))))),MATCH(M11,Sheet1!$I$27:$N$27,0)),"")</f>
        <v/>
      </c>
      <c r="L11">
        <v>3</v>
      </c>
      <c r="M11" s="72" t="str">
        <f t="shared" si="0"/>
        <v>WER-A-B122</v>
      </c>
    </row>
    <row r="12" spans="1:13" x14ac:dyDescent="0.55000000000000004">
      <c r="A12" s="71"/>
      <c r="B12" s="28" t="str">
        <f>IF(Filter1_Pending!D6=Filter1_Pending!D5,"",Filter1_Pending!D6)</f>
        <v/>
      </c>
      <c r="C12" s="28" t="str">
        <f>IFERROR(VLOOKUP($B12,RawData_Pending!$D$2:$H$134,2,FALSE),"")</f>
        <v/>
      </c>
      <c r="D12" s="30" t="str">
        <f>IFERROR(VLOOKUP($B12,RawData_Pending!$D$2:$H$134,5,FALSE)/1000,"")</f>
        <v/>
      </c>
      <c r="E12" s="30" t="str">
        <f>IFERROR(VLOOKUP($B12,RawData_Pending!$D$2:$H$134,4,FALSE)/1000,"")</f>
        <v/>
      </c>
      <c r="F12" s="28" t="str">
        <f>IFERROR(VLOOKUP($B12,RawData_Pending!$D$2:$H$134,3,FALSE),"")</f>
        <v/>
      </c>
      <c r="G12" s="31" t="str">
        <f>IF(INDEX(Filter1_Pending!$1:$1048576,MATCH($B$8,Filter1_Pending!$D:$D,0)+L12,11)="Completed",INDEX(Filter1_Pending!$1:$1048576,MATCH($B$8,Filter1_Pending!$D:$D,0)+L12,10),"")</f>
        <v>Gordon Gurnik</v>
      </c>
      <c r="H12" s="32">
        <f>IF(INDEX(Filter1_Pending!$1:$1048576,MATCH($B$8,Filter1_Pending!$D:$D,0)+L12,11)="Completed",INDEX(Filter1_Pending!$1:$1048576,MATCH($B$8,Filter1_Pending!$D:$D,0)+L12,12),"")</f>
        <v>41067.802824074075</v>
      </c>
      <c r="I12" s="47" t="str">
        <f>IF(INDEX(Filter1_Pending!$1:$1048576,MATCH($B$8,Filter1_Pending!$D:$D,0)+L12,11)="Initialized",INDEX(Filter1_Pending!$1:$1048576,MATCH($B$8,Filter1_Pending!$D:$D,0)+L12,10),"")</f>
        <v/>
      </c>
      <c r="J12" s="48" t="str">
        <f>IF(INDEX(Filter1_Pending!$1:$1048576,MATCH($B$8,Filter1_Pending!$D:$D,0)+L12,11)="Initialized",INDEX(Filter1_Pending!$1:$1048576,MATCH($B$8,Filter1_Pending!$D:$D,0)+L12,3),"")</f>
        <v/>
      </c>
      <c r="K12" s="31" t="str">
        <f t="array" ref="K12">IFERROR(INDEX(Final_List,IF(ROW(5:5)&lt;COUNTA($J$7:$J$19),ROW(5:5),IF(ROW(5:5)&lt;COUNTA($J$7:$J$30),COUNTA($J12:J$20),IF(ROW(5:5)&lt;COUNTA($J$7:$J$43),COUNTA($J12:J$31),IF(ROW(5:5)&lt;COUNTA($J$7:$J$56),COUNTA($J12:J$44),IF(ROW(5:5)&lt;COUNTA($J$7:$J$67),COUNTA($J12:J$57),IF(ROW(5:5)&lt;COUNTA($J$7:$J$78),COUNTA($J12:J$68))))))),MATCH(M12,Sheet1!$I$27:$N$27,0)),"")</f>
        <v/>
      </c>
      <c r="L12">
        <v>4</v>
      </c>
      <c r="M12" s="72" t="str">
        <f t="shared" si="0"/>
        <v>WER-A-B122</v>
      </c>
    </row>
    <row r="13" spans="1:13" x14ac:dyDescent="0.55000000000000004">
      <c r="A13" s="71"/>
      <c r="B13" s="28" t="str">
        <f>IF(Filter1_Pending!D7=Filter1_Pending!D6,"",Filter1_Pending!D7)</f>
        <v/>
      </c>
      <c r="C13" s="28" t="str">
        <f>IFERROR(VLOOKUP($B13,RawData_Pending!$D$2:$H$134,2,FALSE),"")</f>
        <v/>
      </c>
      <c r="D13" s="30" t="str">
        <f>IFERROR(VLOOKUP($B13,RawData_Pending!$D$2:$H$134,5,FALSE)/1000,"")</f>
        <v/>
      </c>
      <c r="E13" s="30" t="str">
        <f>IFERROR(VLOOKUP($B13,RawData_Pending!$D$2:$H$134,4,FALSE)/1000,"")</f>
        <v/>
      </c>
      <c r="F13" s="28" t="str">
        <f>IFERROR(VLOOKUP($B13,RawData_Pending!$D$2:$H$134,3,FALSE),"")</f>
        <v/>
      </c>
      <c r="G13" s="31" t="str">
        <f>IF(INDEX(Filter1_Pending!$1:$1048576,MATCH($B$8,Filter1_Pending!$D:$D,0)+L13,11)="Completed",INDEX(Filter1_Pending!$1:$1048576,MATCH($B$8,Filter1_Pending!$D:$D,0)+L13,10),"")</f>
        <v>Brad Dettmer</v>
      </c>
      <c r="H13" s="32">
        <f>IF(INDEX(Filter1_Pending!$1:$1048576,MATCH($B$8,Filter1_Pending!$D:$D,0)+L13,11)="Completed",INDEX(Filter1_Pending!$1:$1048576,MATCH($B$8,Filter1_Pending!$D:$D,0)+L13,12),"")</f>
        <v>41067.813796296294</v>
      </c>
      <c r="I13" s="47" t="str">
        <f>IF(INDEX(Filter1_Pending!$1:$1048576,MATCH($B$8,Filter1_Pending!$D:$D,0)+L13,11)="Initialized",INDEX(Filter1_Pending!$1:$1048576,MATCH($B$8,Filter1_Pending!$D:$D,0)+L13,10),"")</f>
        <v/>
      </c>
      <c r="J13" s="48" t="str">
        <f>IF(INDEX(Filter1_Pending!$1:$1048576,MATCH($B$8,Filter1_Pending!$D:$D,0)+L13,11)="Initialized",INDEX(Filter1_Pending!$1:$1048576,MATCH($B$8,Filter1_Pending!$D:$D,0)+L13,3),"")</f>
        <v/>
      </c>
      <c r="K13" s="31" t="str">
        <f t="array" ref="K13">IFERROR(INDEX(Final_List,IF(ROW(6:6)&lt;COUNTA($J$7:$J$19),ROW(6:6),IF(ROW(6:6)&lt;COUNTA($J$7:$J$30),COUNTA($J13:J$20),IF(ROW(6:6)&lt;COUNTA($J$7:$J$43),COUNTA($J13:J$31),IF(ROW(6:6)&lt;COUNTA($J$7:$J$56),COUNTA($J13:J$44),IF(ROW(6:6)&lt;COUNTA($J$7:$J$67),COUNTA($J13:J$57),IF(ROW(6:6)&lt;COUNTA($J$7:$J$78),COUNTA($J13:J$68))))))),MATCH(M13,Sheet1!$I$27:$N$27,0)),"")</f>
        <v/>
      </c>
      <c r="L13">
        <v>5</v>
      </c>
      <c r="M13" s="72" t="str">
        <f t="shared" si="0"/>
        <v>WER-A-B122</v>
      </c>
    </row>
    <row r="14" spans="1:13" x14ac:dyDescent="0.55000000000000004">
      <c r="A14" s="71"/>
      <c r="B14" s="28" t="str">
        <f>IF(Filter1_Pending!D8=Filter1_Pending!D7,"",Filter1_Pending!D8)</f>
        <v/>
      </c>
      <c r="C14" s="28" t="str">
        <f>IFERROR(VLOOKUP($B14,RawData_Pending!$D$2:$H$134,2,FALSE),"")</f>
        <v/>
      </c>
      <c r="D14" s="30" t="str">
        <f>IFERROR(VLOOKUP($B14,RawData_Pending!$D$2:$H$134,5,FALSE)/1000,"")</f>
        <v/>
      </c>
      <c r="E14" s="30" t="str">
        <f>IFERROR(VLOOKUP($B14,RawData_Pending!$D$2:$H$134,4,FALSE)/1000,"")</f>
        <v/>
      </c>
      <c r="F14" s="28" t="str">
        <f>IFERROR(VLOOKUP($B14,RawData_Pending!$D$2:$H$134,3,FALSE),"")</f>
        <v/>
      </c>
      <c r="G14" s="31" t="str">
        <f>IF(INDEX(Filter1_Pending!$1:$1048576,MATCH($B$8,Filter1_Pending!$D:$D,0)+L14,11)="Completed",INDEX(Filter1_Pending!$1:$1048576,MATCH($B$8,Filter1_Pending!$D:$D,0)+L14,10),"")</f>
        <v>Amy Dormann</v>
      </c>
      <c r="H14" s="32">
        <f>IF(INDEX(Filter1_Pending!$1:$1048576,MATCH($B$8,Filter1_Pending!$D:$D,0)+L14,11)="Completed",INDEX(Filter1_Pending!$1:$1048576,MATCH($B$8,Filter1_Pending!$D:$D,0)+L14,12),"")</f>
        <v>41067.818182870367</v>
      </c>
      <c r="I14" s="47" t="str">
        <f>IF(INDEX(Filter1_Pending!$1:$1048576,MATCH($B$8,Filter1_Pending!$D:$D,0)+L14,11)="Initialized",INDEX(Filter1_Pending!$1:$1048576,MATCH($B$8,Filter1_Pending!$D:$D,0)+L14,10),"")</f>
        <v/>
      </c>
      <c r="J14" s="48" t="str">
        <f>IF(INDEX(Filter1_Pending!$1:$1048576,MATCH($B$8,Filter1_Pending!$D:$D,0)+L14,11)="Initialized",INDEX(Filter1_Pending!$1:$1048576,MATCH($B$8,Filter1_Pending!$D:$D,0)+L14,3),"")</f>
        <v/>
      </c>
      <c r="K14" s="31" t="str">
        <f t="array" ref="K14">IFERROR(INDEX(Final_List,IF(ROW(7:7)&lt;COUNTA($J$7:$J$19),ROW(7:7),IF(ROW(7:7)&lt;COUNTA($J$7:$J$30),COUNTA($J14:J$20),IF(ROW(7:7)&lt;COUNTA($J$7:$J$43),COUNTA($J14:J$31),IF(ROW(7:7)&lt;COUNTA($J$7:$J$56),COUNTA($J14:J$44),IF(ROW(7:7)&lt;COUNTA($J$7:$J$67),COUNTA($J14:J$57),IF(ROW(7:7)&lt;COUNTA($J$7:$J$78),COUNTA($J14:J$68))))))),MATCH(M14,Sheet1!$I$27:$N$27,0)),"")</f>
        <v/>
      </c>
      <c r="L14">
        <v>6</v>
      </c>
      <c r="M14" s="72" t="str">
        <f t="shared" si="0"/>
        <v>WER-A-B122</v>
      </c>
    </row>
    <row r="15" spans="1:13" x14ac:dyDescent="0.55000000000000004">
      <c r="A15" s="71"/>
      <c r="B15" s="28" t="str">
        <f>IF(Filter1_Pending!D9=Filter1_Pending!D8,"",Filter1_Pending!D9)</f>
        <v/>
      </c>
      <c r="C15" s="28" t="str">
        <f>IFERROR(VLOOKUP($B15,RawData_Pending!$D$2:$H$134,2,FALSE),"")</f>
        <v/>
      </c>
      <c r="D15" s="30" t="str">
        <f>IFERROR(VLOOKUP($B15,RawData_Pending!$D$2:$H$134,5,FALSE)/1000,"")</f>
        <v/>
      </c>
      <c r="E15" s="30" t="str">
        <f>IFERROR(VLOOKUP($B15,RawData_Pending!$D$2:$H$134,4,FALSE)/1000,"")</f>
        <v/>
      </c>
      <c r="F15" s="28" t="str">
        <f>IFERROR(VLOOKUP($B15,RawData_Pending!$D$2:$H$134,3,FALSE),"")</f>
        <v/>
      </c>
      <c r="G15" s="31" t="str">
        <f>IF(INDEX(Filter1_Pending!$1:$1048576,MATCH($B$8,Filter1_Pending!$D:$D,0)+L15,11)="Completed",INDEX(Filter1_Pending!$1:$1048576,MATCH($B$8,Filter1_Pending!$D:$D,0)+L15,10),"")</f>
        <v>Christine Parren</v>
      </c>
      <c r="H15" s="32">
        <f>IF(INDEX(Filter1_Pending!$1:$1048576,MATCH($B$8,Filter1_Pending!$D:$D,0)+L15,11)="Completed",INDEX(Filter1_Pending!$1:$1048576,MATCH($B$8,Filter1_Pending!$D:$D,0)+L15,12),"")</f>
        <v>41067.786574074074</v>
      </c>
      <c r="I15" s="47" t="str">
        <f>IF(INDEX(Filter1_Pending!$1:$1048576,MATCH($B$8,Filter1_Pending!$D:$D,0)+L15,11)="Initialized",INDEX(Filter1_Pending!$1:$1048576,MATCH($B$8,Filter1_Pending!$D:$D,0)+L15,10),"")</f>
        <v/>
      </c>
      <c r="J15" s="48" t="str">
        <f>IF(INDEX(Filter1_Pending!$1:$1048576,MATCH($B$8,Filter1_Pending!$D:$D,0)+L15,11)="Initialized",INDEX(Filter1_Pending!$1:$1048576,MATCH($B$8,Filter1_Pending!$D:$D,0)+L15,3),"")</f>
        <v/>
      </c>
      <c r="K15" s="31" t="str">
        <f t="array" ref="K15">IFERROR(INDEX(Final_List,IF(ROW(8:8)&lt;COUNTA($J$7:$J$19),ROW(8:8),IF(ROW(8:8)&lt;COUNTA($J$7:$J$30),COUNTA($J15:J$20),IF(ROW(8:8)&lt;COUNTA($J$7:$J$43),COUNTA($J15:J$31),IF(ROW(8:8)&lt;COUNTA($J$7:$J$56),COUNTA($J15:J$44),IF(ROW(8:8)&lt;COUNTA($J$7:$J$67),COUNTA($J15:J$57),IF(ROW(8:8)&lt;COUNTA($J$7:$J$78),COUNTA($J15:J$68))))))),MATCH(M15,Sheet1!$I$27:$N$27,0)),"")</f>
        <v/>
      </c>
      <c r="L15">
        <v>7</v>
      </c>
      <c r="M15" s="72" t="str">
        <f t="shared" si="0"/>
        <v>WER-A-B122</v>
      </c>
    </row>
    <row r="16" spans="1:13" x14ac:dyDescent="0.55000000000000004">
      <c r="A16" s="71"/>
      <c r="B16" s="28" t="str">
        <f>IF(Filter1_Pending!D10=Filter1_Pending!D9,"",Filter1_Pending!D10)</f>
        <v/>
      </c>
      <c r="C16" s="28" t="str">
        <f>IFERROR(VLOOKUP($B16,RawData_Pending!$D$2:$H$134,2,FALSE),"")</f>
        <v/>
      </c>
      <c r="D16" s="30" t="str">
        <f>IFERROR(VLOOKUP($B16,RawData_Pending!$D$2:$H$134,5,FALSE)/1000,"")</f>
        <v/>
      </c>
      <c r="E16" s="30" t="str">
        <f>IFERROR(VLOOKUP($B16,RawData_Pending!$D$2:$H$134,4,FALSE)/1000,"")</f>
        <v/>
      </c>
      <c r="F16" s="28" t="str">
        <f>IFERROR(VLOOKUP($B16,RawData_Pending!$D$2:$H$134,3,FALSE),"")</f>
        <v/>
      </c>
      <c r="G16" s="31" t="str">
        <f>IF(INDEX(Filter1_Pending!$1:$1048576,MATCH($B$8,Filter1_Pending!$D:$D,0)+L16,11)="Completed",INDEX(Filter1_Pending!$1:$1048576,MATCH($B$8,Filter1_Pending!$D:$D,0)+L16,10),"")</f>
        <v>Susan Post</v>
      </c>
      <c r="H16" s="32">
        <f>IF(INDEX(Filter1_Pending!$1:$1048576,MATCH($B$8,Filter1_Pending!$D:$D,0)+L16,11)="Completed",INDEX(Filter1_Pending!$1:$1048576,MATCH($B$8,Filter1_Pending!$D:$D,0)+L16,12),"")</f>
        <v>41067.784375000003</v>
      </c>
      <c r="I16" s="47" t="str">
        <f>IF(INDEX(Filter1_Pending!$1:$1048576,MATCH($B$8,Filter1_Pending!$D:$D,0)+L16,11)="Initialized",INDEX(Filter1_Pending!$1:$1048576,MATCH($B$8,Filter1_Pending!$D:$D,0)+L16,10),"")</f>
        <v/>
      </c>
      <c r="J16" s="48" t="str">
        <f>IF(INDEX(Filter1_Pending!$1:$1048576,MATCH($B$8,Filter1_Pending!$D:$D,0)+L16,11)="Initialized",INDEX(Filter1_Pending!$1:$1048576,MATCH($B$8,Filter1_Pending!$D:$D,0)+L16,3),"")</f>
        <v/>
      </c>
      <c r="K16" s="31" t="str">
        <f t="array" ref="K16">IFERROR(INDEX(Final_List,IF(ROW(9:9)&lt;COUNTA($J$7:$J$19),ROW(9:9),IF(ROW(9:9)&lt;COUNTA($J$7:$J$30),COUNTA($J16:J$20),IF(ROW(9:9)&lt;COUNTA($J$7:$J$43),COUNTA($J16:J$31),IF(ROW(9:9)&lt;COUNTA($J$7:$J$56),COUNTA($J16:J$44),IF(ROW(9:9)&lt;COUNTA($J$7:$J$67),COUNTA($J16:J$57),IF(ROW(9:9)&lt;COUNTA($J$7:$J$78),COUNTA($J16:J$68))))))),MATCH(M16,Sheet1!$I$27:$N$27,0)),"")</f>
        <v/>
      </c>
      <c r="L16">
        <v>8</v>
      </c>
      <c r="M16" s="72" t="str">
        <f t="shared" si="0"/>
        <v>WER-A-B122</v>
      </c>
    </row>
    <row r="17" spans="1:13" x14ac:dyDescent="0.55000000000000004">
      <c r="A17" s="71"/>
      <c r="B17" s="28" t="str">
        <f>IF(Filter1_Pending!D11=Filter1_Pending!D10,"",Filter1_Pending!D11)</f>
        <v/>
      </c>
      <c r="C17" s="28" t="str">
        <f>IFERROR(VLOOKUP($B17,RawData_Pending!$D$2:$H$134,2,FALSE),"")</f>
        <v/>
      </c>
      <c r="D17" s="30" t="str">
        <f>IFERROR(VLOOKUP($B17,RawData_Pending!$D$2:$H$134,5,FALSE)/1000,"")</f>
        <v/>
      </c>
      <c r="E17" s="30" t="str">
        <f>IFERROR(VLOOKUP($B17,RawData_Pending!$D$2:$H$134,4,FALSE)/1000,"")</f>
        <v/>
      </c>
      <c r="F17" s="28" t="str">
        <f>IFERROR(VLOOKUP($B17,RawData_Pending!$D$2:$H$134,3,FALSE),"")</f>
        <v/>
      </c>
      <c r="G17" s="31" t="str">
        <f>IF(INDEX(Filter1_Pending!$1:$1048576,MATCH($B$8,Filter1_Pending!$D:$D,0)+L17,11)="Completed",INDEX(Filter1_Pending!$1:$1048576,MATCH($B$8,Filter1_Pending!$D:$D,0)+L17,10),"")</f>
        <v>Rob Tatum</v>
      </c>
      <c r="H17" s="32">
        <f>IF(INDEX(Filter1_Pending!$1:$1048576,MATCH($B$8,Filter1_Pending!$D:$D,0)+L17,11)="Completed",INDEX(Filter1_Pending!$1:$1048576,MATCH($B$8,Filter1_Pending!$D:$D,0)+L17,12),"")</f>
        <v>41067.790393518517</v>
      </c>
      <c r="I17" s="47" t="str">
        <f>IF(INDEX(Filter1_Pending!$1:$1048576,MATCH($B$8,Filter1_Pending!$D:$D,0)+L17,11)="Initialized",INDEX(Filter1_Pending!$1:$1048576,MATCH($B$8,Filter1_Pending!$D:$D,0)+L17,10),"")</f>
        <v/>
      </c>
      <c r="J17" s="48" t="str">
        <f>IF(INDEX(Filter1_Pending!$1:$1048576,MATCH($B$8,Filter1_Pending!$D:$D,0)+L17,11)="Initialized",INDEX(Filter1_Pending!$1:$1048576,MATCH($B$8,Filter1_Pending!$D:$D,0)+L17,3),"")</f>
        <v/>
      </c>
      <c r="K17" s="31" t="str">
        <f t="array" ref="K17">IFERROR(INDEX(Final_List,IF(ROW(10:10)&lt;COUNTA($J$7:$J$19),ROW(10:10),IF(ROW(10:10)&lt;COUNTA($J$7:$J$30),COUNTA($J17:J$20),IF(ROW(10:10)&lt;COUNTA($J$7:$J$43),COUNTA($J17:J$31),IF(ROW(10:10)&lt;COUNTA($J$7:$J$56),COUNTA($J17:J$44),IF(ROW(10:10)&lt;COUNTA($J$7:$J$67),COUNTA($J17:J$57),IF(ROW(10:10)&lt;COUNTA($J$7:$J$78),COUNTA($J17:J$68))))))),MATCH(M17,Sheet1!$I$27:$N$27,0)),"")</f>
        <v/>
      </c>
      <c r="L17">
        <v>9</v>
      </c>
      <c r="M17" s="72" t="str">
        <f t="shared" si="0"/>
        <v>WER-A-B122</v>
      </c>
    </row>
    <row r="18" spans="1:13" x14ac:dyDescent="0.55000000000000004">
      <c r="A18" s="71"/>
      <c r="B18" s="28" t="str">
        <f>IF(Filter1_Pending!D12=Filter1_Pending!D11,"",Filter1_Pending!D12)</f>
        <v/>
      </c>
      <c r="C18" s="28" t="str">
        <f>IFERROR(VLOOKUP($B18,RawData_Pending!$D$2:$H$134,2,FALSE),"")</f>
        <v/>
      </c>
      <c r="D18" s="30" t="str">
        <f>IFERROR(VLOOKUP($B18,RawData_Pending!$D$2:$H$134,5,FALSE)/1000,"")</f>
        <v/>
      </c>
      <c r="E18" s="30" t="str">
        <f>IFERROR(VLOOKUP($B18,RawData_Pending!$D$2:$H$134,4,FALSE)/1000,"")</f>
        <v/>
      </c>
      <c r="F18" s="28" t="str">
        <f>IFERROR(VLOOKUP($B18,RawData_Pending!$D$2:$H$134,3,FALSE),"")</f>
        <v/>
      </c>
      <c r="G18" s="31" t="str">
        <f>IF(INDEX(Filter1_Pending!$1:$1048576,MATCH($B$8,Filter1_Pending!$D:$D,0)+L18,11)="Completed",INDEX(Filter1_Pending!$1:$1048576,MATCH($B$8,Filter1_Pending!$D:$D,0)+L18,10),"")</f>
        <v/>
      </c>
      <c r="H18" s="32" t="str">
        <f>IF(INDEX(Filter1_Pending!$1:$1048576,MATCH($B$8,Filter1_Pending!$D:$D,0)+L18,11)="Completed",INDEX(Filter1_Pending!$1:$1048576,MATCH($B$8,Filter1_Pending!$D:$D,0)+L18,12),"")</f>
        <v/>
      </c>
      <c r="I18" s="47" t="str">
        <f>IF(INDEX(Filter1_Pending!$1:$1048576,MATCH($B$8,Filter1_Pending!$D:$D,0)+L18,11)="Initialized",INDEX(Filter1_Pending!$1:$1048576,MATCH($B$8,Filter1_Pending!$D:$D,0)+L18,10),"")</f>
        <v>Claire Mahoney</v>
      </c>
      <c r="J18" s="48">
        <f>IF(INDEX(Filter1_Pending!$1:$1048576,MATCH($B$8,Filter1_Pending!$D:$D,0)+L18,11)="Initialized",INDEX(Filter1_Pending!$1:$1048576,MATCH($B$8,Filter1_Pending!$D:$D,0)+L18,3),"")</f>
        <v>41067.783159722225</v>
      </c>
      <c r="K18" s="31" t="str">
        <f t="array" ref="K18">IFERROR(INDEX(Final_List,IF(ROW(11:11)&lt;COUNTA($J$7:$J$19),ROW(11:11),IF(ROW(11:11)&lt;COUNTA($J$7:$J$30),COUNTA($J18:J$20),IF(ROW(11:11)&lt;COUNTA($J$7:$J$43),COUNTA($J18:J$31),IF(ROW(11:11)&lt;COUNTA($J$7:$J$56),COUNTA($J18:J$44),IF(ROW(11:11)&lt;COUNTA($J$7:$J$67),COUNTA($J18:J$57),IF(ROW(11:11)&lt;COUNTA($J$7:$J$78),COUNTA($J18:J$68))))))),MATCH(M18,Sheet1!$I$27:$N$27,0)),"")</f>
        <v/>
      </c>
      <c r="L18">
        <v>10</v>
      </c>
      <c r="M18" s="72" t="str">
        <f t="shared" si="0"/>
        <v>WER-A-B122</v>
      </c>
    </row>
    <row r="19" spans="1:13" x14ac:dyDescent="0.55000000000000004">
      <c r="A19" s="71"/>
      <c r="B19" s="28" t="str">
        <f>IF(Filter1_Pending!D13=Filter1_Pending!D12,"",Filter1_Pending!D13)</f>
        <v/>
      </c>
      <c r="C19" s="28" t="str">
        <f>IFERROR(VLOOKUP($B19,RawData_Pending!$D$2:$H$134,2,FALSE),"")</f>
        <v/>
      </c>
      <c r="D19" s="30" t="str">
        <f>IFERROR(VLOOKUP($B19,RawData_Pending!$D$2:$H$134,5,FALSE)/1000,"")</f>
        <v/>
      </c>
      <c r="E19" s="30" t="str">
        <f>IFERROR(VLOOKUP($B19,RawData_Pending!$D$2:$H$134,4,FALSE)/1000,"")</f>
        <v/>
      </c>
      <c r="F19" s="28" t="str">
        <f>IFERROR(VLOOKUP($B19,RawData_Pending!$D$2:$H$134,3,FALSE),"")</f>
        <v/>
      </c>
      <c r="G19" s="31" t="str">
        <f>IF(INDEX(Filter1_Pending!$1:$1048576,MATCH($B$8,Filter1_Pending!$D:$D,0)+L19,11)="Completed",INDEX(Filter1_Pending!$1:$1048576,MATCH($B$8,Filter1_Pending!$D:$D,0)+L19,10),"")</f>
        <v/>
      </c>
      <c r="H19" s="32" t="str">
        <f>IF(INDEX(Filter1_Pending!$1:$1048576,MATCH($B$8,Filter1_Pending!$D:$D,0)+L19,11)="Completed",INDEX(Filter1_Pending!$1:$1048576,MATCH($B$8,Filter1_Pending!$D:$D,0)+L19,12),"")</f>
        <v/>
      </c>
      <c r="I19" s="47" t="str">
        <f>IF(INDEX(Filter1_Pending!$1:$1048576,MATCH($B$8,Filter1_Pending!$D:$D,0)+L19,11)="Initialized",INDEX(Filter1_Pending!$1:$1048576,MATCH($B$8,Filter1_Pending!$D:$D,0)+L19,10),"")</f>
        <v>Barbara Spengler</v>
      </c>
      <c r="J19" s="48">
        <f>IF(INDEX(Filter1_Pending!$1:$1048576,MATCH($B$8,Filter1_Pending!$D:$D,0)+L19,11)="Initialized",INDEX(Filter1_Pending!$1:$1048576,MATCH($B$8,Filter1_Pending!$D:$D,0)+L19,3),"")</f>
        <v>41067.783159722225</v>
      </c>
      <c r="K19" s="31" t="str">
        <f t="array" ref="K19">IFERROR(INDEX(Final_List,IF(ROW(12:12)&lt;COUNTA($J$7:$J$19),ROW(12:12),IF(ROW(12:12)&lt;COUNTA($J$7:$J$30),COUNTA($J19:J$20),IF(ROW(12:12)&lt;COUNTA($J$7:$J$43),COUNTA($J19:J$31),IF(ROW(12:12)&lt;COUNTA($J$7:$J$56),COUNTA($J19:J$44),IF(ROW(12:12)&lt;COUNTA($J$7:$J$67),COUNTA($J19:J$57),IF(ROW(12:12)&lt;COUNTA($J$7:$J$78),COUNTA($J19:J$68))))))),MATCH(M19,Sheet1!$I$27:$N$27,0)),"")</f>
        <v/>
      </c>
      <c r="L19">
        <v>11</v>
      </c>
      <c r="M19" s="72" t="str">
        <f t="shared" si="0"/>
        <v>WER-A-B122</v>
      </c>
    </row>
    <row r="20" spans="1:13" x14ac:dyDescent="0.55000000000000004">
      <c r="A20" s="71"/>
      <c r="B20" s="28" t="str">
        <f>IF(Filter1_Pending!D14=Filter1_Pending!D13,"",Filter1_Pending!D14)</f>
        <v>WER-A-B146</v>
      </c>
      <c r="C20" s="28" t="str">
        <f>IFERROR(VLOOKUP($B20,RawData_Pending!$D$2:$H$134,2,FALSE),"")</f>
        <v>Global</v>
      </c>
      <c r="D20" s="30">
        <f>IFERROR(VLOOKUP($B20,RawData_Pending!$D$2:$H$134,5,FALSE)/1000,"")</f>
        <v>3726.9229999999998</v>
      </c>
      <c r="E20" s="30">
        <f>IFERROR(VLOOKUP($B20,RawData_Pending!$D$2:$H$134,4,FALSE)/1000,"")</f>
        <v>0</v>
      </c>
      <c r="F20" s="28" t="str">
        <f>IFERROR(VLOOKUP($B20,RawData_Pending!$D$2:$H$134,3,FALSE),"")</f>
        <v>Global CVV2 Compliance - Release 1 (Full CR)</v>
      </c>
      <c r="G20" s="31" t="str">
        <f>IF(INDEX(Filter1_Pending!$1:$1048576,MATCH($B$8,Filter1_Pending!$D:$D,0)+L20,11)="Completed",INDEX(Filter1_Pending!$1:$1048576,MATCH($B$8,Filter1_Pending!$D:$D,0)+L20,10),"")</f>
        <v>Terry Motsenbocker</v>
      </c>
      <c r="H20" s="32">
        <f>IF(INDEX(Filter1_Pending!$1:$1048576,MATCH($B$8,Filter1_Pending!$D:$D,0)+L20,11)="Completed",INDEX(Filter1_Pending!$1:$1048576,MATCH($B$8,Filter1_Pending!$D:$D,0)+L20,12),"")</f>
        <v>41071.564560185187</v>
      </c>
      <c r="I20" s="47" t="str">
        <f>IF(INDEX(Filter1_Pending!$1:$1048576,MATCH($B$8,Filter1_Pending!$D:$D,0)+L20,11)="Initialized",INDEX(Filter1_Pending!$1:$1048576,MATCH($B$8,Filter1_Pending!$D:$D,0)+L20,10),"")</f>
        <v/>
      </c>
      <c r="J20" s="48" t="str">
        <f>IF(INDEX(Filter1_Pending!$1:$1048576,MATCH($B$8,Filter1_Pending!$D:$D,0)+L20,11)="Initialized",INDEX(Filter1_Pending!$1:$1048576,MATCH($B$8,Filter1_Pending!$D:$D,0)+L20,3),"")</f>
        <v/>
      </c>
      <c r="K20" s="31" t="str">
        <f t="array" ref="K20">IFERROR(INDEX(Final_List,IF(ROW(13:13)&lt;COUNTA($J$7:$J$19),ROW(13:13),IF(ROW(13:13)&lt;COUNTA($J$7:$J$30),COUNTA($J20:J$20),IF(ROW(13:13)&lt;COUNTA($J$7:$J$43),COUNTA($J20:J$31),IF(ROW(13:13)&lt;COUNTA($J$7:$J$56),COUNTA($J20:J$44),IF(ROW(13:13)&lt;COUNTA($J$7:$J$67),COUNTA($J20:J$57),IF(ROW(13:13)&lt;COUNTA($J$7:$J$78),COUNTA($J20:J$68))))))),MATCH(M20,Sheet1!$I$27:$N$27,0)),"")</f>
        <v>Gail Mandel</v>
      </c>
      <c r="L20">
        <v>12</v>
      </c>
      <c r="M20" s="72" t="str">
        <f>$B$20</f>
        <v>WER-A-B146</v>
      </c>
    </row>
    <row r="21" spans="1:13" x14ac:dyDescent="0.55000000000000004">
      <c r="A21" s="71"/>
      <c r="B21" s="28" t="str">
        <f>IF(Filter1_Pending!D15=Filter1_Pending!D14,"",Filter1_Pending!D15)</f>
        <v/>
      </c>
      <c r="C21" s="28" t="str">
        <f>IFERROR(VLOOKUP($B21,RawData_Pending!$D$2:$H$134,2,FALSE),"")</f>
        <v/>
      </c>
      <c r="D21" s="30" t="str">
        <f>IFERROR(VLOOKUP($B21,RawData_Pending!$D$2:$H$134,5,FALSE)/1000,"")</f>
        <v/>
      </c>
      <c r="E21" s="30" t="str">
        <f>IFERROR(VLOOKUP($B21,RawData_Pending!$D$2:$H$134,4,FALSE)/1000,"")</f>
        <v/>
      </c>
      <c r="F21" s="28" t="str">
        <f>IFERROR(VLOOKUP($B21,RawData_Pending!$D$2:$H$134,3,FALSE),"")</f>
        <v/>
      </c>
      <c r="G21" s="31" t="str">
        <f>IF(INDEX(Filter1_Pending!$1:$1048576,MATCH($B$8,Filter1_Pending!$D:$D,0)+L21,11)="Completed",INDEX(Filter1_Pending!$1:$1048576,MATCH($B$8,Filter1_Pending!$D:$D,0)+L21,10),"")</f>
        <v>Stan Kreydin</v>
      </c>
      <c r="H21" s="32">
        <f>IF(INDEX(Filter1_Pending!$1:$1048576,MATCH($B$8,Filter1_Pending!$D:$D,0)+L21,11)="Completed",INDEX(Filter1_Pending!$1:$1048576,MATCH($B$8,Filter1_Pending!$D:$D,0)+L21,12),"")</f>
        <v>41072.639988425923</v>
      </c>
      <c r="I21" s="47" t="str">
        <f>IF(INDEX(Filter1_Pending!$1:$1048576,MATCH($B$8,Filter1_Pending!$D:$D,0)+L21,11)="Initialized",INDEX(Filter1_Pending!$1:$1048576,MATCH($B$8,Filter1_Pending!$D:$D,0)+L21,10),"")</f>
        <v/>
      </c>
      <c r="J21" s="48" t="str">
        <f>IF(INDEX(Filter1_Pending!$1:$1048576,MATCH($B$8,Filter1_Pending!$D:$D,0)+L21,11)="Initialized",INDEX(Filter1_Pending!$1:$1048576,MATCH($B$8,Filter1_Pending!$D:$D,0)+L21,3),"")</f>
        <v/>
      </c>
      <c r="K21" s="31" t="str">
        <f t="array" ref="K21">IFERROR(INDEX(Final_List,IF(ROW(14:14)&lt;COUNTA($J$7:$J$19),ROW(14:14),IF(ROW(14:14)&lt;COUNTA($J$7:$J$30),COUNTA($J$20:J21),IF(ROW(14:14)&lt;COUNTA($J$7:$J$43),COUNTA($J21:J$31),IF(ROW(14:14)&lt;COUNTA($J$7:$J$56),COUNTA($J21:J$44),IF(ROW(14:14)&lt;COUNTA($J$7:$J$67),COUNTA($J21:J$57),IF(ROW(14:14)&lt;COUNTA($J$7:$J$78),COUNTA($J21:J$68))))))),MATCH(M21,Sheet1!$I$27:$N$27,0)),"")</f>
        <v>Geoff Ballotti</v>
      </c>
      <c r="L21">
        <v>13</v>
      </c>
      <c r="M21" s="72" t="str">
        <f t="shared" ref="M21:M34" si="1">$B$20</f>
        <v>WER-A-B146</v>
      </c>
    </row>
    <row r="22" spans="1:13" x14ac:dyDescent="0.55000000000000004">
      <c r="A22" s="71"/>
      <c r="B22" s="28" t="str">
        <f>IF(Filter1_Pending!D16=Filter1_Pending!D15,"",Filter1_Pending!D16)</f>
        <v/>
      </c>
      <c r="C22" s="28" t="str">
        <f>IFERROR(VLOOKUP($B22,RawData_Pending!$D$2:$H$134,2,FALSE),"")</f>
        <v/>
      </c>
      <c r="D22" s="30" t="str">
        <f>IFERROR(VLOOKUP($B22,RawData_Pending!$D$2:$H$134,5,FALSE)/1000,"")</f>
        <v/>
      </c>
      <c r="E22" s="30" t="str">
        <f>IFERROR(VLOOKUP($B22,RawData_Pending!$D$2:$H$134,4,FALSE)/1000,"")</f>
        <v/>
      </c>
      <c r="F22" s="28" t="str">
        <f>IFERROR(VLOOKUP($B22,RawData_Pending!$D$2:$H$134,3,FALSE),"")</f>
        <v/>
      </c>
      <c r="G22" s="31" t="str">
        <f>IF(INDEX(Filter1_Pending!$1:$1048576,MATCH($B$8,Filter1_Pending!$D:$D,0)+L22,11)="Completed",INDEX(Filter1_Pending!$1:$1048576,MATCH($B$8,Filter1_Pending!$D:$D,0)+L22,10),"")</f>
        <v>Mike Toscano</v>
      </c>
      <c r="H22" s="32">
        <f>IF(INDEX(Filter1_Pending!$1:$1048576,MATCH($B$8,Filter1_Pending!$D:$D,0)+L22,11)="Completed",INDEX(Filter1_Pending!$1:$1048576,MATCH($B$8,Filter1_Pending!$D:$D,0)+L22,12),"")</f>
        <v>41072.628738425927</v>
      </c>
      <c r="I22" s="47" t="str">
        <f>IF(INDEX(Filter1_Pending!$1:$1048576,MATCH($B$8,Filter1_Pending!$D:$D,0)+L22,11)="Initialized",INDEX(Filter1_Pending!$1:$1048576,MATCH($B$8,Filter1_Pending!$D:$D,0)+L22,10),"")</f>
        <v/>
      </c>
      <c r="J22" s="48" t="str">
        <f>IF(INDEX(Filter1_Pending!$1:$1048576,MATCH($B$8,Filter1_Pending!$D:$D,0)+L22,11)="Initialized",INDEX(Filter1_Pending!$1:$1048576,MATCH($B$8,Filter1_Pending!$D:$D,0)+L22,3),"")</f>
        <v/>
      </c>
      <c r="K22" s="31" t="str">
        <f t="array" ref="K22">IFERROR(INDEX(Final_List,IF(ROW(15:15)&lt;COUNTA($J$7:$J$19),ROW(15:15),IF(ROW(15:15)&lt;COUNTA($J$7:$J$30),COUNTA($J$20:J22),IF(ROW(15:15)&lt;COUNTA($J$7:$J$43),COUNTA($J22:J$31),IF(ROW(15:15)&lt;COUNTA($J$7:$J$56),COUNTA($J22:J$44),IF(ROW(15:15)&lt;COUNTA($J$7:$J$67),COUNTA($J22:J$57),IF(ROW(15:15)&lt;COUNTA($J$7:$J$78),COUNTA($J22:J$68))))))),MATCH(M22,Sheet1!$I$27:$N$27,0)),"")</f>
        <v>Kevin Linder</v>
      </c>
      <c r="L22">
        <v>14</v>
      </c>
      <c r="M22" s="72" t="str">
        <f t="shared" si="1"/>
        <v>WER-A-B146</v>
      </c>
    </row>
    <row r="23" spans="1:13" x14ac:dyDescent="0.55000000000000004">
      <c r="A23" s="71"/>
      <c r="B23" s="28" t="str">
        <f>IF(Filter1_Pending!D17=Filter1_Pending!D16,"",Filter1_Pending!D17)</f>
        <v/>
      </c>
      <c r="C23" s="28" t="str">
        <f>IFERROR(VLOOKUP($B23,RawData_Pending!$D$2:$H$134,2,FALSE),"")</f>
        <v/>
      </c>
      <c r="D23" s="30" t="str">
        <f>IFERROR(VLOOKUP($B23,RawData_Pending!$D$2:$H$134,5,FALSE)/1000,"")</f>
        <v/>
      </c>
      <c r="E23" s="30" t="str">
        <f>IFERROR(VLOOKUP($B23,RawData_Pending!$D$2:$H$134,4,FALSE)/1000,"")</f>
        <v/>
      </c>
      <c r="F23" s="28" t="str">
        <f>IFERROR(VLOOKUP($B23,RawData_Pending!$D$2:$H$134,3,FALSE),"")</f>
        <v/>
      </c>
      <c r="G23" s="31" t="str">
        <f>IF(INDEX(Filter1_Pending!$1:$1048576,MATCH($B$8,Filter1_Pending!$D:$D,0)+L23,11)="Completed",INDEX(Filter1_Pending!$1:$1048576,MATCH($B$8,Filter1_Pending!$D:$D,0)+L23,10),"")</f>
        <v>Brian Gosling</v>
      </c>
      <c r="H23" s="32">
        <f>IF(INDEX(Filter1_Pending!$1:$1048576,MATCH($B$8,Filter1_Pending!$D:$D,0)+L23,11)="Completed",INDEX(Filter1_Pending!$1:$1048576,MATCH($B$8,Filter1_Pending!$D:$D,0)+L23,12),"")</f>
        <v>41072.641226851854</v>
      </c>
      <c r="I23" s="47" t="str">
        <f>IF(INDEX(Filter1_Pending!$1:$1048576,MATCH($B$8,Filter1_Pending!$D:$D,0)+L23,11)="Initialized",INDEX(Filter1_Pending!$1:$1048576,MATCH($B$8,Filter1_Pending!$D:$D,0)+L23,10),"")</f>
        <v/>
      </c>
      <c r="J23" s="48" t="str">
        <f>IF(INDEX(Filter1_Pending!$1:$1048576,MATCH($B$8,Filter1_Pending!$D:$D,0)+L23,11)="Initialized",INDEX(Filter1_Pending!$1:$1048576,MATCH($B$8,Filter1_Pending!$D:$D,0)+L23,3),"")</f>
        <v/>
      </c>
      <c r="K23" s="31" t="str">
        <f t="array" ref="K23">IFERROR(INDEX(Final_List,IF(ROW(16:16)&lt;COUNTA($J$7:$J$19),ROW(16:16),IF(ROW(16:16)&lt;COUNTA($J$7:$J$30),COUNTA($J$20:J23),IF(ROW(16:16)&lt;COUNTA($J$7:$J$43),COUNTA($J23:J$31),IF(ROW(16:16)&lt;COUNTA($J$7:$J$56),COUNTA($J23:J$44),IF(ROW(16:16)&lt;COUNTA($J$7:$J$67),COUNTA($J23:J$57),IF(ROW(16:16)&lt;COUNTA($J$7:$J$78),COUNTA($J23:J$68))))))),MATCH(M23,Sheet1!$I$27:$N$27,0)),"")</f>
        <v>Jeanmarie Cooney</v>
      </c>
      <c r="L23">
        <v>15</v>
      </c>
      <c r="M23" s="72" t="str">
        <f t="shared" si="1"/>
        <v>WER-A-B146</v>
      </c>
    </row>
    <row r="24" spans="1:13" x14ac:dyDescent="0.55000000000000004">
      <c r="A24" s="71"/>
      <c r="B24" s="28" t="str">
        <f>IF(Filter1_Pending!D18=Filter1_Pending!D17,"",Filter1_Pending!D18)</f>
        <v/>
      </c>
      <c r="C24" s="28" t="str">
        <f>IFERROR(VLOOKUP($B24,RawData_Pending!$D$2:$H$134,2,FALSE),"")</f>
        <v/>
      </c>
      <c r="D24" s="30" t="str">
        <f>IFERROR(VLOOKUP($B24,RawData_Pending!$D$2:$H$134,5,FALSE)/1000,"")</f>
        <v/>
      </c>
      <c r="E24" s="30" t="str">
        <f>IFERROR(VLOOKUP($B24,RawData_Pending!$D$2:$H$134,4,FALSE)/1000,"")</f>
        <v/>
      </c>
      <c r="F24" s="28" t="str">
        <f>IFERROR(VLOOKUP($B24,RawData_Pending!$D$2:$H$134,3,FALSE),"")</f>
        <v/>
      </c>
      <c r="G24" s="31" t="str">
        <f>IF(INDEX(Filter1_Pending!$1:$1048576,MATCH($B$8,Filter1_Pending!$D:$D,0)+L24,11)="Completed",INDEX(Filter1_Pending!$1:$1048576,MATCH($B$8,Filter1_Pending!$D:$D,0)+L24,10),"")</f>
        <v>Amy Dormann</v>
      </c>
      <c r="H24" s="32">
        <f>IF(INDEX(Filter1_Pending!$1:$1048576,MATCH($B$8,Filter1_Pending!$D:$D,0)+L24,11)="Completed",INDEX(Filter1_Pending!$1:$1048576,MATCH($B$8,Filter1_Pending!$D:$D,0)+L24,12),"")</f>
        <v>41072.226030092592</v>
      </c>
      <c r="I24" s="47" t="str">
        <f>IF(INDEX(Filter1_Pending!$1:$1048576,MATCH($B$8,Filter1_Pending!$D:$D,0)+L24,11)="Initialized",INDEX(Filter1_Pending!$1:$1048576,MATCH($B$8,Filter1_Pending!$D:$D,0)+L24,10),"")</f>
        <v/>
      </c>
      <c r="J24" s="48" t="str">
        <f>IF(INDEX(Filter1_Pending!$1:$1048576,MATCH($B$8,Filter1_Pending!$D:$D,0)+L24,11)="Initialized",INDEX(Filter1_Pending!$1:$1048576,MATCH($B$8,Filter1_Pending!$D:$D,0)+L24,3),"")</f>
        <v/>
      </c>
      <c r="K24" s="31" t="str">
        <f t="array" ref="K24">IFERROR(INDEX(Final_List,IF(ROW(17:17)&lt;COUNTA($J$7:$J$19),ROW(17:17),IF(ROW(17:17)&lt;COUNTA($J$7:$J$30),COUNTA($J$20:J24),IF(ROW(17:17)&lt;COUNTA($J$7:$J$43),COUNTA($J24:J$31),IF(ROW(17:17)&lt;COUNTA($J$7:$J$56),COUNTA($J24:J$44),IF(ROW(17:17)&lt;COUNTA($J$7:$J$67),COUNTA($J24:J$57),IF(ROW(17:17)&lt;COUNTA($J$7:$J$78),COUNTA($J24:J$68))))))),MATCH(M24,Sheet1!$I$27:$N$27,0)),"")</f>
        <v/>
      </c>
      <c r="L24">
        <v>16</v>
      </c>
      <c r="M24" s="72" t="str">
        <f t="shared" si="1"/>
        <v>WER-A-B146</v>
      </c>
    </row>
    <row r="25" spans="1:13" x14ac:dyDescent="0.55000000000000004">
      <c r="A25" s="71"/>
      <c r="B25" s="28" t="str">
        <f>IF(Filter1_Pending!D19=Filter1_Pending!D18,"",Filter1_Pending!D19)</f>
        <v/>
      </c>
      <c r="C25" s="28" t="str">
        <f>IFERROR(VLOOKUP($B25,RawData_Pending!$D$2:$H$134,2,FALSE),"")</f>
        <v/>
      </c>
      <c r="D25" s="30" t="str">
        <f>IFERROR(VLOOKUP($B25,RawData_Pending!$D$2:$H$134,5,FALSE)/1000,"")</f>
        <v/>
      </c>
      <c r="E25" s="30" t="str">
        <f>IFERROR(VLOOKUP($B25,RawData_Pending!$D$2:$H$134,4,FALSE)/1000,"")</f>
        <v/>
      </c>
      <c r="F25" s="28" t="str">
        <f>IFERROR(VLOOKUP($B25,RawData_Pending!$D$2:$H$134,3,FALSE),"")</f>
        <v/>
      </c>
      <c r="G25" s="31" t="str">
        <f>IF(INDEX(Filter1_Pending!$1:$1048576,MATCH($B$8,Filter1_Pending!$D:$D,0)+L25,11)="Completed",INDEX(Filter1_Pending!$1:$1048576,MATCH($B$8,Filter1_Pending!$D:$D,0)+L25,10),"")</f>
        <v>Ronak Shah</v>
      </c>
      <c r="H25" s="32">
        <f>IF(INDEX(Filter1_Pending!$1:$1048576,MATCH($B$8,Filter1_Pending!$D:$D,0)+L25,11)="Completed",INDEX(Filter1_Pending!$1:$1048576,MATCH($B$8,Filter1_Pending!$D:$D,0)+L25,12),"")</f>
        <v>41071.498113425929</v>
      </c>
      <c r="I25" s="47" t="str">
        <f>IF(INDEX(Filter1_Pending!$1:$1048576,MATCH($B$8,Filter1_Pending!$D:$D,0)+L25,11)="Initialized",INDEX(Filter1_Pending!$1:$1048576,MATCH($B$8,Filter1_Pending!$D:$D,0)+L25,10),"")</f>
        <v/>
      </c>
      <c r="J25" s="48" t="str">
        <f>IF(INDEX(Filter1_Pending!$1:$1048576,MATCH($B$8,Filter1_Pending!$D:$D,0)+L25,11)="Initialized",INDEX(Filter1_Pending!$1:$1048576,MATCH($B$8,Filter1_Pending!$D:$D,0)+L25,3),"")</f>
        <v/>
      </c>
      <c r="K25" s="31" t="str">
        <f t="array" ref="K25">IFERROR(INDEX(Final_List,IF(ROW(18:18)&lt;COUNTA($J$7:$J$19),ROW(18:18),IF(ROW(18:18)&lt;COUNTA($J$7:$J$30),COUNTA($J$20:J25),IF(ROW(18:18)&lt;COUNTA($J$7:$J$43),COUNTA($J25:J$31),IF(ROW(18:18)&lt;COUNTA($J$7:$J$56),COUNTA($J25:J$44),IF(ROW(18:18)&lt;COUNTA($J$7:$J$67),COUNTA($J25:J$57),IF(ROW(18:18)&lt;COUNTA($J$7:$J$78),COUNTA($J25:J$68))))))),MATCH(M25,Sheet1!$I$27:$N$27,0)),"")</f>
        <v/>
      </c>
      <c r="L25">
        <v>17</v>
      </c>
      <c r="M25" s="72" t="str">
        <f t="shared" si="1"/>
        <v>WER-A-B146</v>
      </c>
    </row>
    <row r="26" spans="1:13" x14ac:dyDescent="0.55000000000000004">
      <c r="A26" s="71"/>
      <c r="B26" s="28" t="str">
        <f>IF(Filter1_Pending!D20=Filter1_Pending!D19,"",Filter1_Pending!D20)</f>
        <v/>
      </c>
      <c r="C26" s="28" t="str">
        <f>IFERROR(VLOOKUP($B26,RawData_Pending!$D$2:$H$134,2,FALSE),"")</f>
        <v/>
      </c>
      <c r="D26" s="30" t="str">
        <f>IFERROR(VLOOKUP($B26,RawData_Pending!$D$2:$H$134,5,FALSE)/1000,"")</f>
        <v/>
      </c>
      <c r="E26" s="30" t="str">
        <f>IFERROR(VLOOKUP($B26,RawData_Pending!$D$2:$H$134,4,FALSE)/1000,"")</f>
        <v/>
      </c>
      <c r="F26" s="28" t="str">
        <f>IFERROR(VLOOKUP($B26,RawData_Pending!$D$2:$H$134,3,FALSE),"")</f>
        <v/>
      </c>
      <c r="G26" s="31" t="str">
        <f>IF(INDEX(Filter1_Pending!$1:$1048576,MATCH($B$8,Filter1_Pending!$D:$D,0)+L26,11)="Completed",INDEX(Filter1_Pending!$1:$1048576,MATCH($B$8,Filter1_Pending!$D:$D,0)+L26,10),"")</f>
        <v>Rob Tatum</v>
      </c>
      <c r="H26" s="32">
        <f>IF(INDEX(Filter1_Pending!$1:$1048576,MATCH($B$8,Filter1_Pending!$D:$D,0)+L26,11)="Completed",INDEX(Filter1_Pending!$1:$1048576,MATCH($B$8,Filter1_Pending!$D:$D,0)+L26,12),"")</f>
        <v>41071.592291666668</v>
      </c>
      <c r="I26" s="47" t="str">
        <f>IF(INDEX(Filter1_Pending!$1:$1048576,MATCH($B$8,Filter1_Pending!$D:$D,0)+L26,11)="Initialized",INDEX(Filter1_Pending!$1:$1048576,MATCH($B$8,Filter1_Pending!$D:$D,0)+L26,10),"")</f>
        <v/>
      </c>
      <c r="J26" s="48" t="str">
        <f>IF(INDEX(Filter1_Pending!$1:$1048576,MATCH($B$8,Filter1_Pending!$D:$D,0)+L26,11)="Initialized",INDEX(Filter1_Pending!$1:$1048576,MATCH($B$8,Filter1_Pending!$D:$D,0)+L26,3),"")</f>
        <v/>
      </c>
      <c r="K26" s="31" t="str">
        <f t="array" ref="K26">IFERROR(INDEX(Final_List,IF(ROW(19:19)&lt;COUNTA($J$7:$J$19),ROW(19:19),IF(ROW(19:19)&lt;COUNTA($J$7:$J$30),COUNTA($J$20:J26),IF(ROW(19:19)&lt;COUNTA($J$7:$J$43),COUNTA($J26:J$31),IF(ROW(19:19)&lt;COUNTA($J$7:$J$56),COUNTA($J26:J$44),IF(ROW(19:19)&lt;COUNTA($J$7:$J$67),COUNTA($J26:J$57),IF(ROW(19:19)&lt;COUNTA($J$7:$J$78),COUNTA($J26:J$68))))))),MATCH(M26,Sheet1!$I$27:$N$27,0)),"")</f>
        <v/>
      </c>
      <c r="L26">
        <v>18</v>
      </c>
      <c r="M26" s="72" t="str">
        <f t="shared" si="1"/>
        <v>WER-A-B146</v>
      </c>
    </row>
    <row r="27" spans="1:13" x14ac:dyDescent="0.55000000000000004">
      <c r="A27" s="71"/>
      <c r="B27" s="28" t="str">
        <f>IF(Filter1_Pending!D21=Filter1_Pending!D20,"",Filter1_Pending!D21)</f>
        <v/>
      </c>
      <c r="C27" s="28" t="str">
        <f>IFERROR(VLOOKUP($B27,RawData_Pending!$D$2:$H$134,2,FALSE),"")</f>
        <v/>
      </c>
      <c r="D27" s="30" t="str">
        <f>IFERROR(VLOOKUP($B27,RawData_Pending!$D$2:$H$134,5,FALSE)/1000,"")</f>
        <v/>
      </c>
      <c r="E27" s="30" t="str">
        <f>IFERROR(VLOOKUP($B27,RawData_Pending!$D$2:$H$134,4,FALSE)/1000,"")</f>
        <v/>
      </c>
      <c r="F27" s="28" t="str">
        <f>IFERROR(VLOOKUP($B27,RawData_Pending!$D$2:$H$134,3,FALSE),"")</f>
        <v/>
      </c>
      <c r="G27" s="31" t="str">
        <f>IF(INDEX(Filter1_Pending!$1:$1048576,MATCH($B$8,Filter1_Pending!$D:$D,0)+L27,11)="Completed",INDEX(Filter1_Pending!$1:$1048576,MATCH($B$8,Filter1_Pending!$D:$D,0)+L27,10),"")</f>
        <v>Brad Dettmer</v>
      </c>
      <c r="H27" s="32">
        <f>IF(INDEX(Filter1_Pending!$1:$1048576,MATCH($B$8,Filter1_Pending!$D:$D,0)+L27,11)="Completed",INDEX(Filter1_Pending!$1:$1048576,MATCH($B$8,Filter1_Pending!$D:$D,0)+L27,12),"")</f>
        <v>41071.550752314812</v>
      </c>
      <c r="I27" s="47" t="str">
        <f>IF(INDEX(Filter1_Pending!$1:$1048576,MATCH($B$8,Filter1_Pending!$D:$D,0)+L27,11)="Initialized",INDEX(Filter1_Pending!$1:$1048576,MATCH($B$8,Filter1_Pending!$D:$D,0)+L27,10),"")</f>
        <v/>
      </c>
      <c r="J27" s="48" t="str">
        <f>IF(INDEX(Filter1_Pending!$1:$1048576,MATCH($B$8,Filter1_Pending!$D:$D,0)+L27,11)="Initialized",INDEX(Filter1_Pending!$1:$1048576,MATCH($B$8,Filter1_Pending!$D:$D,0)+L27,3),"")</f>
        <v/>
      </c>
      <c r="K27" s="31" t="str">
        <f t="array" ref="K27">IFERROR(INDEX(Final_List,IF(ROW(20:20)&lt;COUNTA($J$7:$J$19),ROW(20:20),IF(ROW(20:20)&lt;COUNTA($J$7:$J$30),COUNTA($J$20:J27),IF(ROW(20:20)&lt;COUNTA($J$7:$J$43),COUNTA($J27:J$31),IF(ROW(20:20)&lt;COUNTA($J$7:$J$56),COUNTA($J27:J$44),IF(ROW(20:20)&lt;COUNTA($J$7:$J$67),COUNTA($J27:J$57),IF(ROW(20:20)&lt;COUNTA($J$7:$J$78),COUNTA($J27:J$68))))))),MATCH(M27,Sheet1!$I$27:$N$27,0)),"")</f>
        <v/>
      </c>
      <c r="L27">
        <v>19</v>
      </c>
      <c r="M27" s="72" t="str">
        <f t="shared" si="1"/>
        <v>WER-A-B146</v>
      </c>
    </row>
    <row r="28" spans="1:13" x14ac:dyDescent="0.55000000000000004">
      <c r="A28" s="71"/>
      <c r="B28" s="28" t="str">
        <f>IF(Filter1_Pending!D22=Filter1_Pending!D21,"",Filter1_Pending!D22)</f>
        <v/>
      </c>
      <c r="C28" s="28" t="str">
        <f>IFERROR(VLOOKUP($B28,RawData_Pending!$D$2:$H$134,2,FALSE),"")</f>
        <v/>
      </c>
      <c r="D28" s="30" t="str">
        <f>IFERROR(VLOOKUP($B28,RawData_Pending!$D$2:$H$134,5,FALSE)/1000,"")</f>
        <v/>
      </c>
      <c r="E28" s="30" t="str">
        <f>IFERROR(VLOOKUP($B28,RawData_Pending!$D$2:$H$134,4,FALSE)/1000,"")</f>
        <v/>
      </c>
      <c r="F28" s="28" t="str">
        <f>IFERROR(VLOOKUP($B28,RawData_Pending!$D$2:$H$134,3,FALSE),"")</f>
        <v/>
      </c>
      <c r="G28" s="31" t="str">
        <f>IF(INDEX(Filter1_Pending!$1:$1048576,MATCH($B$8,Filter1_Pending!$D:$D,0)+L28,11)="Completed",INDEX(Filter1_Pending!$1:$1048576,MATCH($B$8,Filter1_Pending!$D:$D,0)+L28,10),"")</f>
        <v>Gordon Gurnik</v>
      </c>
      <c r="H28" s="32">
        <f>IF(INDEX(Filter1_Pending!$1:$1048576,MATCH($B$8,Filter1_Pending!$D:$D,0)+L28,11)="Completed",INDEX(Filter1_Pending!$1:$1048576,MATCH($B$8,Filter1_Pending!$D:$D,0)+L28,12),"")</f>
        <v>41071.564004629632</v>
      </c>
      <c r="I28" s="47" t="str">
        <f>IF(INDEX(Filter1_Pending!$1:$1048576,MATCH($B$8,Filter1_Pending!$D:$D,0)+L28,11)="Initialized",INDEX(Filter1_Pending!$1:$1048576,MATCH($B$8,Filter1_Pending!$D:$D,0)+L28,10),"")</f>
        <v/>
      </c>
      <c r="J28" s="48" t="str">
        <f>IF(INDEX(Filter1_Pending!$1:$1048576,MATCH($B$8,Filter1_Pending!$D:$D,0)+L28,11)="Initialized",INDEX(Filter1_Pending!$1:$1048576,MATCH($B$8,Filter1_Pending!$D:$D,0)+L28,3),"")</f>
        <v/>
      </c>
      <c r="K28" s="31" t="str">
        <f t="array" ref="K28">IFERROR(INDEX(Final_List,IF(ROW(21:21)&lt;COUNTA($J$7:$J$19),ROW(21:21),IF(ROW(21:21)&lt;COUNTA($J$7:$J$30),COUNTA($J$20:J28),IF(ROW(21:21)&lt;COUNTA($J$7:$J$43),COUNTA($J28:J$31),IF(ROW(21:21)&lt;COUNTA($J$7:$J$56),COUNTA($J28:J$44),IF(ROW(21:21)&lt;COUNTA($J$7:$J$67),COUNTA($J28:J$57),IF(ROW(21:21)&lt;COUNTA($J$7:$J$78),COUNTA($J28:J$68))))))),MATCH(M28,Sheet1!$I$27:$N$27,0)),"")</f>
        <v/>
      </c>
      <c r="L28">
        <v>20</v>
      </c>
      <c r="M28" s="72" t="str">
        <f t="shared" si="1"/>
        <v>WER-A-B146</v>
      </c>
    </row>
    <row r="29" spans="1:13" x14ac:dyDescent="0.55000000000000004">
      <c r="A29" s="71"/>
      <c r="B29" s="28" t="str">
        <f>IF(Filter1_Pending!D23=Filter1_Pending!D22,"",Filter1_Pending!D23)</f>
        <v/>
      </c>
      <c r="C29" s="28" t="str">
        <f>IFERROR(VLOOKUP($B29,RawData_Pending!$D$2:$H$134,2,FALSE),"")</f>
        <v/>
      </c>
      <c r="D29" s="30" t="str">
        <f>IFERROR(VLOOKUP($B29,RawData_Pending!$D$2:$H$134,5,FALSE)/1000,"")</f>
        <v/>
      </c>
      <c r="E29" s="30" t="str">
        <f>IFERROR(VLOOKUP($B29,RawData_Pending!$D$2:$H$134,4,FALSE)/1000,"")</f>
        <v/>
      </c>
      <c r="F29" s="28" t="str">
        <f>IFERROR(VLOOKUP($B29,RawData_Pending!$D$2:$H$134,3,FALSE),"")</f>
        <v/>
      </c>
      <c r="G29" s="31" t="str">
        <f>IF(INDEX(Filter1_Pending!$1:$1048576,MATCH($B$8,Filter1_Pending!$D:$D,0)+L29,11)="Completed",INDEX(Filter1_Pending!$1:$1048576,MATCH($B$8,Filter1_Pending!$D:$D,0)+L29,10),"")</f>
        <v/>
      </c>
      <c r="H29" s="32" t="str">
        <f>IF(INDEX(Filter1_Pending!$1:$1048576,MATCH($B$8,Filter1_Pending!$D:$D,0)+L29,11)="Completed",INDEX(Filter1_Pending!$1:$1048576,MATCH($B$8,Filter1_Pending!$D:$D,0)+L29,12),"")</f>
        <v/>
      </c>
      <c r="I29" s="47" t="str">
        <f>IF(INDEX(Filter1_Pending!$1:$1048576,MATCH($B$8,Filter1_Pending!$D:$D,0)+L29,11)="Initialized",INDEX(Filter1_Pending!$1:$1048576,MATCH($B$8,Filter1_Pending!$D:$D,0)+L29,10),"")</f>
        <v>Claire Mahoney</v>
      </c>
      <c r="J29" s="48">
        <f>IF(INDEX(Filter1_Pending!$1:$1048576,MATCH($B$8,Filter1_Pending!$D:$D,0)+L29,11)="Initialized",INDEX(Filter1_Pending!$1:$1048576,MATCH($B$8,Filter1_Pending!$D:$D,0)+L29,3),"")</f>
        <v>41071.003437500003</v>
      </c>
      <c r="K29" s="31" t="str">
        <f t="array" ref="K29">IFERROR(INDEX(Final_List,IF(ROW(22:22)&lt;COUNTA($J$7:$J$19),ROW(22:22),IF(ROW(22:22)&lt;COUNTA($J$7:$J$30),COUNTA($J$20:J29),IF(ROW(22:22)&lt;COUNTA($J$7:$J$43),COUNTA($J29:J$31),IF(ROW(22:22)&lt;COUNTA($J$7:$J$56),COUNTA($J29:J$44),IF(ROW(22:22)&lt;COUNTA($J$7:$J$67),COUNTA($J29:J$57),IF(ROW(22:22)&lt;COUNTA($J$7:$J$78),COUNTA($J29:J$68))))))),MATCH(M29,Sheet1!$I$27:$N$27,0)),"")</f>
        <v/>
      </c>
      <c r="L29">
        <v>21</v>
      </c>
      <c r="M29" s="72" t="str">
        <f t="shared" si="1"/>
        <v>WER-A-B146</v>
      </c>
    </row>
    <row r="30" spans="1:13" x14ac:dyDescent="0.55000000000000004">
      <c r="A30" s="71"/>
      <c r="B30" s="28" t="str">
        <f>IF(Filter1_Pending!D24=Filter1_Pending!D23,"",Filter1_Pending!D24)</f>
        <v/>
      </c>
      <c r="C30" s="28" t="str">
        <f>IFERROR(VLOOKUP($B30,RawData_Pending!$D$2:$H$134,2,FALSE),"")</f>
        <v/>
      </c>
      <c r="D30" s="30" t="str">
        <f>IFERROR(VLOOKUP($B30,RawData_Pending!$D$2:$H$134,5,FALSE)/1000,"")</f>
        <v/>
      </c>
      <c r="E30" s="30" t="str">
        <f>IFERROR(VLOOKUP($B30,RawData_Pending!$D$2:$H$134,4,FALSE)/1000,"")</f>
        <v/>
      </c>
      <c r="F30" s="28" t="str">
        <f>IFERROR(VLOOKUP($B30,RawData_Pending!$D$2:$H$134,3,FALSE),"")</f>
        <v/>
      </c>
      <c r="G30" s="31" t="str">
        <f>IF(INDEX(Filter1_Pending!$1:$1048576,MATCH($B$8,Filter1_Pending!$D:$D,0)+L30,11)="Completed",INDEX(Filter1_Pending!$1:$1048576,MATCH($B$8,Filter1_Pending!$D:$D,0)+L30,10),"")</f>
        <v/>
      </c>
      <c r="H30" s="32" t="str">
        <f>IF(INDEX(Filter1_Pending!$1:$1048576,MATCH($B$8,Filter1_Pending!$D:$D,0)+L30,11)="Completed",INDEX(Filter1_Pending!$1:$1048576,MATCH($B$8,Filter1_Pending!$D:$D,0)+L30,12),"")</f>
        <v/>
      </c>
      <c r="I30" s="47" t="str">
        <f>IF(INDEX(Filter1_Pending!$1:$1048576,MATCH($B$8,Filter1_Pending!$D:$D,0)+L30,11)="Initialized",INDEX(Filter1_Pending!$1:$1048576,MATCH($B$8,Filter1_Pending!$D:$D,0)+L30,10),"")</f>
        <v>Barbara Spengler</v>
      </c>
      <c r="J30" s="48">
        <f>IF(INDEX(Filter1_Pending!$1:$1048576,MATCH($B$8,Filter1_Pending!$D:$D,0)+L30,11)="Initialized",INDEX(Filter1_Pending!$1:$1048576,MATCH($B$8,Filter1_Pending!$D:$D,0)+L30,3),"")</f>
        <v>41071.003437500003</v>
      </c>
      <c r="K30" s="31" t="str">
        <f t="array" ref="K30">IFERROR(INDEX(Final_List,IF(ROW(23:23)&lt;COUNTA($J$7:$J$19),ROW(23:23),IF(ROW(23:23)&lt;COUNTA($J$7:$J$30),COUNTA($J$20:J30),IF(ROW(23:23)&lt;COUNTA($J$7:$J$43),COUNTA($J30:J$31),IF(ROW(23:23)&lt;COUNTA($J$7:$J$56),COUNTA($J30:J$44),IF(ROW(23:23)&lt;COUNTA($J$7:$J$67),COUNTA($J30:J$57),IF(ROW(23:23)&lt;COUNTA($J$7:$J$78),COUNTA($J30:J$68))))))),MATCH(M30,Sheet1!$I$27:$N$27,0)),"")</f>
        <v/>
      </c>
      <c r="L30">
        <v>22</v>
      </c>
      <c r="M30" s="72" t="str">
        <f t="shared" si="1"/>
        <v>WER-A-B146</v>
      </c>
    </row>
    <row r="31" spans="1:13" x14ac:dyDescent="0.55000000000000004">
      <c r="A31" s="71"/>
      <c r="B31" s="28" t="str">
        <f>IF(Filter1_Pending!D25=Filter1_Pending!D24,"",Filter1_Pending!D25)</f>
        <v>WER-A-C107</v>
      </c>
      <c r="C31" s="28" t="str">
        <f>IFERROR(VLOOKUP($B31,RawData_Pending!$D$2:$H$134,2,FALSE),"")</f>
        <v>Global</v>
      </c>
      <c r="D31" s="30">
        <f>IFERROR(VLOOKUP($B31,RawData_Pending!$D$2:$H$134,5,FALSE)/1000,"")</f>
        <v>1423.75</v>
      </c>
      <c r="E31" s="30">
        <f>IFERROR(VLOOKUP($B31,RawData_Pending!$D$2:$H$134,4,FALSE)/1000,"")</f>
        <v>750</v>
      </c>
      <c r="F31" s="28" t="str">
        <f>IFERROR(VLOOKUP($B31,RawData_Pending!$D$2:$H$134,3,FALSE),"")</f>
        <v>Club Efficiencies (FULL)</v>
      </c>
      <c r="G31" s="31" t="str">
        <f>IF(INDEX(Filter1_Pending!$1:$1048576,MATCH($B$8,Filter1_Pending!$D:$D,0)+L31,11)="Completed",INDEX(Filter1_Pending!$1:$1048576,MATCH($B$8,Filter1_Pending!$D:$D,0)+L31,10),"")</f>
        <v>Amy Dormann</v>
      </c>
      <c r="H31" s="32">
        <f>IF(INDEX(Filter1_Pending!$1:$1048576,MATCH($B$8,Filter1_Pending!$D:$D,0)+L31,11)="Completed",INDEX(Filter1_Pending!$1:$1048576,MATCH($B$8,Filter1_Pending!$D:$D,0)+L31,12),"")</f>
        <v>41058.555821759262</v>
      </c>
      <c r="I31" s="47" t="str">
        <f>IF(INDEX(Filter1_Pending!$1:$1048576,MATCH($B$8,Filter1_Pending!$D:$D,0)+L31,11)="Initialized",INDEX(Filter1_Pending!$1:$1048576,MATCH($B$8,Filter1_Pending!$D:$D,0)+L31,10),"")</f>
        <v/>
      </c>
      <c r="J31" s="48" t="str">
        <f>IF(INDEX(Filter1_Pending!$1:$1048576,MATCH($B$8,Filter1_Pending!$D:$D,0)+L31,11)="Initialized",INDEX(Filter1_Pending!$1:$1048576,MATCH($B$8,Filter1_Pending!$D:$D,0)+L31,3),"")</f>
        <v/>
      </c>
      <c r="K31" s="31" t="str">
        <f t="array" ref="K31">IFERROR(INDEX(Final_List,IF(ROW(24:24)&lt;COUNTA($J$7:$J$19),ROW(24:24),IF(ROW(24:24)&lt;COUNTA($J$7:$J$30),COUNTA($J$20:J31),IF(ROW(24:24)&lt;COUNTA($J$7:$J$43),COUNTA($J31:J$31),IF(ROW(24:24)&lt;COUNTA($J$7:$J$56),COUNTA($J31:J$44),IF(ROW(24:24)&lt;COUNTA($J$7:$J$67),COUNTA($J31:J$57),IF(ROW(24:24)&lt;COUNTA($J$7:$J$78),COUNTA($J31:J$68))))))),MATCH(M31,Sheet1!$I$27:$N$27,0)),"")</f>
        <v>Geoff Ballotti</v>
      </c>
      <c r="L31">
        <v>23</v>
      </c>
      <c r="M31" s="72" t="str">
        <f>$B$31</f>
        <v>WER-A-C107</v>
      </c>
    </row>
    <row r="32" spans="1:13" x14ac:dyDescent="0.55000000000000004">
      <c r="A32" s="71"/>
      <c r="B32" s="28" t="str">
        <f>IF(Filter1_Pending!D26=Filter1_Pending!D25,"",Filter1_Pending!D26)</f>
        <v/>
      </c>
      <c r="C32" s="28" t="str">
        <f>IFERROR(VLOOKUP($B32,RawData_Pending!$D$2:$H$134,2,FALSE),"")</f>
        <v/>
      </c>
      <c r="D32" s="30" t="str">
        <f>IFERROR(VLOOKUP($B32,RawData_Pending!$D$2:$H$134,5,FALSE)/1000,"")</f>
        <v/>
      </c>
      <c r="E32" s="30" t="str">
        <f>IFERROR(VLOOKUP($B32,RawData_Pending!$D$2:$H$134,4,FALSE)/1000,"")</f>
        <v/>
      </c>
      <c r="F32" s="28" t="str">
        <f>IFERROR(VLOOKUP($B32,RawData_Pending!$D$2:$H$134,3,FALSE),"")</f>
        <v/>
      </c>
      <c r="G32" s="31" t="str">
        <f>IF(INDEX(Filter1_Pending!$1:$1048576,MATCH($B$8,Filter1_Pending!$D:$D,0)+L32,11)="Completed",INDEX(Filter1_Pending!$1:$1048576,MATCH($B$8,Filter1_Pending!$D:$D,0)+L32,10),"")</f>
        <v>Rob Tatum</v>
      </c>
      <c r="H32" s="32">
        <f>IF(INDEX(Filter1_Pending!$1:$1048576,MATCH($B$8,Filter1_Pending!$D:$D,0)+L32,11)="Completed",INDEX(Filter1_Pending!$1:$1048576,MATCH($B$8,Filter1_Pending!$D:$D,0)+L32,12),"")</f>
        <v>41058.495057870372</v>
      </c>
      <c r="I32" s="47" t="str">
        <f>IF(INDEX(Filter1_Pending!$1:$1048576,MATCH($B$8,Filter1_Pending!$D:$D,0)+L32,11)="Initialized",INDEX(Filter1_Pending!$1:$1048576,MATCH($B$8,Filter1_Pending!$D:$D,0)+L32,10),"")</f>
        <v/>
      </c>
      <c r="J32" s="48" t="str">
        <f>IF(INDEX(Filter1_Pending!$1:$1048576,MATCH($B$8,Filter1_Pending!$D:$D,0)+L32,11)="Initialized",INDEX(Filter1_Pending!$1:$1048576,MATCH($B$8,Filter1_Pending!$D:$D,0)+L32,3),"")</f>
        <v/>
      </c>
      <c r="K32" s="31" t="str">
        <f t="array" ref="K32">IFERROR(INDEX(Final_List,IF(ROW(25:25)&lt;COUNTA($J$7:$J$19),ROW(25:25),IF(ROW(25:25)&lt;COUNTA($J$7:$J$30),COUNTA($J$20:J32),IF(ROW(25:25)&lt;COUNTA($J$7:$J$43),COUNTA($J$31:J32),IF(ROW(25:25)&lt;COUNTA($J$7:$J$56),COUNTA($J32:J$44),IF(ROW(25:25)&lt;COUNTA($J$7:$J$67),COUNTA($J32:J$57),IF(ROW(25:25)&lt;COUNTA($J$7:$J$78),COUNTA($J32:J$68))))))),MATCH(M32,Sheet1!$I$27:$N$27,0)),"")</f>
        <v/>
      </c>
      <c r="L32">
        <v>24</v>
      </c>
      <c r="M32" s="72" t="str">
        <f t="shared" ref="M32:M44" si="2">$B$31</f>
        <v>WER-A-C107</v>
      </c>
    </row>
    <row r="33" spans="1:13" x14ac:dyDescent="0.55000000000000004">
      <c r="A33" s="71"/>
      <c r="B33" s="28" t="str">
        <f>IF(Filter1_Pending!D27=Filter1_Pending!D26,"",Filter1_Pending!D27)</f>
        <v/>
      </c>
      <c r="C33" s="28" t="str">
        <f>IFERROR(VLOOKUP($B33,RawData_Pending!$D$2:$H$134,2,FALSE),"")</f>
        <v/>
      </c>
      <c r="D33" s="30" t="str">
        <f>IFERROR(VLOOKUP($B33,RawData_Pending!$D$2:$H$134,5,FALSE)/1000,"")</f>
        <v/>
      </c>
      <c r="E33" s="30" t="str">
        <f>IFERROR(VLOOKUP($B33,RawData_Pending!$D$2:$H$134,4,FALSE)/1000,"")</f>
        <v/>
      </c>
      <c r="F33" s="28" t="str">
        <f>IFERROR(VLOOKUP($B33,RawData_Pending!$D$2:$H$134,3,FALSE),"")</f>
        <v/>
      </c>
      <c r="G33" s="31" t="str">
        <f>IF(INDEX(Filter1_Pending!$1:$1048576,MATCH($B$8,Filter1_Pending!$D:$D,0)+L33,11)="Completed",INDEX(Filter1_Pending!$1:$1048576,MATCH($B$8,Filter1_Pending!$D:$D,0)+L33,10),"")</f>
        <v>Barbara Spengler</v>
      </c>
      <c r="H33" s="32">
        <f>IF(INDEX(Filter1_Pending!$1:$1048576,MATCH($B$8,Filter1_Pending!$D:$D,0)+L33,11)="Completed",INDEX(Filter1_Pending!$1:$1048576,MATCH($B$8,Filter1_Pending!$D:$D,0)+L33,12),"")</f>
        <v>41054.598425925928</v>
      </c>
      <c r="I33" s="47" t="str">
        <f>IF(INDEX(Filter1_Pending!$1:$1048576,MATCH($B$8,Filter1_Pending!$D:$D,0)+L33,11)="Initialized",INDEX(Filter1_Pending!$1:$1048576,MATCH($B$8,Filter1_Pending!$D:$D,0)+L33,10),"")</f>
        <v/>
      </c>
      <c r="J33" s="48" t="str">
        <f>IF(INDEX(Filter1_Pending!$1:$1048576,MATCH($B$8,Filter1_Pending!$D:$D,0)+L33,11)="Initialized",INDEX(Filter1_Pending!$1:$1048576,MATCH($B$8,Filter1_Pending!$D:$D,0)+L33,3),"")</f>
        <v/>
      </c>
      <c r="K33" s="31" t="str">
        <f t="array" ref="K33">IFERROR(INDEX(Final_List,IF(ROW(26:26)&lt;COUNTA($J$7:$J$19),ROW(26:26),IF(ROW(26:26)&lt;COUNTA($J$7:$J$30),COUNTA($J$20:J33),IF(ROW(26:26)&lt;COUNTA($J$7:$J$43),COUNTA($J$31:J33),IF(ROW(26:26)&lt;COUNTA($J$7:$J$56),COUNTA($J33:J$44),IF(ROW(26:26)&lt;COUNTA($J$7:$J$67),COUNTA($J33:J$57),IF(ROW(26:26)&lt;COUNTA($J$7:$J$78),COUNTA($J33:J$68))))))),MATCH(M33,Sheet1!$I$27:$N$27,0)),"")</f>
        <v/>
      </c>
      <c r="L33">
        <v>25</v>
      </c>
      <c r="M33" s="72" t="str">
        <f t="shared" si="2"/>
        <v>WER-A-C107</v>
      </c>
    </row>
    <row r="34" spans="1:13" x14ac:dyDescent="0.55000000000000004">
      <c r="A34" s="71"/>
      <c r="B34" s="28" t="str">
        <f>IF(Filter1_Pending!D28=Filter1_Pending!D27,"",Filter1_Pending!D28)</f>
        <v/>
      </c>
      <c r="C34" s="28" t="str">
        <f>IFERROR(VLOOKUP($B34,RawData_Pending!$D$2:$H$134,2,FALSE),"")</f>
        <v/>
      </c>
      <c r="D34" s="30" t="str">
        <f>IFERROR(VLOOKUP($B34,RawData_Pending!$D$2:$H$134,5,FALSE)/1000,"")</f>
        <v/>
      </c>
      <c r="E34" s="30" t="str">
        <f>IFERROR(VLOOKUP($B34,RawData_Pending!$D$2:$H$134,4,FALSE)/1000,"")</f>
        <v/>
      </c>
      <c r="F34" s="28" t="str">
        <f>IFERROR(VLOOKUP($B34,RawData_Pending!$D$2:$H$134,3,FALSE),"")</f>
        <v/>
      </c>
      <c r="G34" s="31" t="str">
        <f>IF(INDEX(Filter1_Pending!$1:$1048576,MATCH($B$8,Filter1_Pending!$D:$D,0)+L34,11)="Completed",INDEX(Filter1_Pending!$1:$1048576,MATCH($B$8,Filter1_Pending!$D:$D,0)+L34,10),"")</f>
        <v>Brian Gosling</v>
      </c>
      <c r="H34" s="32">
        <f>IF(INDEX(Filter1_Pending!$1:$1048576,MATCH($B$8,Filter1_Pending!$D:$D,0)+L34,11)="Completed",INDEX(Filter1_Pending!$1:$1048576,MATCH($B$8,Filter1_Pending!$D:$D,0)+L34,12),"")</f>
        <v>41054.641932870371</v>
      </c>
      <c r="I34" s="47" t="str">
        <f>IF(INDEX(Filter1_Pending!$1:$1048576,MATCH($B$8,Filter1_Pending!$D:$D,0)+L34,11)="Initialized",INDEX(Filter1_Pending!$1:$1048576,MATCH($B$8,Filter1_Pending!$D:$D,0)+L34,10),"")</f>
        <v/>
      </c>
      <c r="J34" s="48" t="str">
        <f>IF(INDEX(Filter1_Pending!$1:$1048576,MATCH($B$8,Filter1_Pending!$D:$D,0)+L34,11)="Initialized",INDEX(Filter1_Pending!$1:$1048576,MATCH($B$8,Filter1_Pending!$D:$D,0)+L34,3),"")</f>
        <v/>
      </c>
      <c r="K34" s="31" t="str">
        <f t="array" ref="K34">IFERROR(INDEX(Final_List,IF(ROW(27:27)&lt;COUNTA($J$7:$J$19),ROW(27:27),IF(ROW(27:27)&lt;COUNTA($J$7:$J$30),COUNTA($J$20:J34),IF(ROW(27:27)&lt;COUNTA($J$7:$J$43),COUNTA($J$31:J34),IF(ROW(27:27)&lt;COUNTA($J$7:$J$56),COUNTA($J34:J$44),IF(ROW(27:27)&lt;COUNTA($J$7:$J$67),COUNTA($J34:J$57),IF(ROW(27:27)&lt;COUNTA($J$7:$J$78),COUNTA($J34:J$68))))))),MATCH(M34,Sheet1!$I$27:$N$27,0)),"")</f>
        <v/>
      </c>
      <c r="L34">
        <v>26</v>
      </c>
      <c r="M34" s="72" t="str">
        <f t="shared" si="2"/>
        <v>WER-A-C107</v>
      </c>
    </row>
    <row r="35" spans="1:13" x14ac:dyDescent="0.55000000000000004">
      <c r="A35" s="71"/>
      <c r="B35" s="28" t="str">
        <f>IF(Filter1_Pending!D29=Filter1_Pending!D28,"",Filter1_Pending!D29)</f>
        <v/>
      </c>
      <c r="C35" s="28" t="str">
        <f>IFERROR(VLOOKUP($B35,RawData_Pending!$D$2:$H$134,2,FALSE),"")</f>
        <v/>
      </c>
      <c r="D35" s="30" t="str">
        <f>IFERROR(VLOOKUP($B35,RawData_Pending!$D$2:$H$134,5,FALSE)/1000,"")</f>
        <v/>
      </c>
      <c r="E35" s="30" t="str">
        <f>IFERROR(VLOOKUP($B35,RawData_Pending!$D$2:$H$134,4,FALSE)/1000,"")</f>
        <v/>
      </c>
      <c r="F35" s="28" t="str">
        <f>IFERROR(VLOOKUP($B35,RawData_Pending!$D$2:$H$134,3,FALSE),"")</f>
        <v/>
      </c>
      <c r="G35" s="31" t="str">
        <f>IF(INDEX(Filter1_Pending!$1:$1048576,MATCH($B$8,Filter1_Pending!$D:$D,0)+L35,11)="Completed",INDEX(Filter1_Pending!$1:$1048576,MATCH($B$8,Filter1_Pending!$D:$D,0)+L35,10),"")</f>
        <v>Brad Dettmer</v>
      </c>
      <c r="H35" s="32">
        <f>IF(INDEX(Filter1_Pending!$1:$1048576,MATCH($B$8,Filter1_Pending!$D:$D,0)+L35,11)="Completed",INDEX(Filter1_Pending!$1:$1048576,MATCH($B$8,Filter1_Pending!$D:$D,0)+L35,12),"")</f>
        <v>41058.53229166667</v>
      </c>
      <c r="I35" s="47" t="str">
        <f>IF(INDEX(Filter1_Pending!$1:$1048576,MATCH($B$8,Filter1_Pending!$D:$D,0)+L35,11)="Initialized",INDEX(Filter1_Pending!$1:$1048576,MATCH($B$8,Filter1_Pending!$D:$D,0)+L35,10),"")</f>
        <v/>
      </c>
      <c r="J35" s="48" t="str">
        <f>IF(INDEX(Filter1_Pending!$1:$1048576,MATCH($B$8,Filter1_Pending!$D:$D,0)+L35,11)="Initialized",INDEX(Filter1_Pending!$1:$1048576,MATCH($B$8,Filter1_Pending!$D:$D,0)+L35,3),"")</f>
        <v/>
      </c>
      <c r="K35" s="31" t="str">
        <f t="array" ref="K35">IFERROR(INDEX(Final_List,IF(ROW(28:28)&lt;COUNTA($J$7:$J$19),ROW(28:28),IF(ROW(28:28)&lt;COUNTA($J$7:$J$30),COUNTA($J$20:J35),IF(ROW(28:28)&lt;COUNTA($J$7:$J$43),COUNTA($J$31:J35),IF(ROW(28:28)&lt;COUNTA($J$7:$J$56),COUNTA($J35:J$44),IF(ROW(28:28)&lt;COUNTA($J$7:$J$67),COUNTA($J35:J$57),IF(ROW(28:28)&lt;COUNTA($J$7:$J$78),COUNTA($J35:J$68))))))),MATCH(M35,Sheet1!$I$27:$N$27,0)),"")</f>
        <v/>
      </c>
      <c r="L35">
        <v>27</v>
      </c>
      <c r="M35" s="72" t="str">
        <f t="shared" si="2"/>
        <v>WER-A-C107</v>
      </c>
    </row>
    <row r="36" spans="1:13" x14ac:dyDescent="0.55000000000000004">
      <c r="A36" s="71"/>
      <c r="B36" s="28" t="str">
        <f>IF(Filter1_Pending!D30=Filter1_Pending!D29,"",Filter1_Pending!D30)</f>
        <v/>
      </c>
      <c r="C36" s="28" t="str">
        <f>IFERROR(VLOOKUP($B36,RawData_Pending!$D$2:$H$134,2,FALSE),"")</f>
        <v/>
      </c>
      <c r="D36" s="30" t="str">
        <f>IFERROR(VLOOKUP($B36,RawData_Pending!$D$2:$H$134,5,FALSE)/1000,"")</f>
        <v/>
      </c>
      <c r="E36" s="30" t="str">
        <f>IFERROR(VLOOKUP($B36,RawData_Pending!$D$2:$H$134,4,FALSE)/1000,"")</f>
        <v/>
      </c>
      <c r="F36" s="28" t="str">
        <f>IFERROR(VLOOKUP($B36,RawData_Pending!$D$2:$H$134,3,FALSE),"")</f>
        <v/>
      </c>
      <c r="G36" s="31" t="str">
        <f>IF(INDEX(Filter1_Pending!$1:$1048576,MATCH($B$8,Filter1_Pending!$D:$D,0)+L36,11)="Completed",INDEX(Filter1_Pending!$1:$1048576,MATCH($B$8,Filter1_Pending!$D:$D,0)+L36,10),"")</f>
        <v>Joe Cahill</v>
      </c>
      <c r="H36" s="32">
        <f>IF(INDEX(Filter1_Pending!$1:$1048576,MATCH($B$8,Filter1_Pending!$D:$D,0)+L36,11)="Completed",INDEX(Filter1_Pending!$1:$1048576,MATCH($B$8,Filter1_Pending!$D:$D,0)+L36,12),"")</f>
        <v>41058.555752314816</v>
      </c>
      <c r="I36" s="47" t="str">
        <f>IF(INDEX(Filter1_Pending!$1:$1048576,MATCH($B$8,Filter1_Pending!$D:$D,0)+L36,11)="Initialized",INDEX(Filter1_Pending!$1:$1048576,MATCH($B$8,Filter1_Pending!$D:$D,0)+L36,10),"")</f>
        <v/>
      </c>
      <c r="J36" s="48" t="str">
        <f>IF(INDEX(Filter1_Pending!$1:$1048576,MATCH($B$8,Filter1_Pending!$D:$D,0)+L36,11)="Initialized",INDEX(Filter1_Pending!$1:$1048576,MATCH($B$8,Filter1_Pending!$D:$D,0)+L36,3),"")</f>
        <v/>
      </c>
      <c r="K36" s="31" t="str">
        <f t="array" ref="K36">IFERROR(INDEX(Final_List,IF(ROW(29:29)&lt;COUNTA($J$7:$J$19),ROW(29:29),IF(ROW(29:29)&lt;COUNTA($J$7:$J$30),COUNTA($J$20:J36),IF(ROW(29:29)&lt;COUNTA($J$7:$J$43),COUNTA($J$31:J36),IF(ROW(29:29)&lt;COUNTA($J$7:$J$56),COUNTA($J36:J$44),IF(ROW(29:29)&lt;COUNTA($J$7:$J$67),COUNTA($J36:J$57),IF(ROW(29:29)&lt;COUNTA($J$7:$J$78),COUNTA($J36:J$68))))))),MATCH(M36,Sheet1!$I$27:$N$27,0)),"")</f>
        <v/>
      </c>
      <c r="L36">
        <v>28</v>
      </c>
      <c r="M36" s="72" t="str">
        <f t="shared" si="2"/>
        <v>WER-A-C107</v>
      </c>
    </row>
    <row r="37" spans="1:13" x14ac:dyDescent="0.55000000000000004">
      <c r="A37" s="71"/>
      <c r="B37" s="28" t="str">
        <f>IF(Filter1_Pending!D31=Filter1_Pending!D30,"",Filter1_Pending!D31)</f>
        <v/>
      </c>
      <c r="C37" s="28" t="str">
        <f>IFERROR(VLOOKUP($B37,RawData_Pending!$D$2:$H$134,2,FALSE),"")</f>
        <v/>
      </c>
      <c r="D37" s="30" t="str">
        <f>IFERROR(VLOOKUP($B37,RawData_Pending!$D$2:$H$134,5,FALSE)/1000,"")</f>
        <v/>
      </c>
      <c r="E37" s="30" t="str">
        <f>IFERROR(VLOOKUP($B37,RawData_Pending!$D$2:$H$134,4,FALSE)/1000,"")</f>
        <v/>
      </c>
      <c r="F37" s="28" t="str">
        <f>IFERROR(VLOOKUP($B37,RawData_Pending!$D$2:$H$134,3,FALSE),"")</f>
        <v/>
      </c>
      <c r="G37" s="31" t="str">
        <f>IF(INDEX(Filter1_Pending!$1:$1048576,MATCH($B$8,Filter1_Pending!$D:$D,0)+L37,11)="Completed",INDEX(Filter1_Pending!$1:$1048576,MATCH($B$8,Filter1_Pending!$D:$D,0)+L37,10),"")</f>
        <v>Gordon Gurnik</v>
      </c>
      <c r="H37" s="32">
        <f>IF(INDEX(Filter1_Pending!$1:$1048576,MATCH($B$8,Filter1_Pending!$D:$D,0)+L37,11)="Completed",INDEX(Filter1_Pending!$1:$1048576,MATCH($B$8,Filter1_Pending!$D:$D,0)+L37,12),"")</f>
        <v>41054.598124999997</v>
      </c>
      <c r="I37" s="47" t="str">
        <f>IF(INDEX(Filter1_Pending!$1:$1048576,MATCH($B$8,Filter1_Pending!$D:$D,0)+L37,11)="Initialized",INDEX(Filter1_Pending!$1:$1048576,MATCH($B$8,Filter1_Pending!$D:$D,0)+L37,10),"")</f>
        <v/>
      </c>
      <c r="J37" s="48" t="str">
        <f>IF(INDEX(Filter1_Pending!$1:$1048576,MATCH($B$8,Filter1_Pending!$D:$D,0)+L37,11)="Initialized",INDEX(Filter1_Pending!$1:$1048576,MATCH($B$8,Filter1_Pending!$D:$D,0)+L37,3),"")</f>
        <v/>
      </c>
      <c r="K37" s="31" t="str">
        <f t="array" ref="K37">IFERROR(INDEX(Final_List,IF(ROW(30:30)&lt;COUNTA($J$7:$J$19),ROW(30:30),IF(ROW(30:30)&lt;COUNTA($J$7:$J$30),COUNTA($J$20:J37),IF(ROW(30:30)&lt;COUNTA($J$7:$J$43),COUNTA($J$31:J37),IF(ROW(30:30)&lt;COUNTA($J$7:$J$56),COUNTA($J37:J$44),IF(ROW(30:30)&lt;COUNTA($J$7:$J$67),COUNTA($J37:J$57),IF(ROW(30:30)&lt;COUNTA($J$7:$J$78),COUNTA($J37:J$68))))))),MATCH(M37,Sheet1!$I$27:$N$27,0)),"")</f>
        <v/>
      </c>
      <c r="L37">
        <v>29</v>
      </c>
      <c r="M37" s="72" t="str">
        <f t="shared" si="2"/>
        <v>WER-A-C107</v>
      </c>
    </row>
    <row r="38" spans="1:13" x14ac:dyDescent="0.55000000000000004">
      <c r="A38" s="71"/>
      <c r="B38" s="28" t="str">
        <f>IF(Filter1_Pending!D32=Filter1_Pending!D31,"",Filter1_Pending!D32)</f>
        <v/>
      </c>
      <c r="C38" s="28" t="str">
        <f>IFERROR(VLOOKUP($B38,RawData_Pending!$D$2:$H$134,2,FALSE),"")</f>
        <v/>
      </c>
      <c r="D38" s="30" t="str">
        <f>IFERROR(VLOOKUP($B38,RawData_Pending!$D$2:$H$134,5,FALSE)/1000,"")</f>
        <v/>
      </c>
      <c r="E38" s="30" t="str">
        <f>IFERROR(VLOOKUP($B38,RawData_Pending!$D$2:$H$134,4,FALSE)/1000,"")</f>
        <v/>
      </c>
      <c r="F38" s="28" t="str">
        <f>IFERROR(VLOOKUP($B38,RawData_Pending!$D$2:$H$134,3,FALSE),"")</f>
        <v/>
      </c>
      <c r="G38" s="31" t="str">
        <f>IF(INDEX(Filter1_Pending!$1:$1048576,MATCH($B$8,Filter1_Pending!$D:$D,0)+L38,11)="Completed",INDEX(Filter1_Pending!$1:$1048576,MATCH($B$8,Filter1_Pending!$D:$D,0)+L38,10),"")</f>
        <v>Mike Toscano</v>
      </c>
      <c r="H38" s="32">
        <f>IF(INDEX(Filter1_Pending!$1:$1048576,MATCH($B$8,Filter1_Pending!$D:$D,0)+L38,11)="Completed",INDEX(Filter1_Pending!$1:$1048576,MATCH($B$8,Filter1_Pending!$D:$D,0)+L38,12),"")</f>
        <v>41058.559594907405</v>
      </c>
      <c r="I38" s="47" t="str">
        <f>IF(INDEX(Filter1_Pending!$1:$1048576,MATCH($B$8,Filter1_Pending!$D:$D,0)+L38,11)="Initialized",INDEX(Filter1_Pending!$1:$1048576,MATCH($B$8,Filter1_Pending!$D:$D,0)+L38,10),"")</f>
        <v/>
      </c>
      <c r="J38" s="48" t="str">
        <f>IF(INDEX(Filter1_Pending!$1:$1048576,MATCH($B$8,Filter1_Pending!$D:$D,0)+L38,11)="Initialized",INDEX(Filter1_Pending!$1:$1048576,MATCH($B$8,Filter1_Pending!$D:$D,0)+L38,3),"")</f>
        <v/>
      </c>
      <c r="K38" s="31" t="str">
        <f t="array" ref="K38">IFERROR(INDEX(Final_List,IF(ROW(31:31)&lt;COUNTA($J$7:$J$19),ROW(31:31),IF(ROW(31:31)&lt;COUNTA($J$7:$J$30),COUNTA($J$20:J38),IF(ROW(31:31)&lt;COUNTA($J$7:$J$43),COUNTA($J$31:J38),IF(ROW(31:31)&lt;COUNTA($J$7:$J$56),COUNTA($J38:J$44),IF(ROW(31:31)&lt;COUNTA($J$7:$J$67),COUNTA($J38:J$57),IF(ROW(31:31)&lt;COUNTA($J$7:$J$78),COUNTA($J38:J$68))))))),MATCH(M38,Sheet1!$I$27:$N$27,0)),"")</f>
        <v/>
      </c>
      <c r="L38">
        <v>30</v>
      </c>
      <c r="M38" s="72" t="str">
        <f t="shared" si="2"/>
        <v>WER-A-C107</v>
      </c>
    </row>
    <row r="39" spans="1:13" x14ac:dyDescent="0.55000000000000004">
      <c r="A39" s="71"/>
      <c r="B39" s="28" t="str">
        <f>IF(Filter1_Pending!D33=Filter1_Pending!D32,"",Filter1_Pending!D33)</f>
        <v/>
      </c>
      <c r="C39" s="28" t="str">
        <f>IFERROR(VLOOKUP($B39,RawData_Pending!$D$2:$H$134,2,FALSE),"")</f>
        <v/>
      </c>
      <c r="D39" s="30" t="str">
        <f>IFERROR(VLOOKUP($B39,RawData_Pending!$D$2:$H$134,5,FALSE)/1000,"")</f>
        <v/>
      </c>
      <c r="E39" s="30" t="str">
        <f>IFERROR(VLOOKUP($B39,RawData_Pending!$D$2:$H$134,4,FALSE)/1000,"")</f>
        <v/>
      </c>
      <c r="F39" s="28" t="str">
        <f>IFERROR(VLOOKUP($B39,RawData_Pending!$D$2:$H$134,3,FALSE),"")</f>
        <v/>
      </c>
      <c r="G39" s="31" t="str">
        <f>IF(INDEX(Filter1_Pending!$1:$1048576,MATCH($B$8,Filter1_Pending!$D:$D,0)+L39,11)="Completed",INDEX(Filter1_Pending!$1:$1048576,MATCH($B$8,Filter1_Pending!$D:$D,0)+L39,10),"")</f>
        <v>Stan Kreydin</v>
      </c>
      <c r="H39" s="32">
        <f>IF(INDEX(Filter1_Pending!$1:$1048576,MATCH($B$8,Filter1_Pending!$D:$D,0)+L39,11)="Completed",INDEX(Filter1_Pending!$1:$1048576,MATCH($B$8,Filter1_Pending!$D:$D,0)+L39,12),"")</f>
        <v>41054.538472222222</v>
      </c>
      <c r="I39" s="47" t="str">
        <f>IF(INDEX(Filter1_Pending!$1:$1048576,MATCH($B$8,Filter1_Pending!$D:$D,0)+L39,11)="Initialized",INDEX(Filter1_Pending!$1:$1048576,MATCH($B$8,Filter1_Pending!$D:$D,0)+L39,10),"")</f>
        <v/>
      </c>
      <c r="J39" s="48" t="str">
        <f>IF(INDEX(Filter1_Pending!$1:$1048576,MATCH($B$8,Filter1_Pending!$D:$D,0)+L39,11)="Initialized",INDEX(Filter1_Pending!$1:$1048576,MATCH($B$8,Filter1_Pending!$D:$D,0)+L39,3),"")</f>
        <v/>
      </c>
      <c r="K39" s="31" t="str">
        <f t="array" ref="K39">IFERROR(INDEX(Final_List,IF(ROW(32:32)&lt;COUNTA($J$7:$J$19),ROW(32:32),IF(ROW(32:32)&lt;COUNTA($J$7:$J$30),COUNTA($J$20:J39),IF(ROW(32:32)&lt;COUNTA($J$7:$J$43),COUNTA($J$31:J39),IF(ROW(32:32)&lt;COUNTA($J$7:$J$56),COUNTA($J39:J$44),IF(ROW(32:32)&lt;COUNTA($J$7:$J$67),COUNTA($J39:J$57),IF(ROW(32:32)&lt;COUNTA($J$7:$J$78),COUNTA($J39:J$68))))))),MATCH(M39,Sheet1!$I$27:$N$27,0)),"")</f>
        <v/>
      </c>
      <c r="L39">
        <v>31</v>
      </c>
      <c r="M39" s="72" t="str">
        <f t="shared" si="2"/>
        <v>WER-A-C107</v>
      </c>
    </row>
    <row r="40" spans="1:13" x14ac:dyDescent="0.55000000000000004">
      <c r="A40" s="71"/>
      <c r="B40" s="28" t="str">
        <f>IF(Filter1_Pending!D34=Filter1_Pending!D33,"",Filter1_Pending!D34)</f>
        <v/>
      </c>
      <c r="C40" s="28" t="str">
        <f>IFERROR(VLOOKUP($B40,RawData_Pending!$D$2:$H$134,2,FALSE),"")</f>
        <v/>
      </c>
      <c r="D40" s="30" t="str">
        <f>IFERROR(VLOOKUP($B40,RawData_Pending!$D$2:$H$134,5,FALSE)/1000,"")</f>
        <v/>
      </c>
      <c r="E40" s="30" t="str">
        <f>IFERROR(VLOOKUP($B40,RawData_Pending!$D$2:$H$134,4,FALSE)/1000,"")</f>
        <v/>
      </c>
      <c r="F40" s="28" t="str">
        <f>IFERROR(VLOOKUP($B40,RawData_Pending!$D$2:$H$134,3,FALSE),"")</f>
        <v/>
      </c>
      <c r="G40" s="31" t="str">
        <f>IF(INDEX(Filter1_Pending!$1:$1048576,MATCH($B$8,Filter1_Pending!$D:$D,0)+L40,11)="Completed",INDEX(Filter1_Pending!$1:$1048576,MATCH($B$8,Filter1_Pending!$D:$D,0)+L40,10),"")</f>
        <v>Fiona Downing</v>
      </c>
      <c r="H40" s="32">
        <f>IF(INDEX(Filter1_Pending!$1:$1048576,MATCH($B$8,Filter1_Pending!$D:$D,0)+L40,11)="Completed",INDEX(Filter1_Pending!$1:$1048576,MATCH($B$8,Filter1_Pending!$D:$D,0)+L40,12),"")</f>
        <v>41057.485011574077</v>
      </c>
      <c r="I40" s="47" t="str">
        <f>IF(INDEX(Filter1_Pending!$1:$1048576,MATCH($B$8,Filter1_Pending!$D:$D,0)+L40,11)="Initialized",INDEX(Filter1_Pending!$1:$1048576,MATCH($B$8,Filter1_Pending!$D:$D,0)+L40,10),"")</f>
        <v/>
      </c>
      <c r="J40" s="48" t="str">
        <f>IF(INDEX(Filter1_Pending!$1:$1048576,MATCH($B$8,Filter1_Pending!$D:$D,0)+L40,11)="Initialized",INDEX(Filter1_Pending!$1:$1048576,MATCH($B$8,Filter1_Pending!$D:$D,0)+L40,3),"")</f>
        <v/>
      </c>
      <c r="K40" s="31" t="str">
        <f t="array" ref="K40">IFERROR(INDEX(Final_List,IF(ROW(33:33)&lt;COUNTA($J$7:$J$19),ROW(33:33),IF(ROW(33:33)&lt;COUNTA($J$7:$J$30),COUNTA($J$20:J40),IF(ROW(33:33)&lt;COUNTA($J$7:$J$43),COUNTA($J$31:J40),IF(ROW(33:33)&lt;COUNTA($J$7:$J$56),COUNTA($J40:J$44),IF(ROW(33:33)&lt;COUNTA($J$7:$J$67),COUNTA($J40:J$57),IF(ROW(33:33)&lt;COUNTA($J$7:$J$78),COUNTA($J40:J$68))))))),MATCH(M40,Sheet1!$I$27:$N$27,0)),"")</f>
        <v/>
      </c>
      <c r="L40">
        <v>32</v>
      </c>
      <c r="M40" s="72" t="str">
        <f t="shared" si="2"/>
        <v>WER-A-C107</v>
      </c>
    </row>
    <row r="41" spans="1:13" x14ac:dyDescent="0.55000000000000004">
      <c r="A41" s="71"/>
      <c r="B41" s="28" t="str">
        <f>IF(Filter1_Pending!D35=Filter1_Pending!D34,"",Filter1_Pending!D35)</f>
        <v/>
      </c>
      <c r="C41" s="28" t="str">
        <f>IFERROR(VLOOKUP($B41,RawData_Pending!$D$2:$H$134,2,FALSE),"")</f>
        <v/>
      </c>
      <c r="D41" s="30" t="str">
        <f>IFERROR(VLOOKUP($B41,RawData_Pending!$D$2:$H$134,5,FALSE)/1000,"")</f>
        <v/>
      </c>
      <c r="E41" s="30" t="str">
        <f>IFERROR(VLOOKUP($B41,RawData_Pending!$D$2:$H$134,4,FALSE)/1000,"")</f>
        <v/>
      </c>
      <c r="F41" s="28" t="str">
        <f>IFERROR(VLOOKUP($B41,RawData_Pending!$D$2:$H$134,3,FALSE),"")</f>
        <v/>
      </c>
      <c r="G41" s="31" t="str">
        <f>IF(INDEX(Filter1_Pending!$1:$1048576,MATCH($B$8,Filter1_Pending!$D:$D,0)+L41,11)="Completed",INDEX(Filter1_Pending!$1:$1048576,MATCH($B$8,Filter1_Pending!$D:$D,0)+L41,10),"")</f>
        <v>Christine Parren</v>
      </c>
      <c r="H41" s="32">
        <f>IF(INDEX(Filter1_Pending!$1:$1048576,MATCH($B$8,Filter1_Pending!$D:$D,0)+L41,11)="Completed",INDEX(Filter1_Pending!$1:$1048576,MATCH($B$8,Filter1_Pending!$D:$D,0)+L41,12),"")</f>
        <v>41055.547303240739</v>
      </c>
      <c r="I41" s="47" t="str">
        <f>IF(INDEX(Filter1_Pending!$1:$1048576,MATCH($B$8,Filter1_Pending!$D:$D,0)+L41,11)="Initialized",INDEX(Filter1_Pending!$1:$1048576,MATCH($B$8,Filter1_Pending!$D:$D,0)+L41,10),"")</f>
        <v/>
      </c>
      <c r="J41" s="48" t="str">
        <f>IF(INDEX(Filter1_Pending!$1:$1048576,MATCH($B$8,Filter1_Pending!$D:$D,0)+L41,11)="Initialized",INDEX(Filter1_Pending!$1:$1048576,MATCH($B$8,Filter1_Pending!$D:$D,0)+L41,3),"")</f>
        <v/>
      </c>
      <c r="K41" s="31" t="str">
        <f t="array" ref="K41">IFERROR(INDEX(Final_List,IF(ROW(34:34)&lt;COUNTA($J$7:$J$19),ROW(34:34),IF(ROW(34:34)&lt;COUNTA($J$7:$J$30),COUNTA($J$20:J41),IF(ROW(34:34)&lt;COUNTA($J$7:$J$43),COUNTA($J$31:J41),IF(ROW(34:34)&lt;COUNTA($J$7:$J$56),COUNTA($J41:J$44),IF(ROW(34:34)&lt;COUNTA($J$7:$J$67),COUNTA($J41:J$57),IF(ROW(34:34)&lt;COUNTA($J$7:$J$78),COUNTA($J41:J$68))))))),MATCH(M41,Sheet1!$I$27:$N$27,0)),"")</f>
        <v/>
      </c>
      <c r="L41">
        <v>33</v>
      </c>
      <c r="M41" s="72" t="str">
        <f t="shared" si="2"/>
        <v>WER-A-C107</v>
      </c>
    </row>
    <row r="42" spans="1:13" x14ac:dyDescent="0.55000000000000004">
      <c r="A42" s="71"/>
      <c r="B42" s="28" t="str">
        <f>IF(Filter1_Pending!D36=Filter1_Pending!D35,"",Filter1_Pending!D36)</f>
        <v/>
      </c>
      <c r="C42" s="28" t="str">
        <f>IFERROR(VLOOKUP($B42,RawData_Pending!$D$2:$H$134,2,FALSE),"")</f>
        <v/>
      </c>
      <c r="D42" s="30" t="str">
        <f>IFERROR(VLOOKUP($B42,RawData_Pending!$D$2:$H$134,5,FALSE)/1000,"")</f>
        <v/>
      </c>
      <c r="E42" s="30" t="str">
        <f>IFERROR(VLOOKUP($B42,RawData_Pending!$D$2:$H$134,4,FALSE)/1000,"")</f>
        <v/>
      </c>
      <c r="F42" s="28" t="str">
        <f>IFERROR(VLOOKUP($B42,RawData_Pending!$D$2:$H$134,3,FALSE),"")</f>
        <v/>
      </c>
      <c r="G42" s="31" t="str">
        <f>IF(INDEX(Filter1_Pending!$1:$1048576,MATCH($B$8,Filter1_Pending!$D:$D,0)+L42,11)="Completed",INDEX(Filter1_Pending!$1:$1048576,MATCH($B$8,Filter1_Pending!$D:$D,0)+L42,10),"")</f>
        <v>Claire Mahoney</v>
      </c>
      <c r="H42" s="32">
        <f>IF(INDEX(Filter1_Pending!$1:$1048576,MATCH($B$8,Filter1_Pending!$D:$D,0)+L42,11)="Completed",INDEX(Filter1_Pending!$1:$1048576,MATCH($B$8,Filter1_Pending!$D:$D,0)+L42,12),"")</f>
        <v>41059.978981481479</v>
      </c>
      <c r="I42" s="47" t="str">
        <f>IF(INDEX(Filter1_Pending!$1:$1048576,MATCH($B$8,Filter1_Pending!$D:$D,0)+L42,11)="Initialized",INDEX(Filter1_Pending!$1:$1048576,MATCH($B$8,Filter1_Pending!$D:$D,0)+L42,10),"")</f>
        <v/>
      </c>
      <c r="J42" s="48" t="str">
        <f>IF(INDEX(Filter1_Pending!$1:$1048576,MATCH($B$8,Filter1_Pending!$D:$D,0)+L42,11)="Initialized",INDEX(Filter1_Pending!$1:$1048576,MATCH($B$8,Filter1_Pending!$D:$D,0)+L42,3),"")</f>
        <v/>
      </c>
      <c r="K42" s="31" t="str">
        <f t="array" ref="K42">IFERROR(INDEX(Final_List,IF(ROW(35:35)&lt;COUNTA($J$7:$J$19),ROW(35:35),IF(ROW(35:35)&lt;COUNTA($J$7:$J$30),COUNTA($J$20:J42),IF(ROW(35:35)&lt;COUNTA($J$7:$J$43),COUNTA($J$31:J42),IF(ROW(35:35)&lt;COUNTA($J$7:$J$56),COUNTA($J42:J$44),IF(ROW(35:35)&lt;COUNTA($J$7:$J$67),COUNTA($J42:J$57),IF(ROW(35:35)&lt;COUNTA($J$7:$J$78),COUNTA($J42:J$68))))))),MATCH(M42,Sheet1!$I$27:$N$27,0)),"")</f>
        <v/>
      </c>
      <c r="L42">
        <v>34</v>
      </c>
      <c r="M42" s="72" t="str">
        <f t="shared" si="2"/>
        <v>WER-A-C107</v>
      </c>
    </row>
    <row r="43" spans="1:13" x14ac:dyDescent="0.55000000000000004">
      <c r="A43" s="71"/>
      <c r="B43" s="28" t="str">
        <f>IF(Filter1_Pending!D37=Filter1_Pending!D36,"",Filter1_Pending!D37)</f>
        <v/>
      </c>
      <c r="C43" s="28" t="str">
        <f>IFERROR(VLOOKUP($B43,RawData_Pending!$D$2:$H$134,2,FALSE),"")</f>
        <v/>
      </c>
      <c r="D43" s="30" t="str">
        <f>IFERROR(VLOOKUP($B43,RawData_Pending!$D$2:$H$134,5,FALSE)/1000,"")</f>
        <v/>
      </c>
      <c r="E43" s="30" t="str">
        <f>IFERROR(VLOOKUP($B43,RawData_Pending!$D$2:$H$134,4,FALSE)/1000,"")</f>
        <v/>
      </c>
      <c r="F43" s="28" t="str">
        <f>IFERROR(VLOOKUP($B43,RawData_Pending!$D$2:$H$134,3,FALSE),"")</f>
        <v/>
      </c>
      <c r="G43" s="31" t="str">
        <f>IF(INDEX(Filter1_Pending!$1:$1048576,MATCH($B$8,Filter1_Pending!$D:$D,0)+L43,11)="Completed",INDEX(Filter1_Pending!$1:$1048576,MATCH($B$8,Filter1_Pending!$D:$D,0)+L43,10),"")</f>
        <v/>
      </c>
      <c r="H43" s="32" t="str">
        <f>IF(INDEX(Filter1_Pending!$1:$1048576,MATCH($B$8,Filter1_Pending!$D:$D,0)+L43,11)="Completed",INDEX(Filter1_Pending!$1:$1048576,MATCH($B$8,Filter1_Pending!$D:$D,0)+L43,12),"")</f>
        <v/>
      </c>
      <c r="I43" s="47" t="str">
        <f>IF(INDEX(Filter1_Pending!$1:$1048576,MATCH($B$8,Filter1_Pending!$D:$D,0)+L43,11)="Initialized",INDEX(Filter1_Pending!$1:$1048576,MATCH($B$8,Filter1_Pending!$D:$D,0)+L43,10),"")</f>
        <v>Gail Mandel</v>
      </c>
      <c r="J43" s="48">
        <f>IF(INDEX(Filter1_Pending!$1:$1048576,MATCH($B$8,Filter1_Pending!$D:$D,0)+L43,11)="Initialized",INDEX(Filter1_Pending!$1:$1048576,MATCH($B$8,Filter1_Pending!$D:$D,0)+L43,3),"")</f>
        <v>41060.534502314818</v>
      </c>
      <c r="K43" s="31" t="str">
        <f t="array" ref="K43">IFERROR(INDEX(Final_List,IF(ROW(36:36)&lt;COUNTA($J$7:$J$19),ROW(36:36),IF(ROW(36:36)&lt;COUNTA($J$7:$J$30),COUNTA($J$20:J43),IF(ROW(36:36)&lt;COUNTA($J$7:$J$43),COUNTA($J$31:J43),IF(ROW(36:36)&lt;COUNTA($J$7:$J$56),COUNTA($J43:J$44),IF(ROW(36:36)&lt;COUNTA($J$7:$J$67),COUNTA($J43:J$57),IF(ROW(36:36)&lt;COUNTA($J$7:$J$78),COUNTA($J43:J$68))))))),MATCH(M43,Sheet1!$I$27:$N$27,0)),"")</f>
        <v/>
      </c>
      <c r="L43">
        <v>35</v>
      </c>
      <c r="M43" s="72" t="str">
        <f t="shared" si="2"/>
        <v>WER-A-C107</v>
      </c>
    </row>
    <row r="44" spans="1:13" x14ac:dyDescent="0.55000000000000004">
      <c r="A44" s="71"/>
      <c r="B44" s="28" t="str">
        <f>IF(Filter1_Pending!D38=Filter1_Pending!D37,"",Filter1_Pending!D38)</f>
        <v>WVR-A-C193</v>
      </c>
      <c r="C44" s="28" t="str">
        <f>IFERROR(VLOOKUP($B44,RawData_Pending!$D$2:$H$134,2,FALSE),"")</f>
        <v>Rental - WVR</v>
      </c>
      <c r="D44" s="30">
        <f>IFERROR(VLOOKUP($B44,RawData_Pending!$D$2:$H$134,5,FALSE)/1000,"")</f>
        <v>546.98</v>
      </c>
      <c r="E44" s="30">
        <f>IFERROR(VLOOKUP($B44,RawData_Pending!$D$2:$H$134,4,FALSE)/1000,"")</f>
        <v>317.59199999999998</v>
      </c>
      <c r="F44" s="28" t="str">
        <f>IFERROR(VLOOKUP($B44,RawData_Pending!$D$2:$H$134,3,FALSE),"")</f>
        <v>Project Genesis-Ph 2A (TRC/CFL)</v>
      </c>
      <c r="G44" s="31" t="str">
        <f>IF(INDEX(Filter1_Pending!$1:$1048576,MATCH($B$8,Filter1_Pending!$D:$D,0)+L44,11)="Completed",INDEX(Filter1_Pending!$1:$1048576,MATCH($B$8,Filter1_Pending!$D:$D,0)+L44,10),"")</f>
        <v>Mike Toscano</v>
      </c>
      <c r="H44" s="32">
        <f>IF(INDEX(Filter1_Pending!$1:$1048576,MATCH($B$8,Filter1_Pending!$D:$D,0)+L44,11)="Completed",INDEX(Filter1_Pending!$1:$1048576,MATCH($B$8,Filter1_Pending!$D:$D,0)+L44,12),"")</f>
        <v>41050.60365740741</v>
      </c>
      <c r="I44" s="47" t="str">
        <f>IF(INDEX(Filter1_Pending!$1:$1048576,MATCH($B$8,Filter1_Pending!$D:$D,0)+L44,11)="Initialized",INDEX(Filter1_Pending!$1:$1048576,MATCH($B$8,Filter1_Pending!$D:$D,0)+L44,10),"")</f>
        <v/>
      </c>
      <c r="J44" s="48" t="str">
        <f>IF(INDEX(Filter1_Pending!$1:$1048576,MATCH($B$8,Filter1_Pending!$D:$D,0)+L44,11)="Initialized",INDEX(Filter1_Pending!$1:$1048576,MATCH($B$8,Filter1_Pending!$D:$D,0)+L44,3),"")</f>
        <v/>
      </c>
      <c r="K44" s="31" t="str">
        <f t="array" ref="K44">IFERROR(INDEX(Final_List,IF(ROW(37:37)&lt;COUNTA($J$7:$J$19),ROW(37:37),IF(ROW(37:37)&lt;COUNTA($J$7:$J$30),COUNTA($J$20:J44),IF(ROW(37:37)&lt;COUNTA($J$7:$J$43),COUNTA($J$31:J44),IF(ROW(37:37)&lt;COUNTA($J$7:$J$56),COUNTA($J44:J$44),IF(ROW(37:37)&lt;COUNTA($J$7:$J$67),COUNTA($J44:J$57),IF(ROW(37:37)&lt;COUNTA($J$7:$J$78),COUNTA($J44:J$68))))))),MATCH(M44,Sheet1!$I$27:$N$27,0)),"")</f>
        <v/>
      </c>
      <c r="L44">
        <v>36</v>
      </c>
      <c r="M44" s="72" t="str">
        <f>$B$44</f>
        <v>WVR-A-C193</v>
      </c>
    </row>
    <row r="45" spans="1:13" x14ac:dyDescent="0.55000000000000004">
      <c r="A45" s="71"/>
      <c r="B45" s="28" t="str">
        <f>IF(Filter1_Pending!D39=Filter1_Pending!D38,"",Filter1_Pending!D39)</f>
        <v/>
      </c>
      <c r="C45" s="28" t="str">
        <f>IFERROR(VLOOKUP($B45,RawData_Pending!$D$2:$H$134,2,FALSE),"")</f>
        <v/>
      </c>
      <c r="D45" s="30" t="str">
        <f>IFERROR(VLOOKUP($B45,RawData_Pending!$D$2:$H$134,5,FALSE)/1000,"")</f>
        <v/>
      </c>
      <c r="E45" s="30" t="str">
        <f>IFERROR(VLOOKUP($B45,RawData_Pending!$D$2:$H$134,4,FALSE)/1000,"")</f>
        <v/>
      </c>
      <c r="F45" s="28" t="str">
        <f>IFERROR(VLOOKUP($B45,RawData_Pending!$D$2:$H$134,3,FALSE),"")</f>
        <v/>
      </c>
      <c r="G45" s="31" t="str">
        <f>IF(INDEX(Filter1_Pending!$1:$1048576,MATCH($B$8,Filter1_Pending!$D:$D,0)+L45,11)="Completed",INDEX(Filter1_Pending!$1:$1048576,MATCH($B$8,Filter1_Pending!$D:$D,0)+L45,10),"")</f>
        <v>Barbara Spengler</v>
      </c>
      <c r="H45" s="32">
        <f>IF(INDEX(Filter1_Pending!$1:$1048576,MATCH($B$8,Filter1_Pending!$D:$D,0)+L45,11)="Completed",INDEX(Filter1_Pending!$1:$1048576,MATCH($B$8,Filter1_Pending!$D:$D,0)+L45,12),"")</f>
        <v>41051.538506944446</v>
      </c>
      <c r="I45" s="47" t="str">
        <f>IF(INDEX(Filter1_Pending!$1:$1048576,MATCH($B$8,Filter1_Pending!$D:$D,0)+L45,11)="Initialized",INDEX(Filter1_Pending!$1:$1048576,MATCH($B$8,Filter1_Pending!$D:$D,0)+L45,10),"")</f>
        <v/>
      </c>
      <c r="J45" s="48" t="str">
        <f>IF(INDEX(Filter1_Pending!$1:$1048576,MATCH($B$8,Filter1_Pending!$D:$D,0)+L45,11)="Initialized",INDEX(Filter1_Pending!$1:$1048576,MATCH($B$8,Filter1_Pending!$D:$D,0)+L45,3),"")</f>
        <v/>
      </c>
      <c r="K45" s="31" t="str">
        <f t="array" ref="K45">IFERROR(INDEX(Final_List,IF(ROW(38:38)&lt;COUNTA($J$7:$J$19),ROW(38:38),IF(ROW(38:38)&lt;COUNTA($J$7:$J$30),COUNTA($J$20:J45),IF(ROW(38:38)&lt;COUNTA($J$7:$J$43),COUNTA($J$31:J45),IF(ROW(38:38)&lt;COUNTA($J$7:$J$56),COUNTA($J$44:J45),IF(ROW(38:38)&lt;COUNTA($J$7:$J$67),COUNTA($J45:J$57),IF(ROW(38:38)&lt;COUNTA($J$7:$J$78),COUNTA($J45:J$68))))))),MATCH(M45,Sheet1!$I$27:$N$27,0)),"")</f>
        <v/>
      </c>
      <c r="L45">
        <v>37</v>
      </c>
      <c r="M45" s="72" t="str">
        <f t="shared" ref="M45:M57" si="3">$B$44</f>
        <v>WVR-A-C193</v>
      </c>
    </row>
    <row r="46" spans="1:13" x14ac:dyDescent="0.55000000000000004">
      <c r="A46" s="71"/>
      <c r="B46" s="28" t="str">
        <f>IF(Filter1_Pending!D40=Filter1_Pending!D39,"",Filter1_Pending!D40)</f>
        <v/>
      </c>
      <c r="C46" s="28" t="str">
        <f>IFERROR(VLOOKUP($B46,RawData_Pending!$D$2:$H$134,2,FALSE),"")</f>
        <v/>
      </c>
      <c r="D46" s="30" t="str">
        <f>IFERROR(VLOOKUP($B46,RawData_Pending!$D$2:$H$134,5,FALSE)/1000,"")</f>
        <v/>
      </c>
      <c r="E46" s="30" t="str">
        <f>IFERROR(VLOOKUP($B46,RawData_Pending!$D$2:$H$134,4,FALSE)/1000,"")</f>
        <v/>
      </c>
      <c r="F46" s="28" t="str">
        <f>IFERROR(VLOOKUP($B46,RawData_Pending!$D$2:$H$134,3,FALSE),"")</f>
        <v/>
      </c>
      <c r="G46" s="31" t="str">
        <f>IF(INDEX(Filter1_Pending!$1:$1048576,MATCH($B$8,Filter1_Pending!$D:$D,0)+L46,11)="Completed",INDEX(Filter1_Pending!$1:$1048576,MATCH($B$8,Filter1_Pending!$D:$D,0)+L46,10),"")</f>
        <v>Rob Tatum</v>
      </c>
      <c r="H46" s="32">
        <f>IF(INDEX(Filter1_Pending!$1:$1048576,MATCH($B$8,Filter1_Pending!$D:$D,0)+L46,11)="Completed",INDEX(Filter1_Pending!$1:$1048576,MATCH($B$8,Filter1_Pending!$D:$D,0)+L46,12),"")</f>
        <v>41050.501793981479</v>
      </c>
      <c r="I46" s="47" t="str">
        <f>IF(INDEX(Filter1_Pending!$1:$1048576,MATCH($B$8,Filter1_Pending!$D:$D,0)+L46,11)="Initialized",INDEX(Filter1_Pending!$1:$1048576,MATCH($B$8,Filter1_Pending!$D:$D,0)+L46,10),"")</f>
        <v/>
      </c>
      <c r="J46" s="48" t="str">
        <f>IF(INDEX(Filter1_Pending!$1:$1048576,MATCH($B$8,Filter1_Pending!$D:$D,0)+L46,11)="Initialized",INDEX(Filter1_Pending!$1:$1048576,MATCH($B$8,Filter1_Pending!$D:$D,0)+L46,3),"")</f>
        <v/>
      </c>
      <c r="K46" s="31" t="str">
        <f t="array" ref="K46">IFERROR(INDEX(Final_List,IF(ROW(39:39)&lt;COUNTA($J$7:$J$19),ROW(39:39),IF(ROW(39:39)&lt;COUNTA($J$7:$J$30),COUNTA($J$20:J46),IF(ROW(39:39)&lt;COUNTA($J$7:$J$43),COUNTA($J$31:J46),IF(ROW(39:39)&lt;COUNTA($J$7:$J$56),COUNTA($J$44:J46),IF(ROW(39:39)&lt;COUNTA($J$7:$J$67),COUNTA($J46:J$57),IF(ROW(39:39)&lt;COUNTA($J$7:$J$78),COUNTA($J46:J$68))))))),MATCH(M46,Sheet1!$I$27:$N$27,0)),"")</f>
        <v/>
      </c>
      <c r="L46">
        <v>38</v>
      </c>
      <c r="M46" s="72" t="str">
        <f t="shared" si="3"/>
        <v>WVR-A-C193</v>
      </c>
    </row>
    <row r="47" spans="1:13" x14ac:dyDescent="0.55000000000000004">
      <c r="A47" s="71"/>
      <c r="B47" s="28" t="str">
        <f>IF(Filter1_Pending!D41=Filter1_Pending!D40,"",Filter1_Pending!D41)</f>
        <v/>
      </c>
      <c r="C47" s="28" t="str">
        <f>IFERROR(VLOOKUP($B47,RawData_Pending!$D$2:$H$134,2,FALSE),"")</f>
        <v/>
      </c>
      <c r="D47" s="30" t="str">
        <f>IFERROR(VLOOKUP($B47,RawData_Pending!$D$2:$H$134,5,FALSE)/1000,"")</f>
        <v/>
      </c>
      <c r="E47" s="30" t="str">
        <f>IFERROR(VLOOKUP($B47,RawData_Pending!$D$2:$H$134,4,FALSE)/1000,"")</f>
        <v/>
      </c>
      <c r="F47" s="28" t="str">
        <f>IFERROR(VLOOKUP($B47,RawData_Pending!$D$2:$H$134,3,FALSE),"")</f>
        <v/>
      </c>
      <c r="G47" s="31" t="str">
        <f>IF(INDEX(Filter1_Pending!$1:$1048576,MATCH($B$8,Filter1_Pending!$D:$D,0)+L47,11)="Completed",INDEX(Filter1_Pending!$1:$1048576,MATCH($B$8,Filter1_Pending!$D:$D,0)+L47,10),"")</f>
        <v>Amber Mayer</v>
      </c>
      <c r="H47" s="32">
        <f>IF(INDEX(Filter1_Pending!$1:$1048576,MATCH($B$8,Filter1_Pending!$D:$D,0)+L47,11)="Completed",INDEX(Filter1_Pending!$1:$1048576,MATCH($B$8,Filter1_Pending!$D:$D,0)+L47,12),"")</f>
        <v>41048.091273148151</v>
      </c>
      <c r="I47" s="47" t="str">
        <f>IF(INDEX(Filter1_Pending!$1:$1048576,MATCH($B$8,Filter1_Pending!$D:$D,0)+L47,11)="Initialized",INDEX(Filter1_Pending!$1:$1048576,MATCH($B$8,Filter1_Pending!$D:$D,0)+L47,10),"")</f>
        <v/>
      </c>
      <c r="J47" s="48" t="str">
        <f>IF(INDEX(Filter1_Pending!$1:$1048576,MATCH($B$8,Filter1_Pending!$D:$D,0)+L47,11)="Initialized",INDEX(Filter1_Pending!$1:$1048576,MATCH($B$8,Filter1_Pending!$D:$D,0)+L47,3),"")</f>
        <v/>
      </c>
      <c r="K47" s="31" t="str">
        <f t="array" ref="K47">IFERROR(INDEX(Final_List,IF(ROW(40:40)&lt;COUNTA($J$7:$J$19),ROW(40:40),IF(ROW(40:40)&lt;COUNTA($J$7:$J$30),COUNTA($J$20:J47),IF(ROW(40:40)&lt;COUNTA($J$7:$J$43),COUNTA($J$31:J47),IF(ROW(40:40)&lt;COUNTA($J$7:$J$56),COUNTA($J$44:J47),IF(ROW(40:40)&lt;COUNTA($J$7:$J$67),COUNTA($J47:J$57),IF(ROW(40:40)&lt;COUNTA($J$7:$J$78),COUNTA($J47:J$68))))))),MATCH(M47,Sheet1!$I$27:$N$27,0)),"")</f>
        <v/>
      </c>
      <c r="L47">
        <v>39</v>
      </c>
      <c r="M47" s="72" t="str">
        <f t="shared" si="3"/>
        <v>WVR-A-C193</v>
      </c>
    </row>
    <row r="48" spans="1:13" x14ac:dyDescent="0.55000000000000004">
      <c r="A48" s="71"/>
      <c r="B48" s="28" t="str">
        <f>IF(Filter1_Pending!D42=Filter1_Pending!D41,"",Filter1_Pending!D42)</f>
        <v/>
      </c>
      <c r="C48" s="28" t="str">
        <f>IFERROR(VLOOKUP($B48,RawData_Pending!$D$2:$H$134,2,FALSE),"")</f>
        <v/>
      </c>
      <c r="D48" s="30" t="str">
        <f>IFERROR(VLOOKUP($B48,RawData_Pending!$D$2:$H$134,5,FALSE)/1000,"")</f>
        <v/>
      </c>
      <c r="E48" s="30" t="str">
        <f>IFERROR(VLOOKUP($B48,RawData_Pending!$D$2:$H$134,4,FALSE)/1000,"")</f>
        <v/>
      </c>
      <c r="F48" s="28" t="str">
        <f>IFERROR(VLOOKUP($B48,RawData_Pending!$D$2:$H$134,3,FALSE),"")</f>
        <v/>
      </c>
      <c r="G48" s="31" t="str">
        <f>IF(INDEX(Filter1_Pending!$1:$1048576,MATCH($B$8,Filter1_Pending!$D:$D,0)+L48,11)="Completed",INDEX(Filter1_Pending!$1:$1048576,MATCH($B$8,Filter1_Pending!$D:$D,0)+L48,10),"")</f>
        <v>Bob Milne</v>
      </c>
      <c r="H48" s="32">
        <f>IF(INDEX(Filter1_Pending!$1:$1048576,MATCH($B$8,Filter1_Pending!$D:$D,0)+L48,11)="Completed",INDEX(Filter1_Pending!$1:$1048576,MATCH($B$8,Filter1_Pending!$D:$D,0)+L48,12),"")</f>
        <v>41050.466608796298</v>
      </c>
      <c r="I48" s="47" t="str">
        <f>IF(INDEX(Filter1_Pending!$1:$1048576,MATCH($B$8,Filter1_Pending!$D:$D,0)+L48,11)="Initialized",INDEX(Filter1_Pending!$1:$1048576,MATCH($B$8,Filter1_Pending!$D:$D,0)+L48,10),"")</f>
        <v/>
      </c>
      <c r="J48" s="48" t="str">
        <f>IF(INDEX(Filter1_Pending!$1:$1048576,MATCH($B$8,Filter1_Pending!$D:$D,0)+L48,11)="Initialized",INDEX(Filter1_Pending!$1:$1048576,MATCH($B$8,Filter1_Pending!$D:$D,0)+L48,3),"")</f>
        <v/>
      </c>
      <c r="K48" s="31" t="str">
        <f t="array" ref="K48">IFERROR(INDEX(Final_List,IF(ROW(41:41)&lt;COUNTA($J$7:$J$19),ROW(41:41),IF(ROW(41:41)&lt;COUNTA($J$7:$J$30),COUNTA($J$20:J48),IF(ROW(41:41)&lt;COUNTA($J$7:$J$43),COUNTA($J$31:J48),IF(ROW(41:41)&lt;COUNTA($J$7:$J$56),COUNTA($J$44:J48),IF(ROW(41:41)&lt;COUNTA($J$7:$J$67),COUNTA($J48:J$57),IF(ROW(41:41)&lt;COUNTA($J$7:$J$78),COUNTA($J48:J$68))))))),MATCH(M48,Sheet1!$I$27:$N$27,0)),"")</f>
        <v/>
      </c>
      <c r="L48">
        <v>40</v>
      </c>
      <c r="M48" s="72" t="str">
        <f t="shared" si="3"/>
        <v>WVR-A-C193</v>
      </c>
    </row>
    <row r="49" spans="1:13" x14ac:dyDescent="0.55000000000000004">
      <c r="A49" s="71"/>
      <c r="B49" s="28" t="str">
        <f>IF(Filter1_Pending!D43=Filter1_Pending!D42,"",Filter1_Pending!D43)</f>
        <v/>
      </c>
      <c r="C49" s="28" t="str">
        <f>IFERROR(VLOOKUP($B49,RawData_Pending!$D$2:$H$134,2,FALSE),"")</f>
        <v/>
      </c>
      <c r="D49" s="30" t="str">
        <f>IFERROR(VLOOKUP($B49,RawData_Pending!$D$2:$H$134,5,FALSE)/1000,"")</f>
        <v/>
      </c>
      <c r="E49" s="30" t="str">
        <f>IFERROR(VLOOKUP($B49,RawData_Pending!$D$2:$H$134,4,FALSE)/1000,"")</f>
        <v/>
      </c>
      <c r="F49" s="28" t="str">
        <f>IFERROR(VLOOKUP($B49,RawData_Pending!$D$2:$H$134,3,FALSE),"")</f>
        <v/>
      </c>
      <c r="G49" s="31" t="str">
        <f>IF(INDEX(Filter1_Pending!$1:$1048576,MATCH($B$8,Filter1_Pending!$D:$D,0)+L49,11)="Completed",INDEX(Filter1_Pending!$1:$1048576,MATCH($B$8,Filter1_Pending!$D:$D,0)+L49,10),"")</f>
        <v>Blair McNamara</v>
      </c>
      <c r="H49" s="32">
        <f>IF(INDEX(Filter1_Pending!$1:$1048576,MATCH($B$8,Filter1_Pending!$D:$D,0)+L49,11)="Completed",INDEX(Filter1_Pending!$1:$1048576,MATCH($B$8,Filter1_Pending!$D:$D,0)+L49,12),"")</f>
        <v>41048.879687499997</v>
      </c>
      <c r="I49" s="47" t="str">
        <f>IF(INDEX(Filter1_Pending!$1:$1048576,MATCH($B$8,Filter1_Pending!$D:$D,0)+L49,11)="Initialized",INDEX(Filter1_Pending!$1:$1048576,MATCH($B$8,Filter1_Pending!$D:$D,0)+L49,10),"")</f>
        <v/>
      </c>
      <c r="J49" s="48" t="str">
        <f>IF(INDEX(Filter1_Pending!$1:$1048576,MATCH($B$8,Filter1_Pending!$D:$D,0)+L49,11)="Initialized",INDEX(Filter1_Pending!$1:$1048576,MATCH($B$8,Filter1_Pending!$D:$D,0)+L49,3),"")</f>
        <v/>
      </c>
      <c r="K49" s="31" t="str">
        <f t="array" ref="K49">IFERROR(INDEX(Final_List,IF(ROW(42:42)&lt;COUNTA($J$7:$J$19),ROW(42:42),IF(ROW(42:42)&lt;COUNTA($J$7:$J$30),COUNTA($J$20:J49),IF(ROW(42:42)&lt;COUNTA($J$7:$J$43),COUNTA($J$31:J49),IF(ROW(42:42)&lt;COUNTA($J$7:$J$56),COUNTA($J$44:J49),IF(ROW(42:42)&lt;COUNTA($J$7:$J$67),COUNTA($J49:J$57),IF(ROW(42:42)&lt;COUNTA($J$7:$J$78),COUNTA($J49:J$68))))))),MATCH(M49,Sheet1!$I$27:$N$27,0)),"")</f>
        <v/>
      </c>
      <c r="L49">
        <v>41</v>
      </c>
      <c r="M49" s="72" t="str">
        <f t="shared" si="3"/>
        <v>WVR-A-C193</v>
      </c>
    </row>
    <row r="50" spans="1:13" x14ac:dyDescent="0.55000000000000004">
      <c r="A50" s="71"/>
      <c r="B50" s="28" t="str">
        <f>IF(Filter1_Pending!D44=Filter1_Pending!D43,"",Filter1_Pending!D44)</f>
        <v/>
      </c>
      <c r="C50" s="28" t="str">
        <f>IFERROR(VLOOKUP($B50,RawData_Pending!$D$2:$H$134,2,FALSE),"")</f>
        <v/>
      </c>
      <c r="D50" s="30" t="str">
        <f>IFERROR(VLOOKUP($B50,RawData_Pending!$D$2:$H$134,5,FALSE)/1000,"")</f>
        <v/>
      </c>
      <c r="E50" s="30" t="str">
        <f>IFERROR(VLOOKUP($B50,RawData_Pending!$D$2:$H$134,4,FALSE)/1000,"")</f>
        <v/>
      </c>
      <c r="F50" s="28" t="str">
        <f>IFERROR(VLOOKUP($B50,RawData_Pending!$D$2:$H$134,3,FALSE),"")</f>
        <v/>
      </c>
      <c r="G50" s="31" t="str">
        <f>IF(INDEX(Filter1_Pending!$1:$1048576,MATCH($B$8,Filter1_Pending!$D:$D,0)+L50,11)="Completed",INDEX(Filter1_Pending!$1:$1048576,MATCH($B$8,Filter1_Pending!$D:$D,0)+L50,10),"")</f>
        <v>Kim Sanborn</v>
      </c>
      <c r="H50" s="32">
        <f>IF(INDEX(Filter1_Pending!$1:$1048576,MATCH($B$8,Filter1_Pending!$D:$D,0)+L50,11)="Completed",INDEX(Filter1_Pending!$1:$1048576,MATCH($B$8,Filter1_Pending!$D:$D,0)+L50,12),"")</f>
        <v>41053.879363425927</v>
      </c>
      <c r="I50" s="47" t="str">
        <f>IF(INDEX(Filter1_Pending!$1:$1048576,MATCH($B$8,Filter1_Pending!$D:$D,0)+L50,11)="Initialized",INDEX(Filter1_Pending!$1:$1048576,MATCH($B$8,Filter1_Pending!$D:$D,0)+L50,10),"")</f>
        <v/>
      </c>
      <c r="J50" s="48" t="str">
        <f>IF(INDEX(Filter1_Pending!$1:$1048576,MATCH($B$8,Filter1_Pending!$D:$D,0)+L50,11)="Initialized",INDEX(Filter1_Pending!$1:$1048576,MATCH($B$8,Filter1_Pending!$D:$D,0)+L50,3),"")</f>
        <v/>
      </c>
      <c r="K50" s="31" t="str">
        <f t="array" ref="K50">IFERROR(INDEX(Final_List,IF(ROW(43:43)&lt;COUNTA($J$7:$J$19),ROW(43:43),IF(ROW(43:43)&lt;COUNTA($J$7:$J$30),COUNTA($J$20:J50),IF(ROW(43:43)&lt;COUNTA($J$7:$J$43),COUNTA($J$31:J50),IF(ROW(43:43)&lt;COUNTA($J$7:$J$56),COUNTA($J$44:J50),IF(ROW(43:43)&lt;COUNTA($J$7:$J$67),COUNTA($J50:J$57),IF(ROW(43:43)&lt;COUNTA($J$7:$J$78),COUNTA($J50:J$68))))))),MATCH(M50,Sheet1!$I$27:$N$27,0)),"")</f>
        <v/>
      </c>
      <c r="L50">
        <v>42</v>
      </c>
      <c r="M50" s="72" t="str">
        <f t="shared" si="3"/>
        <v>WVR-A-C193</v>
      </c>
    </row>
    <row r="51" spans="1:13" x14ac:dyDescent="0.55000000000000004">
      <c r="A51" s="71"/>
      <c r="B51" s="28" t="str">
        <f>IF(Filter1_Pending!D45=Filter1_Pending!D44,"",Filter1_Pending!D45)</f>
        <v/>
      </c>
      <c r="C51" s="28" t="str">
        <f>IFERROR(VLOOKUP($B51,RawData_Pending!$D$2:$H$134,2,FALSE),"")</f>
        <v/>
      </c>
      <c r="D51" s="30" t="str">
        <f>IFERROR(VLOOKUP($B51,RawData_Pending!$D$2:$H$134,5,FALSE)/1000,"")</f>
        <v/>
      </c>
      <c r="E51" s="30" t="str">
        <f>IFERROR(VLOOKUP($B51,RawData_Pending!$D$2:$H$134,4,FALSE)/1000,"")</f>
        <v/>
      </c>
      <c r="F51" s="28" t="str">
        <f>IFERROR(VLOOKUP($B51,RawData_Pending!$D$2:$H$134,3,FALSE),"")</f>
        <v/>
      </c>
      <c r="G51" s="31" t="str">
        <f>IF(INDEX(Filter1_Pending!$1:$1048576,MATCH($B$8,Filter1_Pending!$D:$D,0)+L51,11)="Completed",INDEX(Filter1_Pending!$1:$1048576,MATCH($B$8,Filter1_Pending!$D:$D,0)+L51,10),"")</f>
        <v>Laureen Santini</v>
      </c>
      <c r="H51" s="32">
        <f>IF(INDEX(Filter1_Pending!$1:$1048576,MATCH($B$8,Filter1_Pending!$D:$D,0)+L51,11)="Completed",INDEX(Filter1_Pending!$1:$1048576,MATCH($B$8,Filter1_Pending!$D:$D,0)+L51,12),"")</f>
        <v>41050.037430555552</v>
      </c>
      <c r="I51" s="47" t="str">
        <f>IF(INDEX(Filter1_Pending!$1:$1048576,MATCH($B$8,Filter1_Pending!$D:$D,0)+L51,11)="Initialized",INDEX(Filter1_Pending!$1:$1048576,MATCH($B$8,Filter1_Pending!$D:$D,0)+L51,10),"")</f>
        <v/>
      </c>
      <c r="J51" s="48" t="str">
        <f>IF(INDEX(Filter1_Pending!$1:$1048576,MATCH($B$8,Filter1_Pending!$D:$D,0)+L51,11)="Initialized",INDEX(Filter1_Pending!$1:$1048576,MATCH($B$8,Filter1_Pending!$D:$D,0)+L51,3),"")</f>
        <v/>
      </c>
      <c r="K51" s="31" t="str">
        <f t="array" ref="K51">IFERROR(INDEX(Final_List,IF(ROW(44:44)&lt;COUNTA($J$7:$J$19),ROW(44:44),IF(ROW(44:44)&lt;COUNTA($J$7:$J$30),COUNTA($J$20:J51),IF(ROW(44:44)&lt;COUNTA($J$7:$J$43),COUNTA($J$31:J51),IF(ROW(44:44)&lt;COUNTA($J$7:$J$56),COUNTA($J$44:J51),IF(ROW(44:44)&lt;COUNTA($J$7:$J$67),COUNTA($J51:J$57),IF(ROW(44:44)&lt;COUNTA($J$7:$J$78),COUNTA($J51:J$68))))))),MATCH(M51,Sheet1!$I$27:$N$27,0)),"")</f>
        <v/>
      </c>
      <c r="L51">
        <v>43</v>
      </c>
      <c r="M51" s="72" t="str">
        <f t="shared" si="3"/>
        <v>WVR-A-C193</v>
      </c>
    </row>
    <row r="52" spans="1:13" x14ac:dyDescent="0.55000000000000004">
      <c r="A52" s="71"/>
      <c r="B52" s="28" t="str">
        <f>IF(Filter1_Pending!D46=Filter1_Pending!D45,"",Filter1_Pending!D46)</f>
        <v/>
      </c>
      <c r="C52" s="28" t="str">
        <f>IFERROR(VLOOKUP($B52,RawData_Pending!$D$2:$H$134,2,FALSE),"")</f>
        <v/>
      </c>
      <c r="D52" s="30" t="str">
        <f>IFERROR(VLOOKUP($B52,RawData_Pending!$D$2:$H$134,5,FALSE)/1000,"")</f>
        <v/>
      </c>
      <c r="E52" s="30" t="str">
        <f>IFERROR(VLOOKUP($B52,RawData_Pending!$D$2:$H$134,4,FALSE)/1000,"")</f>
        <v/>
      </c>
      <c r="F52" s="28" t="str">
        <f>IFERROR(VLOOKUP($B52,RawData_Pending!$D$2:$H$134,3,FALSE),"")</f>
        <v/>
      </c>
      <c r="G52" s="31" t="str">
        <f>IF(INDEX(Filter1_Pending!$1:$1048576,MATCH($B$8,Filter1_Pending!$D:$D,0)+L52,11)="Completed",INDEX(Filter1_Pending!$1:$1048576,MATCH($B$8,Filter1_Pending!$D:$D,0)+L52,10),"")</f>
        <v>Brad Dettmer</v>
      </c>
      <c r="H52" s="32">
        <f>IF(INDEX(Filter1_Pending!$1:$1048576,MATCH($B$8,Filter1_Pending!$D:$D,0)+L52,11)="Completed",INDEX(Filter1_Pending!$1:$1048576,MATCH($B$8,Filter1_Pending!$D:$D,0)+L52,12),"")</f>
        <v>41049.8825462963</v>
      </c>
      <c r="I52" s="47" t="str">
        <f>IF(INDEX(Filter1_Pending!$1:$1048576,MATCH($B$8,Filter1_Pending!$D:$D,0)+L52,11)="Initialized",INDEX(Filter1_Pending!$1:$1048576,MATCH($B$8,Filter1_Pending!$D:$D,0)+L52,10),"")</f>
        <v/>
      </c>
      <c r="J52" s="48" t="str">
        <f>IF(INDEX(Filter1_Pending!$1:$1048576,MATCH($B$8,Filter1_Pending!$D:$D,0)+L52,11)="Initialized",INDEX(Filter1_Pending!$1:$1048576,MATCH($B$8,Filter1_Pending!$D:$D,0)+L52,3),"")</f>
        <v/>
      </c>
      <c r="K52" s="31" t="str">
        <f t="array" ref="K52">IFERROR(INDEX(Final_List,IF(ROW(45:45)&lt;COUNTA($J$7:$J$19),ROW(45:45),IF(ROW(45:45)&lt;COUNTA($J$7:$J$30),COUNTA($J$20:J52),IF(ROW(45:45)&lt;COUNTA($J$7:$J$43),COUNTA($J$31:J52),IF(ROW(45:45)&lt;COUNTA($J$7:$J$56),COUNTA($J$44:J52),IF(ROW(45:45)&lt;COUNTA($J$7:$J$67),COUNTA($J52:J$57),IF(ROW(45:45)&lt;COUNTA($J$7:$J$78),COUNTA($J52:J$68))))))),MATCH(M52,Sheet1!$I$27:$N$27,0)),"")</f>
        <v/>
      </c>
      <c r="L52">
        <v>44</v>
      </c>
      <c r="M52" s="72" t="str">
        <f t="shared" si="3"/>
        <v>WVR-A-C193</v>
      </c>
    </row>
    <row r="53" spans="1:13" x14ac:dyDescent="0.55000000000000004">
      <c r="A53" s="71"/>
      <c r="B53" s="28" t="str">
        <f>IF(Filter1_Pending!D47=Filter1_Pending!D46,"",Filter1_Pending!D47)</f>
        <v/>
      </c>
      <c r="C53" s="28" t="str">
        <f>IFERROR(VLOOKUP($B53,RawData_Pending!$D$2:$H$134,2,FALSE),"")</f>
        <v/>
      </c>
      <c r="D53" s="30" t="str">
        <f>IFERROR(VLOOKUP($B53,RawData_Pending!$D$2:$H$134,5,FALSE)/1000,"")</f>
        <v/>
      </c>
      <c r="E53" s="30" t="str">
        <f>IFERROR(VLOOKUP($B53,RawData_Pending!$D$2:$H$134,4,FALSE)/1000,"")</f>
        <v/>
      </c>
      <c r="F53" s="28" t="str">
        <f>IFERROR(VLOOKUP($B53,RawData_Pending!$D$2:$H$134,3,FALSE),"")</f>
        <v/>
      </c>
      <c r="G53" s="31" t="str">
        <f>IF(INDEX(Filter1_Pending!$1:$1048576,MATCH($B$8,Filter1_Pending!$D:$D,0)+L53,11)="Completed",INDEX(Filter1_Pending!$1:$1048576,MATCH($B$8,Filter1_Pending!$D:$D,0)+L53,10),"")</f>
        <v>Amy Dormann</v>
      </c>
      <c r="H53" s="32">
        <f>IF(INDEX(Filter1_Pending!$1:$1048576,MATCH($B$8,Filter1_Pending!$D:$D,0)+L53,11)="Completed",INDEX(Filter1_Pending!$1:$1048576,MATCH($B$8,Filter1_Pending!$D:$D,0)+L53,12),"")</f>
        <v>41047.880358796298</v>
      </c>
      <c r="I53" s="47" t="str">
        <f>IF(INDEX(Filter1_Pending!$1:$1048576,MATCH($B$8,Filter1_Pending!$D:$D,0)+L53,11)="Initialized",INDEX(Filter1_Pending!$1:$1048576,MATCH($B$8,Filter1_Pending!$D:$D,0)+L53,10),"")</f>
        <v/>
      </c>
      <c r="J53" s="48" t="str">
        <f>IF(INDEX(Filter1_Pending!$1:$1048576,MATCH($B$8,Filter1_Pending!$D:$D,0)+L53,11)="Initialized",INDEX(Filter1_Pending!$1:$1048576,MATCH($B$8,Filter1_Pending!$D:$D,0)+L53,3),"")</f>
        <v/>
      </c>
      <c r="K53" s="31" t="str">
        <f t="array" ref="K53">IFERROR(INDEX(Final_List,IF(ROW(46:46)&lt;COUNTA($J$7:$J$19),ROW(46:46),IF(ROW(46:46)&lt;COUNTA($J$7:$J$30),COUNTA($J$20:J53),IF(ROW(46:46)&lt;COUNTA($J$7:$J$43),COUNTA($J$31:J53),IF(ROW(46:46)&lt;COUNTA($J$7:$J$56),COUNTA($J$44:J53),IF(ROW(46:46)&lt;COUNTA($J$7:$J$67),COUNTA($J53:J$57),IF(ROW(46:46)&lt;COUNTA($J$7:$J$78),COUNTA($J53:J$68))))))),MATCH(M53,Sheet1!$I$27:$N$27,0)),"")</f>
        <v/>
      </c>
      <c r="L53">
        <v>45</v>
      </c>
      <c r="M53" s="72" t="str">
        <f t="shared" si="3"/>
        <v>WVR-A-C193</v>
      </c>
    </row>
    <row r="54" spans="1:13" x14ac:dyDescent="0.55000000000000004">
      <c r="A54" s="71"/>
      <c r="B54" s="28" t="str">
        <f>IF(Filter1_Pending!D48=Filter1_Pending!D47,"",Filter1_Pending!D48)</f>
        <v/>
      </c>
      <c r="C54" s="28" t="str">
        <f>IFERROR(VLOOKUP($B54,RawData_Pending!$D$2:$H$134,2,FALSE),"")</f>
        <v/>
      </c>
      <c r="D54" s="30" t="str">
        <f>IFERROR(VLOOKUP($B54,RawData_Pending!$D$2:$H$134,5,FALSE)/1000,"")</f>
        <v/>
      </c>
      <c r="E54" s="30" t="str">
        <f>IFERROR(VLOOKUP($B54,RawData_Pending!$D$2:$H$134,4,FALSE)/1000,"")</f>
        <v/>
      </c>
      <c r="F54" s="28" t="str">
        <f>IFERROR(VLOOKUP($B54,RawData_Pending!$D$2:$H$134,3,FALSE),"")</f>
        <v/>
      </c>
      <c r="G54" s="31" t="str">
        <f>IF(INDEX(Filter1_Pending!$1:$1048576,MATCH($B$8,Filter1_Pending!$D:$D,0)+L54,11)="Completed",INDEX(Filter1_Pending!$1:$1048576,MATCH($B$8,Filter1_Pending!$D:$D,0)+L54,10),"")</f>
        <v>Brian Gosling</v>
      </c>
      <c r="H54" s="32">
        <f>IF(INDEX(Filter1_Pending!$1:$1048576,MATCH($B$8,Filter1_Pending!$D:$D,0)+L54,11)="Completed",INDEX(Filter1_Pending!$1:$1048576,MATCH($B$8,Filter1_Pending!$D:$D,0)+L54,12),"")</f>
        <v>41054.890081018515</v>
      </c>
      <c r="I54" s="47" t="str">
        <f>IF(INDEX(Filter1_Pending!$1:$1048576,MATCH($B$8,Filter1_Pending!$D:$D,0)+L54,11)="Initialized",INDEX(Filter1_Pending!$1:$1048576,MATCH($B$8,Filter1_Pending!$D:$D,0)+L54,10),"")</f>
        <v/>
      </c>
      <c r="J54" s="48" t="str">
        <f>IF(INDEX(Filter1_Pending!$1:$1048576,MATCH($B$8,Filter1_Pending!$D:$D,0)+L54,11)="Initialized",INDEX(Filter1_Pending!$1:$1048576,MATCH($B$8,Filter1_Pending!$D:$D,0)+L54,3),"")</f>
        <v/>
      </c>
      <c r="K54" s="31" t="str">
        <f t="array" ref="K54">IFERROR(INDEX(Final_List,IF(ROW(47:47)&lt;COUNTA($J$7:$J$19),ROW(47:47),IF(ROW(47:47)&lt;COUNTA($J$7:$J$30),COUNTA($J$20:J54),IF(ROW(47:47)&lt;COUNTA($J$7:$J$43),COUNTA($J$31:J54),IF(ROW(47:47)&lt;COUNTA($J$7:$J$56),COUNTA($J$44:J54),IF(ROW(47:47)&lt;COUNTA($J$7:$J$67),COUNTA($J54:J$57),IF(ROW(47:47)&lt;COUNTA($J$7:$J$78),COUNTA($J54:J$68))))))),MATCH(M54,Sheet1!$I$27:$N$27,0)),"")</f>
        <v/>
      </c>
      <c r="L54">
        <v>46</v>
      </c>
      <c r="M54" s="72" t="str">
        <f t="shared" si="3"/>
        <v>WVR-A-C193</v>
      </c>
    </row>
    <row r="55" spans="1:13" x14ac:dyDescent="0.55000000000000004">
      <c r="A55" s="71"/>
      <c r="B55" s="28" t="str">
        <f>IF(Filter1_Pending!D49=Filter1_Pending!D48,"",Filter1_Pending!D49)</f>
        <v/>
      </c>
      <c r="C55" s="28" t="str">
        <f>IFERROR(VLOOKUP($B55,RawData_Pending!$D$2:$H$134,2,FALSE),"")</f>
        <v/>
      </c>
      <c r="D55" s="30" t="str">
        <f>IFERROR(VLOOKUP($B55,RawData_Pending!$D$2:$H$134,5,FALSE)/1000,"")</f>
        <v/>
      </c>
      <c r="E55" s="30" t="str">
        <f>IFERROR(VLOOKUP($B55,RawData_Pending!$D$2:$H$134,4,FALSE)/1000,"")</f>
        <v/>
      </c>
      <c r="F55" s="28" t="str">
        <f>IFERROR(VLOOKUP($B55,RawData_Pending!$D$2:$H$134,3,FALSE),"")</f>
        <v/>
      </c>
      <c r="G55" s="31" t="str">
        <f>IF(INDEX(Filter1_Pending!$1:$1048576,MATCH($B$8,Filter1_Pending!$D:$D,0)+L55,11)="Completed",INDEX(Filter1_Pending!$1:$1048576,MATCH($B$8,Filter1_Pending!$D:$D,0)+L55,10),"")</f>
        <v>Stan Kreydin</v>
      </c>
      <c r="H55" s="32">
        <f>IF(INDEX(Filter1_Pending!$1:$1048576,MATCH($B$8,Filter1_Pending!$D:$D,0)+L55,11)="Completed",INDEX(Filter1_Pending!$1:$1048576,MATCH($B$8,Filter1_Pending!$D:$D,0)+L55,12),"")</f>
        <v>41053.068807870368</v>
      </c>
      <c r="I55" s="47" t="str">
        <f>IF(INDEX(Filter1_Pending!$1:$1048576,MATCH($B$8,Filter1_Pending!$D:$D,0)+L55,11)="Initialized",INDEX(Filter1_Pending!$1:$1048576,MATCH($B$8,Filter1_Pending!$D:$D,0)+L55,10),"")</f>
        <v/>
      </c>
      <c r="J55" s="48" t="str">
        <f>IF(INDEX(Filter1_Pending!$1:$1048576,MATCH($B$8,Filter1_Pending!$D:$D,0)+L55,11)="Initialized",INDEX(Filter1_Pending!$1:$1048576,MATCH($B$8,Filter1_Pending!$D:$D,0)+L55,3),"")</f>
        <v/>
      </c>
      <c r="K55" s="31" t="str">
        <f t="array" ref="K55">IFERROR(INDEX(Final_List,IF(ROW(48:48)&lt;COUNTA($J$7:$J$19),ROW(48:48),IF(ROW(48:48)&lt;COUNTA($J$7:$J$30),COUNTA($J$20:J55),IF(ROW(48:48)&lt;COUNTA($J$7:$J$43),COUNTA($J$31:J55),IF(ROW(48:48)&lt;COUNTA($J$7:$J$56),COUNTA($J$44:J55),IF(ROW(48:48)&lt;COUNTA($J$7:$J$67),COUNTA($J55:J$57),IF(ROW(48:48)&lt;COUNTA($J$7:$J$78),COUNTA($J55:J$68))))))),MATCH(M55,Sheet1!$I$27:$N$27,0)),"")</f>
        <v/>
      </c>
      <c r="L55">
        <v>47</v>
      </c>
      <c r="M55" s="72" t="str">
        <f t="shared" si="3"/>
        <v>WVR-A-C193</v>
      </c>
    </row>
    <row r="56" spans="1:13" x14ac:dyDescent="0.55000000000000004">
      <c r="A56" s="71"/>
      <c r="B56" s="28" t="str">
        <f>IF(Filter1_Pending!D50=Filter1_Pending!D49,"",Filter1_Pending!D50)</f>
        <v/>
      </c>
      <c r="C56" s="28" t="str">
        <f>IFERROR(VLOOKUP($B56,RawData_Pending!$D$2:$H$134,2,FALSE),"")</f>
        <v/>
      </c>
      <c r="D56" s="30" t="str">
        <f>IFERROR(VLOOKUP($B56,RawData_Pending!$D$2:$H$134,5,FALSE)/1000,"")</f>
        <v/>
      </c>
      <c r="E56" s="30" t="str">
        <f>IFERROR(VLOOKUP($B56,RawData_Pending!$D$2:$H$134,4,FALSE)/1000,"")</f>
        <v/>
      </c>
      <c r="F56" s="28" t="str">
        <f>IFERROR(VLOOKUP($B56,RawData_Pending!$D$2:$H$134,3,FALSE),"")</f>
        <v/>
      </c>
      <c r="G56" s="31" t="str">
        <f>IF(INDEX(Filter1_Pending!$1:$1048576,MATCH($B$8,Filter1_Pending!$D:$D,0)+L56,11)="Completed",INDEX(Filter1_Pending!$1:$1048576,MATCH($B$8,Filter1_Pending!$D:$D,0)+L56,10),"")</f>
        <v/>
      </c>
      <c r="H56" s="32" t="str">
        <f>IF(INDEX(Filter1_Pending!$1:$1048576,MATCH($B$8,Filter1_Pending!$D:$D,0)+L56,11)="Completed",INDEX(Filter1_Pending!$1:$1048576,MATCH($B$8,Filter1_Pending!$D:$D,0)+L56,12),"")</f>
        <v/>
      </c>
      <c r="I56" s="47" t="str">
        <f>IF(INDEX(Filter1_Pending!$1:$1048576,MATCH($B$8,Filter1_Pending!$D:$D,0)+L56,11)="Initialized",INDEX(Filter1_Pending!$1:$1048576,MATCH($B$8,Filter1_Pending!$D:$D,0)+L56,10),"")</f>
        <v>Gail Mandel</v>
      </c>
      <c r="J56" s="48">
        <f>IF(INDEX(Filter1_Pending!$1:$1048576,MATCH($B$8,Filter1_Pending!$D:$D,0)+L56,11)="Initialized",INDEX(Filter1_Pending!$1:$1048576,MATCH($B$8,Filter1_Pending!$D:$D,0)+L56,3),"")</f>
        <v>41061.538726851853</v>
      </c>
      <c r="K56" s="31" t="str">
        <f t="array" ref="K56">IFERROR(INDEX(Final_List,IF(ROW(49:49)&lt;COUNTA($J$7:$J$19),ROW(49:49),IF(ROW(49:49)&lt;COUNTA($J$7:$J$30),COUNTA($J$20:J56),IF(ROW(49:49)&lt;COUNTA($J$7:$J$43),COUNTA($J$31:J56),IF(ROW(49:49)&lt;COUNTA($J$7:$J$56),COUNTA($J$44:J56),IF(ROW(49:49)&lt;COUNTA($J$7:$J$67),COUNTA($J56:J$57),IF(ROW(49:49)&lt;COUNTA($J$7:$J$78),COUNTA($J56:J$68))))))),MATCH(M56,Sheet1!$I$27:$N$27,0)),"")</f>
        <v/>
      </c>
      <c r="L56">
        <v>48</v>
      </c>
      <c r="M56" s="72" t="str">
        <f t="shared" si="3"/>
        <v>WVR-A-C193</v>
      </c>
    </row>
    <row r="57" spans="1:13" x14ac:dyDescent="0.55000000000000004">
      <c r="A57" s="71"/>
      <c r="B57" s="28" t="str">
        <f>IF(Filter1_Pending!D51=Filter1_Pending!D50,"",Filter1_Pending!D51)</f>
        <v>WVR-A-C211</v>
      </c>
      <c r="C57" s="28" t="str">
        <f>IFERROR(VLOOKUP($B57,RawData_Pending!$D$2:$H$134,2,FALSE),"")</f>
        <v>Rental - WVR</v>
      </c>
      <c r="D57" s="30">
        <f>IFERROR(VLOOKUP($B57,RawData_Pending!$D$2:$H$134,5,FALSE)/1000,"")</f>
        <v>5971.4930000000004</v>
      </c>
      <c r="E57" s="30">
        <f>IFERROR(VLOOKUP($B57,RawData_Pending!$D$2:$H$134,4,FALSE)/1000,"")</f>
        <v>1342.8879999999999</v>
      </c>
      <c r="F57" s="28" t="str">
        <f>IFERROR(VLOOKUP($B57,RawData_Pending!$D$2:$H$134,3,FALSE),"")</f>
        <v>Traveller Infrastructure/Licenses/Exclusivity Project</v>
      </c>
      <c r="G57" s="31" t="str">
        <f>IF(INDEX(Filter1_Pending!$1:$1048576,MATCH($B$8,Filter1_Pending!$D:$D,0)+L57,11)="Completed",INDEX(Filter1_Pending!$1:$1048576,MATCH($B$8,Filter1_Pending!$D:$D,0)+L57,10),"")</f>
        <v>Paul Dudek</v>
      </c>
      <c r="H57" s="32">
        <f>IF(INDEX(Filter1_Pending!$1:$1048576,MATCH($B$8,Filter1_Pending!$D:$D,0)+L57,11)="Completed",INDEX(Filter1_Pending!$1:$1048576,MATCH($B$8,Filter1_Pending!$D:$D,0)+L57,12),"")</f>
        <v>41047.705520833333</v>
      </c>
      <c r="I57" s="47" t="str">
        <f>IF(INDEX(Filter1_Pending!$1:$1048576,MATCH($B$8,Filter1_Pending!$D:$D,0)+L57,11)="Initialized",INDEX(Filter1_Pending!$1:$1048576,MATCH($B$8,Filter1_Pending!$D:$D,0)+L57,10),"")</f>
        <v/>
      </c>
      <c r="J57" s="48" t="str">
        <f>IF(INDEX(Filter1_Pending!$1:$1048576,MATCH($B$8,Filter1_Pending!$D:$D,0)+L57,11)="Initialized",INDEX(Filter1_Pending!$1:$1048576,MATCH($B$8,Filter1_Pending!$D:$D,0)+L57,3),"")</f>
        <v/>
      </c>
      <c r="K57" s="31" t="str">
        <f t="array" ref="K57">IFERROR(INDEX(Final_List,IF(ROW(50:50)&lt;COUNTA($J$7:$J$19),ROW(50:50),IF(ROW(50:50)&lt;COUNTA($J$7:$J$30),COUNTA($J$20:J57),IF(ROW(50:50)&lt;COUNTA($J$7:$J$43),COUNTA($J$31:J57),IF(ROW(50:50)&lt;COUNTA($J$7:$J$56),COUNTA($J$44:J57),IF(ROW(50:50)&lt;COUNTA($J$7:$J$67),COUNTA($J57:J$57),IF(ROW(50:50)&lt;COUNTA($J$7:$J$78),COUNTA($J57:J$68))))))),MATCH(M57,Sheet1!$I$27:$N$27,0)),"")</f>
        <v>Geoff Ballotti</v>
      </c>
      <c r="L57">
        <v>49</v>
      </c>
      <c r="M57" s="72" t="str">
        <f>$B$57</f>
        <v>WVR-A-C211</v>
      </c>
    </row>
    <row r="58" spans="1:13" x14ac:dyDescent="0.55000000000000004">
      <c r="A58" s="71"/>
      <c r="B58" s="28" t="str">
        <f>IF(Filter1_Pending!D52=Filter1_Pending!D51,"",Filter1_Pending!D52)</f>
        <v/>
      </c>
      <c r="C58" s="28" t="str">
        <f>IFERROR(VLOOKUP($B58,RawData_Pending!$D$2:$H$134,2,FALSE),"")</f>
        <v/>
      </c>
      <c r="D58" s="30" t="str">
        <f>IFERROR(VLOOKUP($B58,RawData_Pending!$D$2:$H$134,5,FALSE)/1000,"")</f>
        <v/>
      </c>
      <c r="E58" s="30" t="str">
        <f>IFERROR(VLOOKUP($B58,RawData_Pending!$D$2:$H$134,4,FALSE)/1000,"")</f>
        <v/>
      </c>
      <c r="F58" s="28" t="str">
        <f>IFERROR(VLOOKUP($B58,RawData_Pending!$D$2:$H$134,3,FALSE),"")</f>
        <v/>
      </c>
      <c r="G58" s="31" t="str">
        <f>IF(INDEX(Filter1_Pending!$1:$1048576,MATCH($B$8,Filter1_Pending!$D:$D,0)+L58,11)="Completed",INDEX(Filter1_Pending!$1:$1048576,MATCH($B$8,Filter1_Pending!$D:$D,0)+L58,10),"")</f>
        <v>Kim Sanborn</v>
      </c>
      <c r="H58" s="32">
        <f>IF(INDEX(Filter1_Pending!$1:$1048576,MATCH($B$8,Filter1_Pending!$D:$D,0)+L58,11)="Completed",INDEX(Filter1_Pending!$1:$1048576,MATCH($B$8,Filter1_Pending!$D:$D,0)+L58,12),"")</f>
        <v>41046.218622685185</v>
      </c>
      <c r="I58" s="47" t="str">
        <f>IF(INDEX(Filter1_Pending!$1:$1048576,MATCH($B$8,Filter1_Pending!$D:$D,0)+L58,11)="Initialized",INDEX(Filter1_Pending!$1:$1048576,MATCH($B$8,Filter1_Pending!$D:$D,0)+L58,10),"")</f>
        <v/>
      </c>
      <c r="J58" s="48" t="str">
        <f>IF(INDEX(Filter1_Pending!$1:$1048576,MATCH($B$8,Filter1_Pending!$D:$D,0)+L58,11)="Initialized",INDEX(Filter1_Pending!$1:$1048576,MATCH($B$8,Filter1_Pending!$D:$D,0)+L58,3),"")</f>
        <v/>
      </c>
      <c r="K58" s="31" t="str">
        <f t="array" ref="K58">IFERROR(INDEX(Final_List,IF(ROW(51:51)&lt;COUNTA($J$7:$J$19),ROW(51:51),IF(ROW(51:51)&lt;COUNTA($J$7:$J$30),COUNTA($J$20:J58),IF(ROW(51:51)&lt;COUNTA($J$7:$J$43),COUNTA($J$31:J58),IF(ROW(51:51)&lt;COUNTA($J$7:$J$56),COUNTA($J$44:J58),IF(ROW(51:51)&lt;COUNTA($J$7:$J$67),COUNTA($J$57:J58),IF(ROW(51:51)&lt;COUNTA($J$7:$J$78),COUNTA($J58:J$68))))))),MATCH(M58,Sheet1!$I$27:$N$27,0)),"")</f>
        <v>Kevin Linder</v>
      </c>
      <c r="L58">
        <v>50</v>
      </c>
      <c r="M58" s="72" t="str">
        <f t="shared" ref="M58:M68" si="4">$B$57</f>
        <v>WVR-A-C211</v>
      </c>
    </row>
    <row r="59" spans="1:13" x14ac:dyDescent="0.55000000000000004">
      <c r="A59" s="71"/>
      <c r="B59" s="28" t="str">
        <f>IF(Filter1_Pending!D53=Filter1_Pending!D52,"",Filter1_Pending!D53)</f>
        <v/>
      </c>
      <c r="C59" s="28" t="str">
        <f>IFERROR(VLOOKUP($B59,RawData_Pending!$D$2:$H$134,2,FALSE),"")</f>
        <v/>
      </c>
      <c r="D59" s="30" t="str">
        <f>IFERROR(VLOOKUP($B59,RawData_Pending!$D$2:$H$134,5,FALSE)/1000,"")</f>
        <v/>
      </c>
      <c r="E59" s="30" t="str">
        <f>IFERROR(VLOOKUP($B59,RawData_Pending!$D$2:$H$134,4,FALSE)/1000,"")</f>
        <v/>
      </c>
      <c r="F59" s="28" t="str">
        <f>IFERROR(VLOOKUP($B59,RawData_Pending!$D$2:$H$134,3,FALSE),"")</f>
        <v/>
      </c>
      <c r="G59" s="31" t="str">
        <f>IF(INDEX(Filter1_Pending!$1:$1048576,MATCH($B$8,Filter1_Pending!$D:$D,0)+L59,11)="Completed",INDEX(Filter1_Pending!$1:$1048576,MATCH($B$8,Filter1_Pending!$D:$D,0)+L59,10),"")</f>
        <v>Barbara Spengler</v>
      </c>
      <c r="H59" s="32">
        <f>IF(INDEX(Filter1_Pending!$1:$1048576,MATCH($B$8,Filter1_Pending!$D:$D,0)+L59,11)="Completed",INDEX(Filter1_Pending!$1:$1048576,MATCH($B$8,Filter1_Pending!$D:$D,0)+L59,12),"")</f>
        <v>41051.737187500003</v>
      </c>
      <c r="I59" s="47" t="str">
        <f>IF(INDEX(Filter1_Pending!$1:$1048576,MATCH($B$8,Filter1_Pending!$D:$D,0)+L59,11)="Initialized",INDEX(Filter1_Pending!$1:$1048576,MATCH($B$8,Filter1_Pending!$D:$D,0)+L59,10),"")</f>
        <v/>
      </c>
      <c r="J59" s="48" t="str">
        <f>IF(INDEX(Filter1_Pending!$1:$1048576,MATCH($B$8,Filter1_Pending!$D:$D,0)+L59,11)="Initialized",INDEX(Filter1_Pending!$1:$1048576,MATCH($B$8,Filter1_Pending!$D:$D,0)+L59,3),"")</f>
        <v/>
      </c>
      <c r="K59" s="31" t="str">
        <f t="array" ref="K59">IFERROR(INDEX(Final_List,IF(ROW(52:52)&lt;COUNTA($J$7:$J$19),ROW(52:52),IF(ROW(52:52)&lt;COUNTA($J$7:$J$30),COUNTA($J$20:J59),IF(ROW(52:52)&lt;COUNTA($J$7:$J$43),COUNTA($J$31:J59),IF(ROW(52:52)&lt;COUNTA($J$7:$J$56),COUNTA($J$44:J59),IF(ROW(52:52)&lt;COUNTA($J$7:$J$67),COUNTA($J$57:J59),IF(ROW(52:52)&lt;COUNTA($J$7:$J$78),COUNTA($J59:J$68))))))),MATCH(M59,Sheet1!$I$27:$N$27,0)),"")</f>
        <v>Jeanmarie Cooney</v>
      </c>
      <c r="L59">
        <v>51</v>
      </c>
      <c r="M59" s="72" t="str">
        <f t="shared" si="4"/>
        <v>WVR-A-C211</v>
      </c>
    </row>
    <row r="60" spans="1:13" x14ac:dyDescent="0.55000000000000004">
      <c r="A60" s="71"/>
      <c r="B60" s="28" t="str">
        <f>IF(Filter1_Pending!D54=Filter1_Pending!D53,"",Filter1_Pending!D54)</f>
        <v/>
      </c>
      <c r="C60" s="28" t="str">
        <f>IFERROR(VLOOKUP($B60,RawData_Pending!$D$2:$H$134,2,FALSE),"")</f>
        <v/>
      </c>
      <c r="D60" s="30" t="str">
        <f>IFERROR(VLOOKUP($B60,RawData_Pending!$D$2:$H$134,5,FALSE)/1000,"")</f>
        <v/>
      </c>
      <c r="E60" s="30" t="str">
        <f>IFERROR(VLOOKUP($B60,RawData_Pending!$D$2:$H$134,4,FALSE)/1000,"")</f>
        <v/>
      </c>
      <c r="F60" s="28" t="str">
        <f>IFERROR(VLOOKUP($B60,RawData_Pending!$D$2:$H$134,3,FALSE),"")</f>
        <v/>
      </c>
      <c r="G60" s="31" t="str">
        <f>IF(INDEX(Filter1_Pending!$1:$1048576,MATCH($B$8,Filter1_Pending!$D:$D,0)+L60,11)="Completed",INDEX(Filter1_Pending!$1:$1048576,MATCH($B$8,Filter1_Pending!$D:$D,0)+L60,10),"")</f>
        <v>Mike Toscano</v>
      </c>
      <c r="H60" s="32">
        <f>IF(INDEX(Filter1_Pending!$1:$1048576,MATCH($B$8,Filter1_Pending!$D:$D,0)+L60,11)="Completed",INDEX(Filter1_Pending!$1:$1048576,MATCH($B$8,Filter1_Pending!$D:$D,0)+L60,12),"")</f>
        <v>41050.631481481483</v>
      </c>
      <c r="I60" s="47" t="str">
        <f>IF(INDEX(Filter1_Pending!$1:$1048576,MATCH($B$8,Filter1_Pending!$D:$D,0)+L60,11)="Initialized",INDEX(Filter1_Pending!$1:$1048576,MATCH($B$8,Filter1_Pending!$D:$D,0)+L60,10),"")</f>
        <v/>
      </c>
      <c r="J60" s="48" t="str">
        <f>IF(INDEX(Filter1_Pending!$1:$1048576,MATCH($B$8,Filter1_Pending!$D:$D,0)+L60,11)="Initialized",INDEX(Filter1_Pending!$1:$1048576,MATCH($B$8,Filter1_Pending!$D:$D,0)+L60,3),"")</f>
        <v/>
      </c>
      <c r="K60" s="31" t="str">
        <f t="array" ref="K60">IFERROR(INDEX(Final_List,IF(ROW(53:53)&lt;COUNTA($J$7:$J$19),ROW(53:53),IF(ROW(53:53)&lt;COUNTA($J$7:$J$30),COUNTA($J$20:J60),IF(ROW(53:53)&lt;COUNTA($J$7:$J$43),COUNTA($J$31:J60),IF(ROW(53:53)&lt;COUNTA($J$7:$J$56),COUNTA($J$44:J60),IF(ROW(53:53)&lt;COUNTA($J$7:$J$67),COUNTA($J$57:J60),IF(ROW(53:53)&lt;COUNTA($J$7:$J$78),COUNTA($J60:J$68))))))),MATCH(M60,Sheet1!$I$27:$N$27,0)),"")</f>
        <v>Tom Conforti</v>
      </c>
      <c r="L60">
        <v>52</v>
      </c>
      <c r="M60" s="72" t="str">
        <f t="shared" si="4"/>
        <v>WVR-A-C211</v>
      </c>
    </row>
    <row r="61" spans="1:13" x14ac:dyDescent="0.55000000000000004">
      <c r="A61" s="71"/>
      <c r="B61" s="28" t="str">
        <f>IF(Filter1_Pending!D55=Filter1_Pending!D54,"",Filter1_Pending!D55)</f>
        <v/>
      </c>
      <c r="C61" s="28" t="str">
        <f>IFERROR(VLOOKUP($B61,RawData_Pending!$D$2:$H$134,2,FALSE),"")</f>
        <v/>
      </c>
      <c r="D61" s="30" t="str">
        <f>IFERROR(VLOOKUP($B61,RawData_Pending!$D$2:$H$134,5,FALSE)/1000,"")</f>
        <v/>
      </c>
      <c r="E61" s="30" t="str">
        <f>IFERROR(VLOOKUP($B61,RawData_Pending!$D$2:$H$134,4,FALSE)/1000,"")</f>
        <v/>
      </c>
      <c r="F61" s="28" t="str">
        <f>IFERROR(VLOOKUP($B61,RawData_Pending!$D$2:$H$134,3,FALSE),"")</f>
        <v/>
      </c>
      <c r="G61" s="31" t="str">
        <f>IF(INDEX(Filter1_Pending!$1:$1048576,MATCH($B$8,Filter1_Pending!$D:$D,0)+L61,11)="Completed",INDEX(Filter1_Pending!$1:$1048576,MATCH($B$8,Filter1_Pending!$D:$D,0)+L61,10),"")</f>
        <v>Amy Dormann</v>
      </c>
      <c r="H61" s="32">
        <f>IF(INDEX(Filter1_Pending!$1:$1048576,MATCH($B$8,Filter1_Pending!$D:$D,0)+L61,11)="Completed",INDEX(Filter1_Pending!$1:$1048576,MATCH($B$8,Filter1_Pending!$D:$D,0)+L61,12),"")</f>
        <v>41047.691423611112</v>
      </c>
      <c r="I61" s="47" t="str">
        <f>IF(INDEX(Filter1_Pending!$1:$1048576,MATCH($B$8,Filter1_Pending!$D:$D,0)+L61,11)="Initialized",INDEX(Filter1_Pending!$1:$1048576,MATCH($B$8,Filter1_Pending!$D:$D,0)+L61,10),"")</f>
        <v/>
      </c>
      <c r="J61" s="48" t="str">
        <f>IF(INDEX(Filter1_Pending!$1:$1048576,MATCH($B$8,Filter1_Pending!$D:$D,0)+L61,11)="Initialized",INDEX(Filter1_Pending!$1:$1048576,MATCH($B$8,Filter1_Pending!$D:$D,0)+L61,3),"")</f>
        <v/>
      </c>
      <c r="K61" s="31" t="str">
        <f t="array" ref="K61">IFERROR(INDEX(Final_List,IF(ROW(54:54)&lt;COUNTA($J$7:$J$19),ROW(54:54),IF(ROW(54:54)&lt;COUNTA($J$7:$J$30),COUNTA($J$20:J61),IF(ROW(54:54)&lt;COUNTA($J$7:$J$43),COUNTA($J$31:J61),IF(ROW(54:54)&lt;COUNTA($J$7:$J$56),COUNTA($J$44:J61),IF(ROW(54:54)&lt;COUNTA($J$7:$J$67),COUNTA($J$57:J61),IF(ROW(54:54)&lt;COUNTA($J$7:$J$78),COUNTA($J61:J$68))))))),MATCH(M61,Sheet1!$I$27:$N$27,0)),"")</f>
        <v/>
      </c>
      <c r="L61">
        <v>53</v>
      </c>
      <c r="M61" s="72" t="str">
        <f t="shared" si="4"/>
        <v>WVR-A-C211</v>
      </c>
    </row>
    <row r="62" spans="1:13" x14ac:dyDescent="0.55000000000000004">
      <c r="A62" s="71"/>
      <c r="B62" s="28" t="str">
        <f>IF(Filter1_Pending!D56=Filter1_Pending!D55,"",Filter1_Pending!D56)</f>
        <v/>
      </c>
      <c r="C62" s="28" t="str">
        <f>IFERROR(VLOOKUP($B62,RawData_Pending!$D$2:$H$134,2,FALSE),"")</f>
        <v/>
      </c>
      <c r="D62" s="30" t="str">
        <f>IFERROR(VLOOKUP($B62,RawData_Pending!$D$2:$H$134,5,FALSE)/1000,"")</f>
        <v/>
      </c>
      <c r="E62" s="30" t="str">
        <f>IFERROR(VLOOKUP($B62,RawData_Pending!$D$2:$H$134,4,FALSE)/1000,"")</f>
        <v/>
      </c>
      <c r="F62" s="28" t="str">
        <f>IFERROR(VLOOKUP($B62,RawData_Pending!$D$2:$H$134,3,FALSE),"")</f>
        <v/>
      </c>
      <c r="G62" s="31" t="str">
        <f>IF(INDEX(Filter1_Pending!$1:$1048576,MATCH($B$8,Filter1_Pending!$D:$D,0)+L62,11)="Completed",INDEX(Filter1_Pending!$1:$1048576,MATCH($B$8,Filter1_Pending!$D:$D,0)+L62,10),"")</f>
        <v>Rob Tatum</v>
      </c>
      <c r="H62" s="32">
        <f>IF(INDEX(Filter1_Pending!$1:$1048576,MATCH($B$8,Filter1_Pending!$D:$D,0)+L62,11)="Completed",INDEX(Filter1_Pending!$1:$1048576,MATCH($B$8,Filter1_Pending!$D:$D,0)+L62,12),"")</f>
        <v>41046.49763888889</v>
      </c>
      <c r="I62" s="47" t="str">
        <f>IF(INDEX(Filter1_Pending!$1:$1048576,MATCH($B$8,Filter1_Pending!$D:$D,0)+L62,11)="Initialized",INDEX(Filter1_Pending!$1:$1048576,MATCH($B$8,Filter1_Pending!$D:$D,0)+L62,10),"")</f>
        <v/>
      </c>
      <c r="J62" s="48" t="str">
        <f>IF(INDEX(Filter1_Pending!$1:$1048576,MATCH($B$8,Filter1_Pending!$D:$D,0)+L62,11)="Initialized",INDEX(Filter1_Pending!$1:$1048576,MATCH($B$8,Filter1_Pending!$D:$D,0)+L62,3),"")</f>
        <v/>
      </c>
      <c r="K62" s="31" t="str">
        <f t="array" ref="K62">IFERROR(INDEX(Final_List,IF(ROW(55:55)&lt;COUNTA($J$7:$J$19),ROW(55:55),IF(ROW(55:55)&lt;COUNTA($J$7:$J$30),COUNTA($J$20:J62),IF(ROW(55:55)&lt;COUNTA($J$7:$J$43),COUNTA($J$31:J62),IF(ROW(55:55)&lt;COUNTA($J$7:$J$56),COUNTA($J$44:J62),IF(ROW(55:55)&lt;COUNTA($J$7:$J$67),COUNTA($J$57:J62),IF(ROW(55:55)&lt;COUNTA($J$7:$J$78),COUNTA($J62:J$68))))))),MATCH(M62,Sheet1!$I$27:$N$27,0)),"")</f>
        <v/>
      </c>
      <c r="L62">
        <v>54</v>
      </c>
      <c r="M62" s="72" t="str">
        <f t="shared" si="4"/>
        <v>WVR-A-C211</v>
      </c>
    </row>
    <row r="63" spans="1:13" x14ac:dyDescent="0.55000000000000004">
      <c r="A63" s="71"/>
      <c r="B63" s="28" t="str">
        <f>IF(Filter1_Pending!D57=Filter1_Pending!D56,"",Filter1_Pending!D57)</f>
        <v/>
      </c>
      <c r="C63" s="28" t="str">
        <f>IFERROR(VLOOKUP($B63,RawData_Pending!$D$2:$H$134,2,FALSE),"")</f>
        <v/>
      </c>
      <c r="D63" s="30" t="str">
        <f>IFERROR(VLOOKUP($B63,RawData_Pending!$D$2:$H$134,5,FALSE)/1000,"")</f>
        <v/>
      </c>
      <c r="E63" s="30" t="str">
        <f>IFERROR(VLOOKUP($B63,RawData_Pending!$D$2:$H$134,4,FALSE)/1000,"")</f>
        <v/>
      </c>
      <c r="F63" s="28" t="str">
        <f>IFERROR(VLOOKUP($B63,RawData_Pending!$D$2:$H$134,3,FALSE),"")</f>
        <v/>
      </c>
      <c r="G63" s="31" t="str">
        <f>IF(INDEX(Filter1_Pending!$1:$1048576,MATCH($B$8,Filter1_Pending!$D:$D,0)+L63,11)="Completed",INDEX(Filter1_Pending!$1:$1048576,MATCH($B$8,Filter1_Pending!$D:$D,0)+L63,10),"")</f>
        <v>Brian Gosling</v>
      </c>
      <c r="H63" s="32">
        <f>IF(INDEX(Filter1_Pending!$1:$1048576,MATCH($B$8,Filter1_Pending!$D:$D,0)+L63,11)="Completed",INDEX(Filter1_Pending!$1:$1048576,MATCH($B$8,Filter1_Pending!$D:$D,0)+L63,12),"")</f>
        <v>41054.916134259256</v>
      </c>
      <c r="I63" s="47" t="str">
        <f>IF(INDEX(Filter1_Pending!$1:$1048576,MATCH($B$8,Filter1_Pending!$D:$D,0)+L63,11)="Initialized",INDEX(Filter1_Pending!$1:$1048576,MATCH($B$8,Filter1_Pending!$D:$D,0)+L63,10),"")</f>
        <v/>
      </c>
      <c r="J63" s="48" t="str">
        <f>IF(INDEX(Filter1_Pending!$1:$1048576,MATCH($B$8,Filter1_Pending!$D:$D,0)+L63,11)="Initialized",INDEX(Filter1_Pending!$1:$1048576,MATCH($B$8,Filter1_Pending!$D:$D,0)+L63,3),"")</f>
        <v/>
      </c>
      <c r="K63" s="31" t="str">
        <f t="array" ref="K63">IFERROR(INDEX(Final_List,IF(ROW(56:56)&lt;COUNTA($J$7:$J$19),ROW(56:56),IF(ROW(56:56)&lt;COUNTA($J$7:$J$30),COUNTA($J$20:J63),IF(ROW(56:56)&lt;COUNTA($J$7:$J$43),COUNTA($J$31:J63),IF(ROW(56:56)&lt;COUNTA($J$7:$J$56),COUNTA($J$44:J63),IF(ROW(56:56)&lt;COUNTA($J$7:$J$67),COUNTA($J$57:J63),IF(ROW(56:56)&lt;COUNTA($J$7:$J$78),COUNTA($J63:J$68))))))),MATCH(M63,Sheet1!$I$27:$N$27,0)),"")</f>
        <v/>
      </c>
      <c r="L63">
        <v>55</v>
      </c>
      <c r="M63" s="72" t="str">
        <f t="shared" si="4"/>
        <v>WVR-A-C211</v>
      </c>
    </row>
    <row r="64" spans="1:13" x14ac:dyDescent="0.55000000000000004">
      <c r="A64" s="71"/>
      <c r="B64" s="28" t="str">
        <f>IF(Filter1_Pending!D58=Filter1_Pending!D57,"",Filter1_Pending!D58)</f>
        <v/>
      </c>
      <c r="C64" s="28" t="str">
        <f>IFERROR(VLOOKUP($B64,RawData_Pending!$D$2:$H$134,2,FALSE),"")</f>
        <v/>
      </c>
      <c r="D64" s="30" t="str">
        <f>IFERROR(VLOOKUP($B64,RawData_Pending!$D$2:$H$134,5,FALSE)/1000,"")</f>
        <v/>
      </c>
      <c r="E64" s="30" t="str">
        <f>IFERROR(VLOOKUP($B64,RawData_Pending!$D$2:$H$134,4,FALSE)/1000,"")</f>
        <v/>
      </c>
      <c r="F64" s="28" t="str">
        <f>IFERROR(VLOOKUP($B64,RawData_Pending!$D$2:$H$134,3,FALSE),"")</f>
        <v/>
      </c>
      <c r="G64" s="31" t="str">
        <f>IF(INDEX(Filter1_Pending!$1:$1048576,MATCH($B$8,Filter1_Pending!$D:$D,0)+L64,11)="Completed",INDEX(Filter1_Pending!$1:$1048576,MATCH($B$8,Filter1_Pending!$D:$D,0)+L64,10),"")</f>
        <v>Brad Dettmer</v>
      </c>
      <c r="H64" s="32">
        <f>IF(INDEX(Filter1_Pending!$1:$1048576,MATCH($B$8,Filter1_Pending!$D:$D,0)+L64,11)="Completed",INDEX(Filter1_Pending!$1:$1048576,MATCH($B$8,Filter1_Pending!$D:$D,0)+L64,12),"")</f>
        <v>41046.608495370368</v>
      </c>
      <c r="I64" s="47" t="str">
        <f>IF(INDEX(Filter1_Pending!$1:$1048576,MATCH($B$8,Filter1_Pending!$D:$D,0)+L64,11)="Initialized",INDEX(Filter1_Pending!$1:$1048576,MATCH($B$8,Filter1_Pending!$D:$D,0)+L64,10),"")</f>
        <v/>
      </c>
      <c r="J64" s="48" t="str">
        <f>IF(INDEX(Filter1_Pending!$1:$1048576,MATCH($B$8,Filter1_Pending!$D:$D,0)+L64,11)="Initialized",INDEX(Filter1_Pending!$1:$1048576,MATCH($B$8,Filter1_Pending!$D:$D,0)+L64,3),"")</f>
        <v/>
      </c>
      <c r="K64" s="31" t="str">
        <f t="array" ref="K64">IFERROR(INDEX(Final_List,IF(ROW(57:57)&lt;COUNTA($J$7:$J$19),ROW(57:57),IF(ROW(57:57)&lt;COUNTA($J$7:$J$30),COUNTA($J$20:J64),IF(ROW(57:57)&lt;COUNTA($J$7:$J$43),COUNTA($J$31:J64),IF(ROW(57:57)&lt;COUNTA($J$7:$J$56),COUNTA($J$44:J64),IF(ROW(57:57)&lt;COUNTA($J$7:$J$67),COUNTA($J$57:J64),IF(ROW(57:57)&lt;COUNTA($J$7:$J$78),COUNTA($J64:J$68))))))),MATCH(M64,Sheet1!$I$27:$N$27,0)),"")</f>
        <v/>
      </c>
      <c r="L64">
        <v>56</v>
      </c>
      <c r="M64" s="72" t="str">
        <f t="shared" si="4"/>
        <v>WVR-A-C211</v>
      </c>
    </row>
    <row r="65" spans="1:13" x14ac:dyDescent="0.55000000000000004">
      <c r="A65" s="71"/>
      <c r="B65" s="28" t="str">
        <f>IF(Filter1_Pending!D59=Filter1_Pending!D58,"",Filter1_Pending!D59)</f>
        <v/>
      </c>
      <c r="C65" s="28" t="str">
        <f>IFERROR(VLOOKUP($B65,RawData_Pending!$D$2:$H$134,2,FALSE),"")</f>
        <v/>
      </c>
      <c r="D65" s="30" t="str">
        <f>IFERROR(VLOOKUP($B65,RawData_Pending!$D$2:$H$134,5,FALSE)/1000,"")</f>
        <v/>
      </c>
      <c r="E65" s="30" t="str">
        <f>IFERROR(VLOOKUP($B65,RawData_Pending!$D$2:$H$134,4,FALSE)/1000,"")</f>
        <v/>
      </c>
      <c r="F65" s="28" t="str">
        <f>IFERROR(VLOOKUP($B65,RawData_Pending!$D$2:$H$134,3,FALSE),"")</f>
        <v/>
      </c>
      <c r="G65" s="31" t="str">
        <f>IF(INDEX(Filter1_Pending!$1:$1048576,MATCH($B$8,Filter1_Pending!$D:$D,0)+L65,11)="Completed",INDEX(Filter1_Pending!$1:$1048576,MATCH($B$8,Filter1_Pending!$D:$D,0)+L65,10),"")</f>
        <v>Stan Kreydin</v>
      </c>
      <c r="H65" s="32">
        <f>IF(INDEX(Filter1_Pending!$1:$1048576,MATCH($B$8,Filter1_Pending!$D:$D,0)+L65,11)="Completed",INDEX(Filter1_Pending!$1:$1048576,MATCH($B$8,Filter1_Pending!$D:$D,0)+L65,12),"")</f>
        <v>41046.404641203706</v>
      </c>
      <c r="I65" s="47" t="str">
        <f>IF(INDEX(Filter1_Pending!$1:$1048576,MATCH($B$8,Filter1_Pending!$D:$D,0)+L65,11)="Initialized",INDEX(Filter1_Pending!$1:$1048576,MATCH($B$8,Filter1_Pending!$D:$D,0)+L65,10),"")</f>
        <v/>
      </c>
      <c r="J65" s="48" t="str">
        <f>IF(INDEX(Filter1_Pending!$1:$1048576,MATCH($B$8,Filter1_Pending!$D:$D,0)+L65,11)="Initialized",INDEX(Filter1_Pending!$1:$1048576,MATCH($B$8,Filter1_Pending!$D:$D,0)+L65,3),"")</f>
        <v/>
      </c>
      <c r="K65" s="31" t="str">
        <f t="array" ref="K65">IFERROR(INDEX(Final_List,IF(ROW(58:58)&lt;COUNTA($J$7:$J$19),ROW(58:58),IF(ROW(58:58)&lt;COUNTA($J$7:$J$30),COUNTA($J$20:J65),IF(ROW(58:58)&lt;COUNTA($J$7:$J$43),COUNTA($J$31:J65),IF(ROW(58:58)&lt;COUNTA($J$7:$J$56),COUNTA($J$44:J65),IF(ROW(58:58)&lt;COUNTA($J$7:$J$67),COUNTA($J$57:J65),IF(ROW(58:58)&lt;COUNTA($J$7:$J$78),COUNTA($J65:J$68))))))),MATCH(M65,Sheet1!$I$27:$N$27,0)),"")</f>
        <v/>
      </c>
      <c r="L65">
        <v>57</v>
      </c>
      <c r="M65" s="72" t="str">
        <f t="shared" si="4"/>
        <v>WVR-A-C211</v>
      </c>
    </row>
    <row r="66" spans="1:13" x14ac:dyDescent="0.55000000000000004">
      <c r="A66" s="71"/>
      <c r="B66" s="28" t="str">
        <f>IF(Filter1_Pending!D60=Filter1_Pending!D59,"",Filter1_Pending!D60)</f>
        <v/>
      </c>
      <c r="C66" s="28" t="str">
        <f>IFERROR(VLOOKUP($B66,RawData_Pending!$D$2:$H$134,2,FALSE),"")</f>
        <v/>
      </c>
      <c r="D66" s="30" t="str">
        <f>IFERROR(VLOOKUP($B66,RawData_Pending!$D$2:$H$134,5,FALSE)/1000,"")</f>
        <v/>
      </c>
      <c r="E66" s="30" t="str">
        <f>IFERROR(VLOOKUP($B66,RawData_Pending!$D$2:$H$134,4,FALSE)/1000,"")</f>
        <v/>
      </c>
      <c r="F66" s="28" t="str">
        <f>IFERROR(VLOOKUP($B66,RawData_Pending!$D$2:$H$134,3,FALSE),"")</f>
        <v/>
      </c>
      <c r="G66" s="31" t="str">
        <f>IF(INDEX(Filter1_Pending!$1:$1048576,MATCH($B$8,Filter1_Pending!$D:$D,0)+L66,11)="Completed",INDEX(Filter1_Pending!$1:$1048576,MATCH($B$8,Filter1_Pending!$D:$D,0)+L66,10),"")</f>
        <v>Bob Milne</v>
      </c>
      <c r="H66" s="32">
        <f>IF(INDEX(Filter1_Pending!$1:$1048576,MATCH($B$8,Filter1_Pending!$D:$D,0)+L66,11)="Completed",INDEX(Filter1_Pending!$1:$1048576,MATCH($B$8,Filter1_Pending!$D:$D,0)+L66,12),"")</f>
        <v>41045.924224537041</v>
      </c>
      <c r="I66" s="47" t="str">
        <f>IF(INDEX(Filter1_Pending!$1:$1048576,MATCH($B$8,Filter1_Pending!$D:$D,0)+L66,11)="Initialized",INDEX(Filter1_Pending!$1:$1048576,MATCH($B$8,Filter1_Pending!$D:$D,0)+L66,10),"")</f>
        <v/>
      </c>
      <c r="J66" s="48" t="str">
        <f>IF(INDEX(Filter1_Pending!$1:$1048576,MATCH($B$8,Filter1_Pending!$D:$D,0)+L66,11)="Initialized",INDEX(Filter1_Pending!$1:$1048576,MATCH($B$8,Filter1_Pending!$D:$D,0)+L66,3),"")</f>
        <v/>
      </c>
      <c r="K66" s="31" t="str">
        <f t="array" ref="K66">IFERROR(INDEX(Final_List,IF(ROW(59:59)&lt;COUNTA($J$7:$J$19),ROW(59:59),IF(ROW(59:59)&lt;COUNTA($J$7:$J$30),COUNTA($J$20:J66),IF(ROW(59:59)&lt;COUNTA($J$7:$J$43),COUNTA($J$31:J66),IF(ROW(59:59)&lt;COUNTA($J$7:$J$56),COUNTA($J$44:J66),IF(ROW(59:59)&lt;COUNTA($J$7:$J$67),COUNTA($J$57:J66),IF(ROW(59:59)&lt;COUNTA($J$7:$J$78),COUNTA($J66:J$68))))))),MATCH(M66,Sheet1!$I$27:$N$27,0)),"")</f>
        <v/>
      </c>
      <c r="L66">
        <v>58</v>
      </c>
      <c r="M66" s="72" t="str">
        <f t="shared" si="4"/>
        <v>WVR-A-C211</v>
      </c>
    </row>
    <row r="67" spans="1:13" x14ac:dyDescent="0.55000000000000004">
      <c r="A67" s="71"/>
      <c r="B67" s="28" t="str">
        <f>IF(Filter1_Pending!D61=Filter1_Pending!D60,"",Filter1_Pending!D61)</f>
        <v/>
      </c>
      <c r="C67" s="28" t="str">
        <f>IFERROR(VLOOKUP($B67,RawData_Pending!$D$2:$H$134,2,FALSE),"")</f>
        <v/>
      </c>
      <c r="D67" s="30" t="str">
        <f>IFERROR(VLOOKUP($B67,RawData_Pending!$D$2:$H$134,5,FALSE)/1000,"")</f>
        <v/>
      </c>
      <c r="E67" s="30" t="str">
        <f>IFERROR(VLOOKUP($B67,RawData_Pending!$D$2:$H$134,4,FALSE)/1000,"")</f>
        <v/>
      </c>
      <c r="F67" s="28" t="str">
        <f>IFERROR(VLOOKUP($B67,RawData_Pending!$D$2:$H$134,3,FALSE),"")</f>
        <v/>
      </c>
      <c r="G67" s="31" t="str">
        <f>IF(INDEX(Filter1_Pending!$1:$1048576,MATCH($B$8,Filter1_Pending!$D:$D,0)+L67,11)="Completed",INDEX(Filter1_Pending!$1:$1048576,MATCH($B$8,Filter1_Pending!$D:$D,0)+L67,10),"")</f>
        <v/>
      </c>
      <c r="H67" s="32" t="str">
        <f>IF(INDEX(Filter1_Pending!$1:$1048576,MATCH($B$8,Filter1_Pending!$D:$D,0)+L67,11)="Completed",INDEX(Filter1_Pending!$1:$1048576,MATCH($B$8,Filter1_Pending!$D:$D,0)+L67,12),"")</f>
        <v/>
      </c>
      <c r="I67" s="47" t="str">
        <f>IF(INDEX(Filter1_Pending!$1:$1048576,MATCH($B$8,Filter1_Pending!$D:$D,0)+L67,11)="Initialized",INDEX(Filter1_Pending!$1:$1048576,MATCH($B$8,Filter1_Pending!$D:$D,0)+L67,10),"")</f>
        <v>Gail Mandel</v>
      </c>
      <c r="J67" s="48">
        <f>IF(INDEX(Filter1_Pending!$1:$1048576,MATCH($B$8,Filter1_Pending!$D:$D,0)+L67,11)="Initialized",INDEX(Filter1_Pending!$1:$1048576,MATCH($B$8,Filter1_Pending!$D:$D,0)+L67,3),"")</f>
        <v>41061.53765046296</v>
      </c>
      <c r="K67" s="31" t="str">
        <f t="array" ref="K67">IFERROR(INDEX(Final_List,IF(ROW(60:60)&lt;COUNTA($J$7:$J$19),ROW(60:60),IF(ROW(60:60)&lt;COUNTA($J$7:$J$30),COUNTA($J$20:J67),IF(ROW(60:60)&lt;COUNTA($J$7:$J$43),COUNTA($J$31:J67),IF(ROW(60:60)&lt;COUNTA($J$7:$J$56),COUNTA($J$44:J67),IF(ROW(60:60)&lt;COUNTA($J$7:$J$67),COUNTA($J$57:J67),IF(ROW(60:60)&lt;COUNTA($J$7:$J$78),COUNTA($J67:J$68))))))),MATCH(M67,Sheet1!$I$27:$N$27,0)),"")</f>
        <v/>
      </c>
      <c r="L67">
        <v>59</v>
      </c>
      <c r="M67" s="72" t="str">
        <f t="shared" si="4"/>
        <v>WVR-A-C211</v>
      </c>
    </row>
    <row r="68" spans="1:13" x14ac:dyDescent="0.55000000000000004">
      <c r="A68" s="71"/>
      <c r="B68" s="28" t="str">
        <f>IF(Filter1_Pending!D62=Filter1_Pending!D61,"",Filter1_Pending!D62)</f>
        <v>WVR-A-PGMU</v>
      </c>
      <c r="C68" s="28" t="str">
        <f>IFERROR(VLOOKUP($B68,RawData_Pending!$D$2:$H$134,2,FALSE),"")</f>
        <v>Rental - WVR</v>
      </c>
      <c r="D68" s="30">
        <f>IFERROR(VLOOKUP($B68,RawData_Pending!$D$2:$H$134,5,FALSE)/1000,"")</f>
        <v>18893.786</v>
      </c>
      <c r="E68" s="30">
        <f>IFERROR(VLOOKUP($B68,RawData_Pending!$D$2:$H$134,4,FALSE)/1000,"")</f>
        <v>356.71699999999998</v>
      </c>
      <c r="F68" s="28" t="str">
        <f>IFERROR(VLOOKUP($B68,RawData_Pending!$D$2:$H$134,3,FALSE),"")</f>
        <v>Program United Consolidated</v>
      </c>
      <c r="G68" s="31" t="str">
        <f>IF(INDEX(Filter1_Pending!$1:$1048576,MATCH($B$8,Filter1_Pending!$D:$D,0)+L68,11)="Completed",INDEX(Filter1_Pending!$1:$1048576,MATCH($B$8,Filter1_Pending!$D:$D,0)+L68,10),"")</f>
        <v>Brad Dettmer</v>
      </c>
      <c r="H68" s="32">
        <f>IF(INDEX(Filter1_Pending!$1:$1048576,MATCH($B$8,Filter1_Pending!$D:$D,0)+L68,11)="Completed",INDEX(Filter1_Pending!$1:$1048576,MATCH($B$8,Filter1_Pending!$D:$D,0)+L68,12),"")</f>
        <v>41058.532013888886</v>
      </c>
      <c r="I68" s="47" t="str">
        <f>IF(INDEX(Filter1_Pending!$1:$1048576,MATCH($B$8,Filter1_Pending!$D:$D,0)+L68,11)="Initialized",INDEX(Filter1_Pending!$1:$1048576,MATCH($B$8,Filter1_Pending!$D:$D,0)+L68,10),"")</f>
        <v/>
      </c>
      <c r="J68" s="48" t="str">
        <f>IF(INDEX(Filter1_Pending!$1:$1048576,MATCH($B$8,Filter1_Pending!$D:$D,0)+L68,11)="Initialized",INDEX(Filter1_Pending!$1:$1048576,MATCH($B$8,Filter1_Pending!$D:$D,0)+L68,3),"")</f>
        <v/>
      </c>
      <c r="K68" s="31" t="str">
        <f t="array" ref="K68">IFERROR(INDEX(Final_List,IF(ROW(61:61)&lt;COUNTA($J$7:$J$19),ROW(61:61),IF(ROW(61:61)&lt;COUNTA($J$7:$J$30),COUNTA($J$20:J68),IF(ROW(61:61)&lt;COUNTA($J$7:$J$43),COUNTA($J$31:J68),IF(ROW(61:61)&lt;COUNTA($J$7:$J$56),COUNTA($J$44:J68),IF(ROW(61:61)&lt;COUNTA($J$7:$J$67),COUNTA($J$57:J68),IF(ROW(61:61)&lt;COUNTA($J$7:$J$78),COUNTA($J68:J$68))))))),MATCH(M68,Sheet1!$I$27:$N$27,0)),"")</f>
        <v>Steve Holmes</v>
      </c>
      <c r="L68">
        <v>60</v>
      </c>
      <c r="M68" s="72" t="str">
        <f>$B$68</f>
        <v>WVR-A-PGMU</v>
      </c>
    </row>
    <row r="69" spans="1:13" x14ac:dyDescent="0.55000000000000004">
      <c r="A69" s="71"/>
      <c r="B69" s="28" t="str">
        <f>IF(Filter1_Pending!D63=Filter1_Pending!D62,"",Filter1_Pending!D63)</f>
        <v/>
      </c>
      <c r="C69" s="28" t="str">
        <f>IFERROR(VLOOKUP($B69,RawData_Pending!$D$2:$H$134,2,FALSE),"")</f>
        <v/>
      </c>
      <c r="D69" s="30" t="str">
        <f>IFERROR(VLOOKUP($B69,RawData_Pending!$D$2:$H$134,5,FALSE)/1000,"")</f>
        <v/>
      </c>
      <c r="E69" s="30" t="str">
        <f>IFERROR(VLOOKUP($B69,RawData_Pending!$D$2:$H$134,4,FALSE)/1000,"")</f>
        <v/>
      </c>
      <c r="F69" s="28" t="str">
        <f>IFERROR(VLOOKUP($B69,RawData_Pending!$D$2:$H$134,3,FALSE),"")</f>
        <v/>
      </c>
      <c r="G69" s="31" t="str">
        <f>IF(INDEX(Filter1_Pending!$1:$1048576,MATCH($B$8,Filter1_Pending!$D:$D,0)+L69,11)="Completed",INDEX(Filter1_Pending!$1:$1048576,MATCH($B$8,Filter1_Pending!$D:$D,0)+L69,10),"")</f>
        <v>Mike Toscano</v>
      </c>
      <c r="H69" s="32">
        <f>IF(INDEX(Filter1_Pending!$1:$1048576,MATCH($B$8,Filter1_Pending!$D:$D,0)+L69,11)="Completed",INDEX(Filter1_Pending!$1:$1048576,MATCH($B$8,Filter1_Pending!$D:$D,0)+L69,12),"")</f>
        <v>41058.56417824074</v>
      </c>
      <c r="I69" s="47" t="str">
        <f>IF(INDEX(Filter1_Pending!$1:$1048576,MATCH($B$8,Filter1_Pending!$D:$D,0)+L69,11)="Initialized",INDEX(Filter1_Pending!$1:$1048576,MATCH($B$8,Filter1_Pending!$D:$D,0)+L69,10),"")</f>
        <v/>
      </c>
      <c r="J69" s="48" t="str">
        <f>IF(INDEX(Filter1_Pending!$1:$1048576,MATCH($B$8,Filter1_Pending!$D:$D,0)+L69,11)="Initialized",INDEX(Filter1_Pending!$1:$1048576,MATCH($B$8,Filter1_Pending!$D:$D,0)+L69,3),"")</f>
        <v/>
      </c>
      <c r="K69" s="31" t="str">
        <f t="array" ref="K69">IFERROR(INDEX(Final_List,IF(ROW(62:62)&lt;COUNTA($J$7:$J$19),ROW(62:62),IF(ROW(62:62)&lt;COUNTA($J$7:$J$30),COUNTA($J$20:J69),IF(ROW(62:62)&lt;COUNTA($J$7:$J$43),COUNTA($J$31:J69),IF(ROW(62:62)&lt;COUNTA($J$7:$J$56),COUNTA($J$44:J69),IF(ROW(62:62)&lt;COUNTA($J$7:$J$67),COUNTA($J$57:J69),IF(ROW(62:62)&lt;COUNTA($J$7:$J$78),COUNTA($J$68:J69))))))),MATCH(M69,Sheet1!$I$27:$N$27,0)),"")</f>
        <v>Geoff Ballotti</v>
      </c>
      <c r="L69">
        <v>61</v>
      </c>
      <c r="M69" s="72" t="str">
        <f t="shared" ref="M69:M78" si="5">$B$68</f>
        <v>WVR-A-PGMU</v>
      </c>
    </row>
    <row r="70" spans="1:13" x14ac:dyDescent="0.55000000000000004">
      <c r="A70" s="71"/>
      <c r="B70" s="28" t="str">
        <f>IF(Filter1_Pending!D64=Filter1_Pending!D63,"",Filter1_Pending!D64)</f>
        <v/>
      </c>
      <c r="C70" s="28" t="str">
        <f>IFERROR(VLOOKUP($B70,RawData_Pending!$D$2:$H$134,2,FALSE),"")</f>
        <v/>
      </c>
      <c r="D70" s="30" t="str">
        <f>IFERROR(VLOOKUP($B70,RawData_Pending!$D$2:$H$134,5,FALSE)/1000,"")</f>
        <v/>
      </c>
      <c r="E70" s="30" t="str">
        <f>IFERROR(VLOOKUP($B70,RawData_Pending!$D$2:$H$134,4,FALSE)/1000,"")</f>
        <v/>
      </c>
      <c r="F70" s="28" t="str">
        <f>IFERROR(VLOOKUP($B70,RawData_Pending!$D$2:$H$134,3,FALSE),"")</f>
        <v/>
      </c>
      <c r="G70" s="31" t="str">
        <f>IF(INDEX(Filter1_Pending!$1:$1048576,MATCH($B$8,Filter1_Pending!$D:$D,0)+L70,11)="Completed",INDEX(Filter1_Pending!$1:$1048576,MATCH($B$8,Filter1_Pending!$D:$D,0)+L70,10),"")</f>
        <v>Laureen Santini</v>
      </c>
      <c r="H70" s="32">
        <f>IF(INDEX(Filter1_Pending!$1:$1048576,MATCH($B$8,Filter1_Pending!$D:$D,0)+L70,11)="Completed",INDEX(Filter1_Pending!$1:$1048576,MATCH($B$8,Filter1_Pending!$D:$D,0)+L70,12),"")</f>
        <v>41058.609606481485</v>
      </c>
      <c r="I70" s="47" t="str">
        <f>IF(INDEX(Filter1_Pending!$1:$1048576,MATCH($B$8,Filter1_Pending!$D:$D,0)+L70,11)="Initialized",INDEX(Filter1_Pending!$1:$1048576,MATCH($B$8,Filter1_Pending!$D:$D,0)+L70,10),"")</f>
        <v/>
      </c>
      <c r="J70" s="48" t="str">
        <f>IF(INDEX(Filter1_Pending!$1:$1048576,MATCH($B$8,Filter1_Pending!$D:$D,0)+L70,11)="Initialized",INDEX(Filter1_Pending!$1:$1048576,MATCH($B$8,Filter1_Pending!$D:$D,0)+L70,3),"")</f>
        <v/>
      </c>
      <c r="K70" s="31" t="str">
        <f t="array" ref="K70">IFERROR(INDEX(Final_List,IF(ROW(63:63)&lt;COUNTA($J$7:$J$19),ROW(63:63),IF(ROW(63:63)&lt;COUNTA($J$7:$J$30),COUNTA($J$20:J70),IF(ROW(63:63)&lt;COUNTA($J$7:$J$43),COUNTA($J$31:J70),IF(ROW(63:63)&lt;COUNTA($J$7:$J$56),COUNTA($J$44:J70),IF(ROW(63:63)&lt;COUNTA($J$7:$J$67),COUNTA($J$57:J70),IF(ROW(63:63)&lt;COUNTA($J$7:$J$78),COUNTA($J$68:J70))))))),MATCH(M70,Sheet1!$I$27:$N$27,0)),"")</f>
        <v>Kevin Linder</v>
      </c>
      <c r="L70">
        <v>62</v>
      </c>
      <c r="M70" s="72" t="str">
        <f t="shared" si="5"/>
        <v>WVR-A-PGMU</v>
      </c>
    </row>
    <row r="71" spans="1:13" x14ac:dyDescent="0.55000000000000004">
      <c r="A71" s="71"/>
      <c r="B71" s="28" t="str">
        <f>IF(Filter1_Pending!D65=Filter1_Pending!D64,"",Filter1_Pending!D65)</f>
        <v/>
      </c>
      <c r="C71" s="28" t="str">
        <f>IFERROR(VLOOKUP($B71,RawData_Pending!$D$2:$H$134,2,FALSE),"")</f>
        <v/>
      </c>
      <c r="D71" s="30" t="str">
        <f>IFERROR(VLOOKUP($B71,RawData_Pending!$D$2:$H$134,5,FALSE)/1000,"")</f>
        <v/>
      </c>
      <c r="E71" s="30" t="str">
        <f>IFERROR(VLOOKUP($B71,RawData_Pending!$D$2:$H$134,4,FALSE)/1000,"")</f>
        <v/>
      </c>
      <c r="F71" s="28" t="str">
        <f>IFERROR(VLOOKUP($B71,RawData_Pending!$D$2:$H$134,3,FALSE),"")</f>
        <v/>
      </c>
      <c r="G71" s="31" t="str">
        <f>IF(INDEX(Filter1_Pending!$1:$1048576,MATCH($B$8,Filter1_Pending!$D:$D,0)+L71,11)="Completed",INDEX(Filter1_Pending!$1:$1048576,MATCH($B$8,Filter1_Pending!$D:$D,0)+L71,10),"")</f>
        <v>Kim Sanborn</v>
      </c>
      <c r="H71" s="32">
        <f>IF(INDEX(Filter1_Pending!$1:$1048576,MATCH($B$8,Filter1_Pending!$D:$D,0)+L71,11)="Completed",INDEX(Filter1_Pending!$1:$1048576,MATCH($B$8,Filter1_Pending!$D:$D,0)+L71,12),"")</f>
        <v>41061.077847222223</v>
      </c>
      <c r="I71" s="47" t="str">
        <f>IF(INDEX(Filter1_Pending!$1:$1048576,MATCH($B$8,Filter1_Pending!$D:$D,0)+L71,11)="Initialized",INDEX(Filter1_Pending!$1:$1048576,MATCH($B$8,Filter1_Pending!$D:$D,0)+L71,10),"")</f>
        <v/>
      </c>
      <c r="J71" s="48" t="str">
        <f>IF(INDEX(Filter1_Pending!$1:$1048576,MATCH($B$8,Filter1_Pending!$D:$D,0)+L71,11)="Initialized",INDEX(Filter1_Pending!$1:$1048576,MATCH($B$8,Filter1_Pending!$D:$D,0)+L71,3),"")</f>
        <v/>
      </c>
      <c r="K71" s="31" t="str">
        <f t="array" ref="K71">IFERROR(INDEX(Final_List,IF(ROW(64:64)&lt;COUNTA($J$7:$J$19),ROW(64:64),IF(ROW(64:64)&lt;COUNTA($J$7:$J$30),COUNTA($J$20:J71),IF(ROW(64:64)&lt;COUNTA($J$7:$J$43),COUNTA($J$31:J71),IF(ROW(64:64)&lt;COUNTA($J$7:$J$56),COUNTA($J$44:J71),IF(ROW(64:64)&lt;COUNTA($J$7:$J$67),COUNTA($J$57:J71),IF(ROW(64:64)&lt;COUNTA($J$7:$J$78),COUNTA($J$68:J71))))))),MATCH(M71,Sheet1!$I$27:$N$27,0)),"")</f>
        <v>Jeanmarie Cooney</v>
      </c>
      <c r="L71">
        <v>63</v>
      </c>
      <c r="M71" s="72" t="str">
        <f t="shared" si="5"/>
        <v>WVR-A-PGMU</v>
      </c>
    </row>
    <row r="72" spans="1:13" x14ac:dyDescent="0.55000000000000004">
      <c r="A72" s="71"/>
      <c r="B72" s="28" t="str">
        <f>IF(Filter1_Pending!D66=Filter1_Pending!D65,"",Filter1_Pending!D66)</f>
        <v/>
      </c>
      <c r="C72" s="28" t="str">
        <f>IFERROR(VLOOKUP($B72,RawData_Pending!$D$2:$H$134,2,FALSE),"")</f>
        <v/>
      </c>
      <c r="D72" s="30" t="str">
        <f>IFERROR(VLOOKUP($B72,RawData_Pending!$D$2:$H$134,5,FALSE)/1000,"")</f>
        <v/>
      </c>
      <c r="E72" s="30" t="str">
        <f>IFERROR(VLOOKUP($B72,RawData_Pending!$D$2:$H$134,4,FALSE)/1000,"")</f>
        <v/>
      </c>
      <c r="F72" s="28" t="str">
        <f>IFERROR(VLOOKUP($B72,RawData_Pending!$D$2:$H$134,3,FALSE),"")</f>
        <v/>
      </c>
      <c r="G72" s="31" t="str">
        <f>IF(INDEX(Filter1_Pending!$1:$1048576,MATCH($B$8,Filter1_Pending!$D:$D,0)+L72,11)="Completed",INDEX(Filter1_Pending!$1:$1048576,MATCH($B$8,Filter1_Pending!$D:$D,0)+L72,10),"")</f>
        <v>Stan Kreydin</v>
      </c>
      <c r="H72" s="32">
        <f>IF(INDEX(Filter1_Pending!$1:$1048576,MATCH($B$8,Filter1_Pending!$D:$D,0)+L72,11)="Completed",INDEX(Filter1_Pending!$1:$1048576,MATCH($B$8,Filter1_Pending!$D:$D,0)+L72,12),"")</f>
        <v>41054.721932870372</v>
      </c>
      <c r="I72" s="47" t="str">
        <f>IF(INDEX(Filter1_Pending!$1:$1048576,MATCH($B$8,Filter1_Pending!$D:$D,0)+L72,11)="Initialized",INDEX(Filter1_Pending!$1:$1048576,MATCH($B$8,Filter1_Pending!$D:$D,0)+L72,10),"")</f>
        <v/>
      </c>
      <c r="J72" s="48" t="str">
        <f>IF(INDEX(Filter1_Pending!$1:$1048576,MATCH($B$8,Filter1_Pending!$D:$D,0)+L72,11)="Initialized",INDEX(Filter1_Pending!$1:$1048576,MATCH($B$8,Filter1_Pending!$D:$D,0)+L72,3),"")</f>
        <v/>
      </c>
      <c r="K72" s="31" t="str">
        <f t="array" ref="K72">IFERROR(INDEX(Final_List,IF(ROW(65:65)&lt;COUNTA($J$7:$J$19),ROW(65:65),IF(ROW(65:65)&lt;COUNTA($J$7:$J$30),COUNTA($J$20:J72),IF(ROW(65:65)&lt;COUNTA($J$7:$J$43),COUNTA($J$31:J72),IF(ROW(65:65)&lt;COUNTA($J$7:$J$56),COUNTA($J$44:J72),IF(ROW(65:65)&lt;COUNTA($J$7:$J$67),COUNTA($J$57:J72),IF(ROW(65:65)&lt;COUNTA($J$7:$J$78),COUNTA($J$68:J72))))))),MATCH(M72,Sheet1!$I$27:$N$27,0)),"")</f>
        <v>Tom Conforti</v>
      </c>
      <c r="L72">
        <v>64</v>
      </c>
      <c r="M72" s="72" t="str">
        <f t="shared" si="5"/>
        <v>WVR-A-PGMU</v>
      </c>
    </row>
    <row r="73" spans="1:13" x14ac:dyDescent="0.55000000000000004">
      <c r="A73" s="71"/>
      <c r="B73" s="28" t="str">
        <f>IF(Filter1_Pending!D67=Filter1_Pending!D66,"",Filter1_Pending!D67)</f>
        <v/>
      </c>
      <c r="C73" s="28" t="str">
        <f>IFERROR(VLOOKUP($B73,RawData_Pending!$D$2:$H$134,2,FALSE),"")</f>
        <v/>
      </c>
      <c r="D73" s="30" t="str">
        <f>IFERROR(VLOOKUP($B73,RawData_Pending!$D$2:$H$134,5,FALSE)/1000,"")</f>
        <v/>
      </c>
      <c r="E73" s="30" t="str">
        <f>IFERROR(VLOOKUP($B73,RawData_Pending!$D$2:$H$134,4,FALSE)/1000,"")</f>
        <v/>
      </c>
      <c r="F73" s="28" t="str">
        <f>IFERROR(VLOOKUP($B73,RawData_Pending!$D$2:$H$134,3,FALSE),"")</f>
        <v/>
      </c>
      <c r="G73" s="31" t="str">
        <f>IF(INDEX(Filter1_Pending!$1:$1048576,MATCH($B$8,Filter1_Pending!$D:$D,0)+L73,11)="Completed",INDEX(Filter1_Pending!$1:$1048576,MATCH($B$8,Filter1_Pending!$D:$D,0)+L73,10),"")</f>
        <v>Barbara Spengler</v>
      </c>
      <c r="H73" s="32">
        <f>IF(INDEX(Filter1_Pending!$1:$1048576,MATCH($B$8,Filter1_Pending!$D:$D,0)+L73,11)="Completed",INDEX(Filter1_Pending!$1:$1048576,MATCH($B$8,Filter1_Pending!$D:$D,0)+L73,12),"")</f>
        <v>41054.694467592592</v>
      </c>
      <c r="I73" s="47" t="str">
        <f>IF(INDEX(Filter1_Pending!$1:$1048576,MATCH($B$8,Filter1_Pending!$D:$D,0)+L73,11)="Initialized",INDEX(Filter1_Pending!$1:$1048576,MATCH($B$8,Filter1_Pending!$D:$D,0)+L73,10),"")</f>
        <v/>
      </c>
      <c r="J73" s="48" t="str">
        <f>IF(INDEX(Filter1_Pending!$1:$1048576,MATCH($B$8,Filter1_Pending!$D:$D,0)+L73,11)="Initialized",INDEX(Filter1_Pending!$1:$1048576,MATCH($B$8,Filter1_Pending!$D:$D,0)+L73,3),"")</f>
        <v/>
      </c>
      <c r="K73" s="31" t="str">
        <f t="array" ref="K73">IFERROR(INDEX(Final_List,IF(ROW(66:66)&lt;COUNTA($J$7:$J$19),ROW(66:66),IF(ROW(66:66)&lt;COUNTA($J$7:$J$30),COUNTA($J$20:J73),IF(ROW(66:66)&lt;COUNTA($J$7:$J$43),COUNTA($J$31:J73),IF(ROW(66:66)&lt;COUNTA($J$7:$J$56),COUNTA($J$44:J73),IF(ROW(66:66)&lt;COUNTA($J$7:$J$67),COUNTA($J$57:J73),IF(ROW(66:66)&lt;COUNTA($J$7:$J$78),COUNTA($J$68:J73))))))),MATCH(M73,Sheet1!$I$27:$N$27,0)),"")</f>
        <v/>
      </c>
      <c r="L73">
        <v>65</v>
      </c>
      <c r="M73" s="72" t="str">
        <f t="shared" si="5"/>
        <v>WVR-A-PGMU</v>
      </c>
    </row>
    <row r="74" spans="1:13" x14ac:dyDescent="0.55000000000000004">
      <c r="A74" s="71"/>
      <c r="B74" s="28" t="str">
        <f>IF(Filter1_Pending!D68=Filter1_Pending!D67,"",Filter1_Pending!D68)</f>
        <v/>
      </c>
      <c r="C74" s="28" t="str">
        <f>IFERROR(VLOOKUP($B74,RawData_Pending!$D$2:$H$134,2,FALSE),"")</f>
        <v/>
      </c>
      <c r="D74" s="30" t="str">
        <f>IFERROR(VLOOKUP($B74,RawData_Pending!$D$2:$H$134,5,FALSE)/1000,"")</f>
        <v/>
      </c>
      <c r="E74" s="30" t="str">
        <f>IFERROR(VLOOKUP($B74,RawData_Pending!$D$2:$H$134,4,FALSE)/1000,"")</f>
        <v/>
      </c>
      <c r="F74" s="28" t="str">
        <f>IFERROR(VLOOKUP($B74,RawData_Pending!$D$2:$H$134,3,FALSE),"")</f>
        <v/>
      </c>
      <c r="G74" s="31" t="str">
        <f>IF(INDEX(Filter1_Pending!$1:$1048576,MATCH($B$8,Filter1_Pending!$D:$D,0)+L74,11)="Completed",INDEX(Filter1_Pending!$1:$1048576,MATCH($B$8,Filter1_Pending!$D:$D,0)+L74,10),"")</f>
        <v>Bob Milne</v>
      </c>
      <c r="H74" s="32">
        <f>IF(INDEX(Filter1_Pending!$1:$1048576,MATCH($B$8,Filter1_Pending!$D:$D,0)+L74,11)="Completed",INDEX(Filter1_Pending!$1:$1048576,MATCH($B$8,Filter1_Pending!$D:$D,0)+L74,12),"")</f>
        <v>41054.745810185188</v>
      </c>
      <c r="I74" s="47" t="str">
        <f>IF(INDEX(Filter1_Pending!$1:$1048576,MATCH($B$8,Filter1_Pending!$D:$D,0)+L74,11)="Initialized",INDEX(Filter1_Pending!$1:$1048576,MATCH($B$8,Filter1_Pending!$D:$D,0)+L74,10),"")</f>
        <v/>
      </c>
      <c r="J74" s="48" t="str">
        <f>IF(INDEX(Filter1_Pending!$1:$1048576,MATCH($B$8,Filter1_Pending!$D:$D,0)+L74,11)="Initialized",INDEX(Filter1_Pending!$1:$1048576,MATCH($B$8,Filter1_Pending!$D:$D,0)+L74,3),"")</f>
        <v/>
      </c>
      <c r="K74" s="31" t="str">
        <f t="array" ref="K74">IFERROR(INDEX(Final_List,IF(ROW(67:67)&lt;COUNTA($J$7:$J$19),ROW(67:67),IF(ROW(67:67)&lt;COUNTA($J$7:$J$30),COUNTA($J$20:J74),IF(ROW(67:67)&lt;COUNTA($J$7:$J$43),COUNTA($J$31:J74),IF(ROW(67:67)&lt;COUNTA($J$7:$J$56),COUNTA($J$44:J74),IF(ROW(67:67)&lt;COUNTA($J$7:$J$67),COUNTA($J$57:J74),IF(ROW(67:67)&lt;COUNTA($J$7:$J$78),COUNTA($J$68:J74))))))),MATCH(M74,Sheet1!$I$27:$N$27,0)),"")</f>
        <v/>
      </c>
      <c r="L74">
        <v>66</v>
      </c>
      <c r="M74" s="72" t="str">
        <f t="shared" si="5"/>
        <v>WVR-A-PGMU</v>
      </c>
    </row>
    <row r="75" spans="1:13" x14ac:dyDescent="0.55000000000000004">
      <c r="A75" s="71"/>
      <c r="B75" s="28" t="str">
        <f>IF(Filter1_Pending!D69=Filter1_Pending!D68,"",Filter1_Pending!D69)</f>
        <v/>
      </c>
      <c r="C75" s="28" t="str">
        <f>IFERROR(VLOOKUP($B75,RawData_Pending!$D$2:$H$134,2,FALSE),"")</f>
        <v/>
      </c>
      <c r="D75" s="30" t="str">
        <f>IFERROR(VLOOKUP($B75,RawData_Pending!$D$2:$H$134,5,FALSE)/1000,"")</f>
        <v/>
      </c>
      <c r="E75" s="30" t="str">
        <f>IFERROR(VLOOKUP($B75,RawData_Pending!$D$2:$H$134,4,FALSE)/1000,"")</f>
        <v/>
      </c>
      <c r="F75" s="28" t="str">
        <f>IFERROR(VLOOKUP($B75,RawData_Pending!$D$2:$H$134,3,FALSE),"")</f>
        <v/>
      </c>
      <c r="G75" s="31" t="str">
        <f>IF(INDEX(Filter1_Pending!$1:$1048576,MATCH($B$8,Filter1_Pending!$D:$D,0)+L75,11)="Completed",INDEX(Filter1_Pending!$1:$1048576,MATCH($B$8,Filter1_Pending!$D:$D,0)+L75,10),"")</f>
        <v>Amy Dormann</v>
      </c>
      <c r="H75" s="32">
        <f>IF(INDEX(Filter1_Pending!$1:$1048576,MATCH($B$8,Filter1_Pending!$D:$D,0)+L75,11)="Completed",INDEX(Filter1_Pending!$1:$1048576,MATCH($B$8,Filter1_Pending!$D:$D,0)+L75,12),"")</f>
        <v>41054.679155092592</v>
      </c>
      <c r="I75" s="47" t="str">
        <f>IF(INDEX(Filter1_Pending!$1:$1048576,MATCH($B$8,Filter1_Pending!$D:$D,0)+L75,11)="Initialized",INDEX(Filter1_Pending!$1:$1048576,MATCH($B$8,Filter1_Pending!$D:$D,0)+L75,10),"")</f>
        <v/>
      </c>
      <c r="J75" s="48" t="str">
        <f>IF(INDEX(Filter1_Pending!$1:$1048576,MATCH($B$8,Filter1_Pending!$D:$D,0)+L75,11)="Initialized",INDEX(Filter1_Pending!$1:$1048576,MATCH($B$8,Filter1_Pending!$D:$D,0)+L75,3),"")</f>
        <v/>
      </c>
      <c r="K75" s="31" t="str">
        <f t="array" ref="K75">IFERROR(INDEX(Final_List,IF(ROW(68:68)&lt;COUNTA($J$7:$J$19),ROW(68:68),IF(ROW(68:68)&lt;COUNTA($J$7:$J$30),COUNTA($J$20:J75),IF(ROW(68:68)&lt;COUNTA($J$7:$J$43),COUNTA($J$31:J75),IF(ROW(68:68)&lt;COUNTA($J$7:$J$56),COUNTA($J$44:J75),IF(ROW(68:68)&lt;COUNTA($J$7:$J$67),COUNTA($J$57:J75),IF(ROW(68:68)&lt;COUNTA($J$7:$J$78),COUNTA($J$68:J75))))))),MATCH(M75,Sheet1!$I$27:$N$27,0)),"")</f>
        <v/>
      </c>
      <c r="L75">
        <v>67</v>
      </c>
      <c r="M75" s="72" t="str">
        <f t="shared" si="5"/>
        <v>WVR-A-PGMU</v>
      </c>
    </row>
    <row r="76" spans="1:13" x14ac:dyDescent="0.55000000000000004">
      <c r="A76" s="71"/>
      <c r="B76" s="28" t="str">
        <f>IF(Filter1_Pending!D70=Filter1_Pending!D69,"",Filter1_Pending!D70)</f>
        <v/>
      </c>
      <c r="C76" s="28" t="str">
        <f>IFERROR(VLOOKUP($B76,RawData_Pending!$D$2:$H$134,2,FALSE),"")</f>
        <v/>
      </c>
      <c r="D76" s="30" t="str">
        <f>IFERROR(VLOOKUP($B76,RawData_Pending!$D$2:$H$134,5,FALSE)/1000,"")</f>
        <v/>
      </c>
      <c r="E76" s="30" t="str">
        <f>IFERROR(VLOOKUP($B76,RawData_Pending!$D$2:$H$134,4,FALSE)/1000,"")</f>
        <v/>
      </c>
      <c r="F76" s="28" t="str">
        <f>IFERROR(VLOOKUP($B76,RawData_Pending!$D$2:$H$134,3,FALSE),"")</f>
        <v/>
      </c>
      <c r="G76" s="31" t="str">
        <f>IF(INDEX(Filter1_Pending!$1:$1048576,MATCH($B$8,Filter1_Pending!$D:$D,0)+L76,11)="Completed",INDEX(Filter1_Pending!$1:$1048576,MATCH($B$8,Filter1_Pending!$D:$D,0)+L76,10),"")</f>
        <v>Brian Gosling</v>
      </c>
      <c r="H76" s="32">
        <f>IF(INDEX(Filter1_Pending!$1:$1048576,MATCH($B$8,Filter1_Pending!$D:$D,0)+L76,11)="Completed",INDEX(Filter1_Pending!$1:$1048576,MATCH($B$8,Filter1_Pending!$D:$D,0)+L76,12),"")</f>
        <v>41054.889282407406</v>
      </c>
      <c r="I76" s="47" t="str">
        <f>IF(INDEX(Filter1_Pending!$1:$1048576,MATCH($B$8,Filter1_Pending!$D:$D,0)+L76,11)="Initialized",INDEX(Filter1_Pending!$1:$1048576,MATCH($B$8,Filter1_Pending!$D:$D,0)+L76,10),"")</f>
        <v/>
      </c>
      <c r="J76" s="48" t="str">
        <f>IF(INDEX(Filter1_Pending!$1:$1048576,MATCH($B$8,Filter1_Pending!$D:$D,0)+L76,11)="Initialized",INDEX(Filter1_Pending!$1:$1048576,MATCH($B$8,Filter1_Pending!$D:$D,0)+L76,3),"")</f>
        <v/>
      </c>
      <c r="K76" s="31" t="str">
        <f t="array" ref="K76">IFERROR(INDEX(Final_List,IF(ROW(69:69)&lt;COUNTA($J$7:$J$19),ROW(69:69),IF(ROW(69:69)&lt;COUNTA($J$7:$J$30),COUNTA($J$20:J76),IF(ROW(69:69)&lt;COUNTA($J$7:$J$43),COUNTA($J$31:J76),IF(ROW(69:69)&lt;COUNTA($J$7:$J$56),COUNTA($J$44:J76),IF(ROW(69:69)&lt;COUNTA($J$7:$J$67),COUNTA($J$57:J76),IF(ROW(69:69)&lt;COUNTA($J$7:$J$78),COUNTA($J$68:J76))))))),MATCH(M76,Sheet1!$I$27:$N$27,0)),"")</f>
        <v/>
      </c>
      <c r="L76">
        <v>68</v>
      </c>
      <c r="M76" s="72" t="str">
        <f t="shared" si="5"/>
        <v>WVR-A-PGMU</v>
      </c>
    </row>
    <row r="77" spans="1:13" x14ac:dyDescent="0.55000000000000004">
      <c r="A77" s="71"/>
      <c r="B77" s="28" t="str">
        <f>IF(Filter1_Pending!D71=Filter1_Pending!D70,"",Filter1_Pending!D71)</f>
        <v/>
      </c>
      <c r="C77" s="28" t="str">
        <f>IFERROR(VLOOKUP($B77,RawData_Pending!$D$2:$H$134,2,FALSE),"")</f>
        <v/>
      </c>
      <c r="D77" s="30" t="str">
        <f>IFERROR(VLOOKUP($B77,RawData_Pending!$D$2:$H$134,5,FALSE)/1000,"")</f>
        <v/>
      </c>
      <c r="E77" s="30" t="str">
        <f>IFERROR(VLOOKUP($B77,RawData_Pending!$D$2:$H$134,4,FALSE)/1000,"")</f>
        <v/>
      </c>
      <c r="F77" s="28" t="str">
        <f>IFERROR(VLOOKUP($B77,RawData_Pending!$D$2:$H$134,3,FALSE),"")</f>
        <v/>
      </c>
      <c r="G77" s="31" t="str">
        <f>IF(INDEX(Filter1_Pending!$1:$1048576,MATCH($B$8,Filter1_Pending!$D:$D,0)+L77,11)="Completed",INDEX(Filter1_Pending!$1:$1048576,MATCH($B$8,Filter1_Pending!$D:$D,0)+L77,10),"")</f>
        <v>Rob Tatum</v>
      </c>
      <c r="H77" s="32">
        <f>IF(INDEX(Filter1_Pending!$1:$1048576,MATCH($B$8,Filter1_Pending!$D:$D,0)+L77,11)="Completed",INDEX(Filter1_Pending!$1:$1048576,MATCH($B$8,Filter1_Pending!$D:$D,0)+L77,12),"")</f>
        <v>41058.489363425928</v>
      </c>
      <c r="I77" s="47" t="str">
        <f>IF(INDEX(Filter1_Pending!$1:$1048576,MATCH($B$8,Filter1_Pending!$D:$D,0)+L77,11)="Initialized",INDEX(Filter1_Pending!$1:$1048576,MATCH($B$8,Filter1_Pending!$D:$D,0)+L77,10),"")</f>
        <v/>
      </c>
      <c r="J77" s="48" t="str">
        <f>IF(INDEX(Filter1_Pending!$1:$1048576,MATCH($B$8,Filter1_Pending!$D:$D,0)+L77,11)="Initialized",INDEX(Filter1_Pending!$1:$1048576,MATCH($B$8,Filter1_Pending!$D:$D,0)+L77,3),"")</f>
        <v/>
      </c>
      <c r="K77" s="31" t="str">
        <f t="array" ref="K77">IFERROR(INDEX(Final_List,IF(ROW(70:70)&lt;COUNTA($J$7:$J$19),ROW(70:70),IF(ROW(70:70)&lt;COUNTA($J$7:$J$30),COUNTA($J$20:J77),IF(ROW(70:70)&lt;COUNTA($J$7:$J$43),COUNTA($J$31:J77),IF(ROW(70:70)&lt;COUNTA($J$7:$J$56),COUNTA($J$44:J77),IF(ROW(70:70)&lt;COUNTA($J$7:$J$67),COUNTA($J$57:J77),IF(ROW(70:70)&lt;COUNTA($J$7:$J$78),COUNTA($J$68:J77))))))),MATCH(M77,Sheet1!$I$27:$N$27,0)),"")</f>
        <v/>
      </c>
      <c r="L77">
        <v>69</v>
      </c>
      <c r="M77" s="72" t="str">
        <f t="shared" si="5"/>
        <v>WVR-A-PGMU</v>
      </c>
    </row>
    <row r="78" spans="1:13" x14ac:dyDescent="0.55000000000000004">
      <c r="A78" s="71"/>
      <c r="B78" s="59" t="str">
        <f>IF(Filter1_Pending!D72=Filter1_Pending!D71,"",Filter1_Pending!D72)</f>
        <v/>
      </c>
      <c r="C78" s="59" t="str">
        <f>IFERROR(VLOOKUP($B78,RawData_Pending!$D$2:$H$134,2,FALSE),"")</f>
        <v/>
      </c>
      <c r="D78" s="60" t="str">
        <f>IFERROR(VLOOKUP($B78,RawData_Pending!$D$2:$H$134,5,FALSE)/1000,"")</f>
        <v/>
      </c>
      <c r="E78" s="60" t="str">
        <f>IFERROR(VLOOKUP($B78,RawData_Pending!$D$2:$H$134,4,FALSE)/1000,"")</f>
        <v/>
      </c>
      <c r="F78" s="59" t="str">
        <f>IFERROR(VLOOKUP($B78,RawData_Pending!$D$2:$H$134,3,FALSE),"")</f>
        <v/>
      </c>
      <c r="G78" s="44" t="str">
        <f>IF(INDEX(Filter1_Pending!$1:$1048576,MATCH($B$8,Filter1_Pending!$D:$D,0)+L78,11)="Completed",INDEX(Filter1_Pending!$1:$1048576,MATCH($B$8,Filter1_Pending!$D:$D,0)+L78,10),"")</f>
        <v/>
      </c>
      <c r="H78" s="61" t="str">
        <f>IF(INDEX(Filter1_Pending!$1:$1048576,MATCH($B$8,Filter1_Pending!$D:$D,0)+L78,11)="Completed",INDEX(Filter1_Pending!$1:$1048576,MATCH($B$8,Filter1_Pending!$D:$D,0)+L78,12),"")</f>
        <v/>
      </c>
      <c r="I78" s="62" t="str">
        <f>IF(INDEX(Filter1_Pending!$1:$1048576,MATCH($B$8,Filter1_Pending!$D:$D,0)+L78,11)="Initialized",INDEX(Filter1_Pending!$1:$1048576,MATCH($B$8,Filter1_Pending!$D:$D,0)+L78,10),"")</f>
        <v>Gail Mandel</v>
      </c>
      <c r="J78" s="63">
        <f>IF(INDEX(Filter1_Pending!$1:$1048576,MATCH($B$8,Filter1_Pending!$D:$D,0)+L78,11)="Initialized",INDEX(Filter1_Pending!$1:$1048576,MATCH($B$8,Filter1_Pending!$D:$D,0)+L78,3),"")</f>
        <v>41061.535868055558</v>
      </c>
      <c r="K78" s="31" t="str">
        <f t="array" ref="K78">IFERROR(INDEX(Final_List,IF(ROW(71:71)&lt;COUNTA($J$7:$J$19),ROW(71:71),IF(ROW(71:71)&lt;COUNTA($J$7:$J$30),COUNTA($J$20:J78),IF(ROW(71:71)&lt;COUNTA($J$7:$J$43),COUNTA($J$31:J78),IF(ROW(71:71)&lt;COUNTA($J$7:$J$56),COUNTA($J$44:J78),IF(ROW(71:71)&lt;COUNTA($J$7:$J$67),COUNTA($J$57:J78),IF(ROW(71:71)&lt;COUNTA($J$7:$J$78),COUNTA($J$68:J78))))))),MATCH(M78,Sheet1!$I$27:$N$27,0)),"")</f>
        <v/>
      </c>
      <c r="L78">
        <v>70</v>
      </c>
      <c r="M78" s="72" t="str">
        <f t="shared" si="5"/>
        <v>WVR-A-PGMU</v>
      </c>
    </row>
    <row r="79" spans="1:13" x14ac:dyDescent="0.55000000000000004">
      <c r="K79" s="70"/>
    </row>
    <row r="84" spans="2:6" x14ac:dyDescent="0.55000000000000004">
      <c r="B84" s="25"/>
      <c r="C84" s="25"/>
      <c r="D84" s="26"/>
      <c r="E84" s="26"/>
      <c r="F84" s="25"/>
    </row>
    <row r="85" spans="2:6" x14ac:dyDescent="0.55000000000000004">
      <c r="B85" s="25"/>
      <c r="C85" s="25"/>
      <c r="D85" s="26"/>
      <c r="E85" s="26"/>
      <c r="F85" s="25"/>
    </row>
    <row r="86" spans="2:6" x14ac:dyDescent="0.55000000000000004">
      <c r="B86" s="25"/>
      <c r="C86" s="25"/>
      <c r="D86" s="26"/>
      <c r="E86" s="26"/>
      <c r="F86" s="25"/>
    </row>
    <row r="87" spans="2:6" x14ac:dyDescent="0.55000000000000004">
      <c r="B87" s="25"/>
      <c r="C87" s="25"/>
      <c r="D87" s="26"/>
      <c r="E87" s="26"/>
      <c r="F87" s="25"/>
    </row>
    <row r="88" spans="2:6" x14ac:dyDescent="0.55000000000000004">
      <c r="B88" s="25"/>
      <c r="C88" s="25"/>
      <c r="D88" s="26"/>
      <c r="E88" s="26"/>
      <c r="F88" s="25"/>
    </row>
    <row r="89" spans="2:6" x14ac:dyDescent="0.55000000000000004">
      <c r="B89" s="25"/>
      <c r="C89" s="25"/>
      <c r="D89" s="26"/>
      <c r="E89" s="26"/>
      <c r="F89" s="25"/>
    </row>
    <row r="90" spans="2:6" x14ac:dyDescent="0.55000000000000004">
      <c r="B90" s="25"/>
      <c r="C90" s="25"/>
      <c r="D90" s="26"/>
      <c r="E90" s="26"/>
      <c r="F90" s="25"/>
    </row>
    <row r="91" spans="2:6" x14ac:dyDescent="0.55000000000000004">
      <c r="B91" s="25"/>
      <c r="C91" s="25"/>
      <c r="D91" s="26"/>
      <c r="E91" s="26"/>
      <c r="F91" s="25"/>
    </row>
    <row r="92" spans="2:6" x14ac:dyDescent="0.55000000000000004">
      <c r="B92" s="25"/>
      <c r="C92" s="25"/>
      <c r="D92" s="26"/>
      <c r="E92" s="26"/>
      <c r="F92" s="25"/>
    </row>
    <row r="93" spans="2:6" x14ac:dyDescent="0.55000000000000004">
      <c r="B93" s="25"/>
      <c r="C93" s="25"/>
      <c r="D93" s="26"/>
      <c r="E93" s="26"/>
      <c r="F93" s="25"/>
    </row>
    <row r="94" spans="2:6" x14ac:dyDescent="0.55000000000000004">
      <c r="B94" s="25"/>
      <c r="C94" s="25"/>
      <c r="D94" s="26"/>
      <c r="E94" s="26"/>
      <c r="F94" s="25"/>
    </row>
    <row r="95" spans="2:6" x14ac:dyDescent="0.55000000000000004">
      <c r="B95" s="25"/>
      <c r="C95" s="25"/>
      <c r="D95" s="26"/>
      <c r="E95" s="26"/>
      <c r="F95" s="25"/>
    </row>
    <row r="96" spans="2:6" x14ac:dyDescent="0.55000000000000004">
      <c r="B96" s="25"/>
      <c r="C96" s="25"/>
      <c r="D96" s="26"/>
      <c r="E96" s="26"/>
      <c r="F96" s="25"/>
    </row>
    <row r="97" spans="2:6" x14ac:dyDescent="0.55000000000000004">
      <c r="B97" s="25"/>
      <c r="C97" s="25"/>
      <c r="D97" s="26"/>
      <c r="E97" s="26"/>
      <c r="F97" s="25"/>
    </row>
    <row r="98" spans="2:6" x14ac:dyDescent="0.55000000000000004">
      <c r="B98" s="25"/>
      <c r="C98" s="25"/>
      <c r="D98" s="26"/>
      <c r="E98" s="26"/>
      <c r="F98" s="25"/>
    </row>
    <row r="99" spans="2:6" x14ac:dyDescent="0.55000000000000004">
      <c r="B99" s="25"/>
      <c r="C99" s="25"/>
      <c r="D99" s="26"/>
      <c r="E99" s="26"/>
      <c r="F99" s="25"/>
    </row>
    <row r="100" spans="2:6" x14ac:dyDescent="0.55000000000000004">
      <c r="B100" s="25"/>
      <c r="C100" s="25"/>
      <c r="D100" s="26"/>
      <c r="E100" s="26"/>
      <c r="F100" s="25"/>
    </row>
    <row r="101" spans="2:6" x14ac:dyDescent="0.55000000000000004">
      <c r="B101" s="25"/>
      <c r="C101" s="25"/>
      <c r="D101" s="26"/>
      <c r="E101" s="26"/>
      <c r="F101" s="25"/>
    </row>
    <row r="102" spans="2:6" x14ac:dyDescent="0.55000000000000004">
      <c r="B102" s="25"/>
      <c r="C102" s="25"/>
      <c r="D102" s="26"/>
      <c r="E102" s="26"/>
      <c r="F102" s="25"/>
    </row>
    <row r="103" spans="2:6" x14ac:dyDescent="0.55000000000000004">
      <c r="B103" s="25"/>
      <c r="C103" s="25"/>
      <c r="D103" s="26"/>
      <c r="E103" s="26"/>
      <c r="F103" s="25"/>
    </row>
    <row r="104" spans="2:6" x14ac:dyDescent="0.55000000000000004">
      <c r="B104" s="25"/>
      <c r="C104" s="25"/>
      <c r="D104" s="26"/>
      <c r="E104" s="26"/>
      <c r="F104" s="25"/>
    </row>
    <row r="105" spans="2:6" x14ac:dyDescent="0.55000000000000004">
      <c r="B105" s="25"/>
      <c r="C105" s="25"/>
      <c r="D105" s="26"/>
      <c r="E105" s="26"/>
      <c r="F105" s="25"/>
    </row>
    <row r="106" spans="2:6" x14ac:dyDescent="0.55000000000000004">
      <c r="B106" s="25"/>
      <c r="C106" s="25"/>
      <c r="D106" s="26"/>
      <c r="E106" s="26"/>
      <c r="F106" s="25"/>
    </row>
    <row r="107" spans="2:6" x14ac:dyDescent="0.55000000000000004">
      <c r="B107" s="25"/>
      <c r="C107" s="25"/>
      <c r="D107" s="26"/>
      <c r="E107" s="26"/>
      <c r="F107" s="25"/>
    </row>
    <row r="108" spans="2:6" x14ac:dyDescent="0.55000000000000004">
      <c r="B108" s="25"/>
      <c r="C108" s="25"/>
      <c r="D108" s="26"/>
      <c r="E108" s="26"/>
      <c r="F108" s="25"/>
    </row>
    <row r="109" spans="2:6" x14ac:dyDescent="0.55000000000000004">
      <c r="B109" s="25"/>
      <c r="C109" s="25"/>
      <c r="D109" s="26"/>
      <c r="E109" s="26"/>
      <c r="F109" s="25"/>
    </row>
    <row r="110" spans="2:6" x14ac:dyDescent="0.55000000000000004">
      <c r="B110" s="25"/>
      <c r="C110" s="25"/>
      <c r="D110" s="26"/>
      <c r="E110" s="26"/>
      <c r="F110" s="25"/>
    </row>
    <row r="111" spans="2:6" x14ac:dyDescent="0.55000000000000004">
      <c r="B111" s="25"/>
      <c r="C111" s="25"/>
      <c r="D111" s="26"/>
      <c r="E111" s="26"/>
      <c r="F111" s="25"/>
    </row>
    <row r="112" spans="2:6" x14ac:dyDescent="0.55000000000000004">
      <c r="B112" s="25"/>
      <c r="C112" s="25"/>
      <c r="D112" s="26"/>
      <c r="E112" s="26"/>
      <c r="F112" s="25"/>
    </row>
    <row r="113" spans="2:6" x14ac:dyDescent="0.55000000000000004">
      <c r="B113" s="25"/>
      <c r="C113" s="25"/>
      <c r="D113" s="26"/>
      <c r="E113" s="26"/>
      <c r="F113" s="25"/>
    </row>
    <row r="114" spans="2:6" x14ac:dyDescent="0.55000000000000004">
      <c r="B114" s="25"/>
      <c r="C114" s="25"/>
      <c r="D114" s="26"/>
      <c r="E114" s="26"/>
      <c r="F114" s="25"/>
    </row>
    <row r="115" spans="2:6" x14ac:dyDescent="0.55000000000000004">
      <c r="B115" s="25"/>
      <c r="C115" s="25"/>
      <c r="D115" s="26"/>
      <c r="E115" s="26"/>
      <c r="F115" s="25"/>
    </row>
    <row r="116" spans="2:6" x14ac:dyDescent="0.55000000000000004">
      <c r="B116" s="25"/>
      <c r="C116" s="25"/>
      <c r="D116" s="26"/>
      <c r="E116" s="26"/>
      <c r="F116" s="25"/>
    </row>
    <row r="117" spans="2:6" x14ac:dyDescent="0.55000000000000004">
      <c r="B117" s="25"/>
      <c r="C117" s="25"/>
      <c r="D117" s="26"/>
      <c r="E117" s="26"/>
      <c r="F117" s="25"/>
    </row>
    <row r="118" spans="2:6" x14ac:dyDescent="0.55000000000000004">
      <c r="B118" s="25"/>
      <c r="C118" s="25"/>
      <c r="D118" s="26"/>
      <c r="E118" s="26"/>
      <c r="F118" s="25"/>
    </row>
    <row r="119" spans="2:6" x14ac:dyDescent="0.55000000000000004">
      <c r="B119" s="25"/>
      <c r="C119" s="25"/>
      <c r="D119" s="26"/>
      <c r="E119" s="26"/>
      <c r="F119" s="25"/>
    </row>
    <row r="120" spans="2:6" x14ac:dyDescent="0.55000000000000004">
      <c r="B120" s="25"/>
      <c r="C120" s="25"/>
      <c r="D120" s="26"/>
      <c r="E120" s="26"/>
      <c r="F120" s="25"/>
    </row>
    <row r="121" spans="2:6" x14ac:dyDescent="0.55000000000000004">
      <c r="B121" s="25"/>
      <c r="C121" s="25"/>
      <c r="D121" s="26"/>
      <c r="E121" s="26"/>
      <c r="F121" s="25"/>
    </row>
    <row r="122" spans="2:6" x14ac:dyDescent="0.55000000000000004">
      <c r="B122" s="25"/>
      <c r="C122" s="25"/>
      <c r="D122" s="26"/>
      <c r="E122" s="26"/>
      <c r="F122" s="25"/>
    </row>
    <row r="123" spans="2:6" x14ac:dyDescent="0.55000000000000004">
      <c r="B123" s="25"/>
      <c r="C123" s="25"/>
      <c r="D123" s="26"/>
      <c r="E123" s="26"/>
      <c r="F123" s="25"/>
    </row>
    <row r="124" spans="2:6" x14ac:dyDescent="0.55000000000000004">
      <c r="B124" s="25"/>
      <c r="C124" s="25"/>
      <c r="D124" s="26"/>
      <c r="E124" s="26"/>
      <c r="F124" s="25"/>
    </row>
    <row r="125" spans="2:6" x14ac:dyDescent="0.55000000000000004">
      <c r="B125" s="25"/>
      <c r="C125" s="25"/>
      <c r="D125" s="26"/>
      <c r="E125" s="26"/>
      <c r="F125" s="25"/>
    </row>
    <row r="126" spans="2:6" x14ac:dyDescent="0.55000000000000004">
      <c r="B126" s="25"/>
      <c r="C126" s="25"/>
      <c r="D126" s="26"/>
      <c r="E126" s="26"/>
      <c r="F126" s="25"/>
    </row>
    <row r="127" spans="2:6" x14ac:dyDescent="0.55000000000000004">
      <c r="B127" s="25"/>
      <c r="C127" s="25"/>
      <c r="D127" s="26"/>
      <c r="E127" s="26"/>
      <c r="F127" s="25"/>
    </row>
    <row r="128" spans="2:6" x14ac:dyDescent="0.55000000000000004">
      <c r="B128" s="25"/>
      <c r="C128" s="25"/>
      <c r="D128" s="26"/>
      <c r="E128" s="26"/>
      <c r="F128" s="25"/>
    </row>
    <row r="129" spans="2:6" x14ac:dyDescent="0.55000000000000004">
      <c r="B129" s="25"/>
      <c r="C129" s="25"/>
      <c r="D129" s="26"/>
      <c r="E129" s="26"/>
      <c r="F129" s="25"/>
    </row>
    <row r="130" spans="2:6" x14ac:dyDescent="0.55000000000000004">
      <c r="B130" s="25"/>
      <c r="C130" s="25"/>
      <c r="D130" s="26"/>
      <c r="E130" s="26"/>
      <c r="F130" s="25"/>
    </row>
    <row r="131" spans="2:6" x14ac:dyDescent="0.55000000000000004">
      <c r="B131" s="25"/>
      <c r="C131" s="25"/>
      <c r="D131" s="26"/>
      <c r="E131" s="26"/>
      <c r="F131" s="25"/>
    </row>
    <row r="132" spans="2:6" x14ac:dyDescent="0.55000000000000004">
      <c r="B132" s="25"/>
      <c r="C132" s="25"/>
      <c r="D132" s="26"/>
      <c r="E132" s="26"/>
      <c r="F132" s="25"/>
    </row>
    <row r="133" spans="2:6" x14ac:dyDescent="0.55000000000000004">
      <c r="B133" s="25"/>
      <c r="C133" s="25"/>
      <c r="D133" s="26"/>
      <c r="E133" s="26"/>
      <c r="F133" s="25"/>
    </row>
    <row r="134" spans="2:6" x14ac:dyDescent="0.55000000000000004">
      <c r="B134" s="25"/>
      <c r="C134" s="25"/>
      <c r="D134" s="26"/>
      <c r="E134" s="26"/>
      <c r="F134" s="25"/>
    </row>
    <row r="135" spans="2:6" x14ac:dyDescent="0.55000000000000004">
      <c r="B135" s="25"/>
      <c r="C135" s="25"/>
      <c r="D135" s="26"/>
      <c r="E135" s="26"/>
      <c r="F135" s="25"/>
    </row>
    <row r="136" spans="2:6" x14ac:dyDescent="0.55000000000000004">
      <c r="B136" s="25"/>
      <c r="C136" s="25"/>
      <c r="D136" s="26"/>
      <c r="E136" s="26"/>
      <c r="F136" s="25"/>
    </row>
    <row r="137" spans="2:6" x14ac:dyDescent="0.55000000000000004">
      <c r="B137" s="25"/>
      <c r="C137" s="25"/>
      <c r="D137" s="26"/>
      <c r="E137" s="26"/>
      <c r="F137" s="25"/>
    </row>
    <row r="138" spans="2:6" x14ac:dyDescent="0.55000000000000004">
      <c r="B138" s="25"/>
      <c r="C138" s="25"/>
      <c r="D138" s="26"/>
      <c r="E138" s="26"/>
      <c r="F138" s="25"/>
    </row>
    <row r="139" spans="2:6" x14ac:dyDescent="0.55000000000000004">
      <c r="B139" s="25"/>
      <c r="C139" s="25"/>
      <c r="D139" s="26"/>
      <c r="E139" s="26"/>
      <c r="F139" s="25"/>
    </row>
    <row r="140" spans="2:6" x14ac:dyDescent="0.55000000000000004">
      <c r="B140" s="25"/>
      <c r="C140" s="25"/>
      <c r="D140" s="26"/>
      <c r="E140" s="26"/>
      <c r="F140" s="25"/>
    </row>
    <row r="141" spans="2:6" x14ac:dyDescent="0.55000000000000004">
      <c r="B141" s="25"/>
      <c r="C141" s="25"/>
      <c r="D141" s="26"/>
      <c r="E141" s="26"/>
      <c r="F141" s="25"/>
    </row>
    <row r="142" spans="2:6" x14ac:dyDescent="0.55000000000000004">
      <c r="B142" s="25"/>
      <c r="C142" s="25"/>
      <c r="D142" s="26"/>
      <c r="E142" s="26"/>
      <c r="F142" s="25"/>
    </row>
    <row r="143" spans="2:6" x14ac:dyDescent="0.55000000000000004">
      <c r="B143" s="25"/>
      <c r="C143" s="25"/>
      <c r="D143" s="26"/>
      <c r="E143" s="26"/>
      <c r="F143" s="25"/>
    </row>
    <row r="144" spans="2:6" x14ac:dyDescent="0.55000000000000004">
      <c r="B144" s="25"/>
      <c r="C144" s="25"/>
      <c r="D144" s="26"/>
      <c r="E144" s="26"/>
      <c r="F144" s="25"/>
    </row>
    <row r="145" spans="2:6" x14ac:dyDescent="0.55000000000000004">
      <c r="B145" s="25"/>
      <c r="C145" s="25"/>
      <c r="D145" s="26"/>
      <c r="E145" s="26"/>
      <c r="F145" s="25"/>
    </row>
    <row r="146" spans="2:6" x14ac:dyDescent="0.55000000000000004">
      <c r="B146" s="25"/>
      <c r="C146" s="25"/>
      <c r="D146" s="26"/>
      <c r="E146" s="26"/>
      <c r="F146" s="25"/>
    </row>
    <row r="147" spans="2:6" x14ac:dyDescent="0.55000000000000004">
      <c r="B147" s="25"/>
      <c r="C147" s="25"/>
      <c r="D147" s="26"/>
      <c r="E147" s="26"/>
      <c r="F147" s="25"/>
    </row>
    <row r="148" spans="2:6" x14ac:dyDescent="0.55000000000000004">
      <c r="B148" s="25"/>
      <c r="C148" s="25"/>
      <c r="D148" s="26"/>
      <c r="E148" s="26"/>
      <c r="F148" s="25"/>
    </row>
    <row r="149" spans="2:6" x14ac:dyDescent="0.55000000000000004">
      <c r="B149" s="25"/>
      <c r="C149" s="25"/>
      <c r="D149" s="26"/>
      <c r="E149" s="26"/>
      <c r="F149" s="25"/>
    </row>
    <row r="150" spans="2:6" x14ac:dyDescent="0.55000000000000004">
      <c r="B150" s="25"/>
      <c r="C150" s="25"/>
      <c r="D150" s="26"/>
      <c r="E150" s="26"/>
      <c r="F150" s="25"/>
    </row>
    <row r="151" spans="2:6" x14ac:dyDescent="0.55000000000000004">
      <c r="B151" s="25"/>
      <c r="C151" s="25"/>
      <c r="D151" s="26"/>
      <c r="E151" s="26"/>
      <c r="F151" s="25"/>
    </row>
    <row r="152" spans="2:6" x14ac:dyDescent="0.55000000000000004">
      <c r="B152" s="25"/>
      <c r="C152" s="25"/>
      <c r="D152" s="26"/>
      <c r="E152" s="26"/>
      <c r="F152" s="25"/>
    </row>
    <row r="153" spans="2:6" x14ac:dyDescent="0.55000000000000004">
      <c r="B153" s="25"/>
      <c r="C153" s="25"/>
      <c r="D153" s="26"/>
      <c r="E153" s="26"/>
      <c r="F153" s="25"/>
    </row>
    <row r="154" spans="2:6" x14ac:dyDescent="0.55000000000000004">
      <c r="B154" s="25"/>
      <c r="C154" s="25"/>
      <c r="D154" s="26"/>
      <c r="E154" s="26"/>
      <c r="F154" s="25"/>
    </row>
    <row r="155" spans="2:6" x14ac:dyDescent="0.55000000000000004">
      <c r="B155" s="25"/>
      <c r="C155" s="25"/>
      <c r="D155" s="26"/>
      <c r="E155" s="26"/>
      <c r="F155" s="25"/>
    </row>
    <row r="156" spans="2:6" x14ac:dyDescent="0.55000000000000004">
      <c r="B156" s="25"/>
      <c r="C156" s="25"/>
      <c r="D156" s="25"/>
      <c r="E156" s="25"/>
      <c r="F156" s="25"/>
    </row>
    <row r="157" spans="2:6" x14ac:dyDescent="0.55000000000000004">
      <c r="B157" s="25"/>
      <c r="C157" s="25"/>
      <c r="D157" s="25"/>
      <c r="E157" s="25"/>
      <c r="F157" s="25"/>
    </row>
    <row r="158" spans="2:6" x14ac:dyDescent="0.55000000000000004">
      <c r="B158" s="25"/>
      <c r="C158" s="25"/>
      <c r="D158" s="25"/>
      <c r="E158" s="25"/>
      <c r="F158" s="25"/>
    </row>
    <row r="159" spans="2:6" x14ac:dyDescent="0.55000000000000004">
      <c r="B159" s="25"/>
      <c r="C159" s="25"/>
      <c r="D159" s="25"/>
      <c r="E159" s="25"/>
      <c r="F159" s="25"/>
    </row>
    <row r="160" spans="2:6" x14ac:dyDescent="0.55000000000000004">
      <c r="B160" s="25"/>
      <c r="C160" s="25"/>
      <c r="D160" s="25"/>
      <c r="E160" s="25"/>
      <c r="F160" s="25"/>
    </row>
    <row r="161" spans="2:6" x14ac:dyDescent="0.55000000000000004">
      <c r="B161" s="25"/>
      <c r="C161" s="25"/>
      <c r="D161" s="25"/>
      <c r="E161" s="25"/>
      <c r="F161" s="25"/>
    </row>
    <row r="162" spans="2:6" x14ac:dyDescent="0.55000000000000004">
      <c r="B162" s="25"/>
      <c r="C162" s="25"/>
      <c r="D162" s="25"/>
      <c r="E162" s="25"/>
      <c r="F162" s="25"/>
    </row>
    <row r="163" spans="2:6" x14ac:dyDescent="0.55000000000000004">
      <c r="B163" s="25"/>
      <c r="C163" s="25"/>
      <c r="D163" s="25"/>
      <c r="E163" s="25"/>
      <c r="F163" s="25"/>
    </row>
    <row r="164" spans="2:6" x14ac:dyDescent="0.55000000000000004">
      <c r="B164" s="25"/>
      <c r="C164" s="25"/>
      <c r="D164" s="25"/>
      <c r="E164" s="25"/>
      <c r="F164" s="25"/>
    </row>
    <row r="165" spans="2:6" x14ac:dyDescent="0.55000000000000004">
      <c r="B165" s="25"/>
      <c r="C165" s="25"/>
      <c r="D165" s="25"/>
      <c r="E165" s="25"/>
      <c r="F165" s="25"/>
    </row>
    <row r="166" spans="2:6" x14ac:dyDescent="0.55000000000000004">
      <c r="B166" s="25"/>
      <c r="C166" s="25"/>
      <c r="D166" s="25"/>
      <c r="E166" s="25"/>
      <c r="F166" s="25"/>
    </row>
    <row r="167" spans="2:6" x14ac:dyDescent="0.55000000000000004">
      <c r="B167" s="25"/>
      <c r="C167" s="25"/>
      <c r="D167" s="25"/>
      <c r="E167" s="25"/>
      <c r="F167" s="25"/>
    </row>
    <row r="168" spans="2:6" x14ac:dyDescent="0.55000000000000004">
      <c r="B168" s="25"/>
      <c r="C168" s="25"/>
      <c r="D168" s="25"/>
      <c r="E168" s="25"/>
      <c r="F168" s="25"/>
    </row>
  </sheetData>
  <mergeCells count="1">
    <mergeCell ref="A8:A78"/>
  </mergeCells>
  <conditionalFormatting sqref="H8:H78">
    <cfRule type="expression" dxfId="7" priority="7">
      <formula>H8=0</formula>
    </cfRule>
  </conditionalFormatting>
  <conditionalFormatting sqref="K79 B8:J78">
    <cfRule type="expression" dxfId="6" priority="4">
      <formula>$B8&lt;&gt;""</formula>
    </cfRule>
  </conditionalFormatting>
  <conditionalFormatting sqref="M8:M78">
    <cfRule type="expression" dxfId="2" priority="2">
      <formula>$B8&lt;&gt;""</formula>
    </cfRule>
  </conditionalFormatting>
  <conditionalFormatting sqref="K8:K78">
    <cfRule type="expression" dxfId="1" priority="1">
      <formula>$B8&lt;&gt;""</formula>
    </cfRule>
  </conditionalFormatting>
  <hyperlinks>
    <hyperlink ref="A5" r:id="rId1" xr:uid="{00000000-0004-0000-0500-000000000000}"/>
  </hyperlinks>
  <pageMargins left="0.7" right="0.7" top="0.75" bottom="0.75" header="0.3" footer="0.3"/>
  <pageSetup scale="49" orientation="landscape" r:id="rId2"/>
  <rowBreaks count="1" manualBreakCount="1">
    <brk id="56" max="16383" man="1"/>
  </rowBreaks>
  <colBreaks count="1" manualBreakCount="1">
    <brk id="11" max="1048575" man="1"/>
  </colBreak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N33"/>
  <sheetViews>
    <sheetView topLeftCell="D10" workbookViewId="0">
      <selection activeCell="M27" sqref="M27"/>
    </sheetView>
  </sheetViews>
  <sheetFormatPr defaultRowHeight="14.4" x14ac:dyDescent="0.55000000000000004"/>
  <cols>
    <col min="2" max="2" width="27.41796875" bestFit="1" customWidth="1"/>
    <col min="3" max="3" width="19.68359375" bestFit="1" customWidth="1"/>
    <col min="4" max="4" width="5.578125" bestFit="1" customWidth="1"/>
    <col min="7" max="7" width="17.578125" bestFit="1" customWidth="1"/>
    <col min="9" max="9" width="12.83984375" bestFit="1" customWidth="1"/>
    <col min="10" max="10" width="12.15625" bestFit="1" customWidth="1"/>
    <col min="11" max="12" width="17.578125" bestFit="1" customWidth="1"/>
    <col min="13" max="13" width="12.83984375" bestFit="1" customWidth="1"/>
    <col min="14" max="14" width="17.578125" bestFit="1" customWidth="1"/>
  </cols>
  <sheetData>
    <row r="2" spans="2:14" x14ac:dyDescent="0.55000000000000004">
      <c r="C2" s="24" t="s">
        <v>16</v>
      </c>
      <c r="I2" t="s">
        <v>86</v>
      </c>
      <c r="J2" t="s">
        <v>90</v>
      </c>
      <c r="K2" t="s">
        <v>19</v>
      </c>
      <c r="L2" t="s">
        <v>55</v>
      </c>
      <c r="M2" t="s">
        <v>67</v>
      </c>
      <c r="N2" t="s">
        <v>73</v>
      </c>
    </row>
    <row r="3" spans="2:14" x14ac:dyDescent="0.55000000000000004">
      <c r="C3" s="40" t="s">
        <v>76</v>
      </c>
      <c r="D3" s="40" t="s">
        <v>236</v>
      </c>
      <c r="G3" s="40" t="s">
        <v>76</v>
      </c>
      <c r="H3" s="40" t="s">
        <v>236</v>
      </c>
      <c r="I3" s="68">
        <f>IFERROR(VLOOKUP(I$2,RawData_Pending!$D$2:$H$134,5,FALSE)/1000,"")</f>
        <v>1567.354</v>
      </c>
      <c r="J3" s="68">
        <f>IFERROR(VLOOKUP(J$2,RawData_Pending!$D$2:$H$134,5,FALSE)/1000,"")</f>
        <v>3726.9229999999998</v>
      </c>
      <c r="K3" s="68">
        <f>IFERROR(VLOOKUP(K$2,RawData_Pending!$D$2:$H$134,5,FALSE)/1000,"")</f>
        <v>1423.75</v>
      </c>
      <c r="L3" s="68">
        <f>IFERROR(VLOOKUP(L$2,RawData_Pending!$D$2:$H$134,5,FALSE)/1000,"")</f>
        <v>546.98</v>
      </c>
      <c r="M3" s="68">
        <f>IFERROR(VLOOKUP(M$2,RawData_Pending!$D$2:$H$134,5,FALSE)/1000,"")</f>
        <v>5971.4930000000004</v>
      </c>
      <c r="N3" s="68">
        <f>IFERROR(VLOOKUP(N$2,RawData_Pending!$D$2:$H$134,5,FALSE)/1000,"")</f>
        <v>18893.786</v>
      </c>
    </row>
    <row r="4" spans="2:14" x14ac:dyDescent="0.55000000000000004">
      <c r="B4" t="s">
        <v>26</v>
      </c>
      <c r="C4" s="31" t="s">
        <v>52</v>
      </c>
      <c r="D4" s="31">
        <v>500</v>
      </c>
      <c r="G4" s="40" t="s">
        <v>232</v>
      </c>
      <c r="H4" s="40">
        <v>8000</v>
      </c>
      <c r="I4" s="70" t="str">
        <f>IF($H4&lt;I$3,$G4,"")</f>
        <v/>
      </c>
      <c r="J4" s="70" t="str">
        <f t="shared" ref="J4:N9" si="0">IF($H4&lt;J$3,$G4,"")</f>
        <v/>
      </c>
      <c r="K4" s="70" t="str">
        <f t="shared" si="0"/>
        <v/>
      </c>
      <c r="L4" s="70" t="str">
        <f t="shared" si="0"/>
        <v/>
      </c>
      <c r="M4" s="70" t="str">
        <f t="shared" si="0"/>
        <v/>
      </c>
      <c r="N4" s="70" t="str">
        <f t="shared" si="0"/>
        <v>Steve Holmes</v>
      </c>
    </row>
    <row r="5" spans="2:14" x14ac:dyDescent="0.55000000000000004">
      <c r="B5" t="s">
        <v>27</v>
      </c>
      <c r="C5" s="31" t="s">
        <v>77</v>
      </c>
      <c r="D5" s="31">
        <v>1000</v>
      </c>
      <c r="G5" s="31" t="s">
        <v>52</v>
      </c>
      <c r="H5" s="31">
        <v>500</v>
      </c>
      <c r="I5" s="31" t="str">
        <f t="shared" ref="I5:I9" si="1">IF($H5&lt;I$3,$G5,"")</f>
        <v>Gail Mandel</v>
      </c>
      <c r="J5" s="31" t="str">
        <f t="shared" si="0"/>
        <v>Gail Mandel</v>
      </c>
      <c r="K5" s="31" t="str">
        <f t="shared" si="0"/>
        <v>Gail Mandel</v>
      </c>
      <c r="L5" s="31" t="str">
        <f t="shared" si="0"/>
        <v>Gail Mandel</v>
      </c>
      <c r="M5" s="31" t="str">
        <f t="shared" si="0"/>
        <v>Gail Mandel</v>
      </c>
      <c r="N5" s="31" t="str">
        <f t="shared" si="0"/>
        <v>Gail Mandel</v>
      </c>
    </row>
    <row r="6" spans="2:14" x14ac:dyDescent="0.55000000000000004">
      <c r="B6" t="s">
        <v>70</v>
      </c>
      <c r="C6" s="31" t="s">
        <v>79</v>
      </c>
      <c r="D6" s="31">
        <v>1500</v>
      </c>
      <c r="G6" s="31" t="s">
        <v>77</v>
      </c>
      <c r="H6" s="31">
        <v>1000</v>
      </c>
      <c r="I6" s="31" t="str">
        <f t="shared" si="1"/>
        <v>Geoff Ballotti</v>
      </c>
      <c r="J6" s="31" t="str">
        <f t="shared" si="0"/>
        <v>Geoff Ballotti</v>
      </c>
      <c r="K6" s="31" t="str">
        <f t="shared" si="0"/>
        <v>Geoff Ballotti</v>
      </c>
      <c r="L6" s="31" t="str">
        <f t="shared" si="0"/>
        <v/>
      </c>
      <c r="M6" s="31" t="str">
        <f t="shared" si="0"/>
        <v>Geoff Ballotti</v>
      </c>
      <c r="N6" s="31" t="str">
        <f t="shared" si="0"/>
        <v>Geoff Ballotti</v>
      </c>
    </row>
    <row r="7" spans="2:14" x14ac:dyDescent="0.55000000000000004">
      <c r="B7" t="s">
        <v>233</v>
      </c>
      <c r="C7" s="31" t="s">
        <v>78</v>
      </c>
      <c r="D7" s="31">
        <v>2000</v>
      </c>
      <c r="G7" s="31" t="s">
        <v>79</v>
      </c>
      <c r="H7" s="31">
        <v>1500</v>
      </c>
      <c r="I7" s="31" t="str">
        <f t="shared" si="1"/>
        <v>Kevin Linder</v>
      </c>
      <c r="J7" s="31" t="str">
        <f t="shared" si="0"/>
        <v>Kevin Linder</v>
      </c>
      <c r="K7" s="31" t="str">
        <f t="shared" si="0"/>
        <v/>
      </c>
      <c r="L7" s="31" t="str">
        <f t="shared" si="0"/>
        <v/>
      </c>
      <c r="M7" s="31" t="str">
        <f t="shared" si="0"/>
        <v>Kevin Linder</v>
      </c>
      <c r="N7" s="31" t="str">
        <f t="shared" si="0"/>
        <v>Kevin Linder</v>
      </c>
    </row>
    <row r="8" spans="2:14" x14ac:dyDescent="0.55000000000000004">
      <c r="B8" t="s">
        <v>234</v>
      </c>
      <c r="C8" s="31" t="s">
        <v>83</v>
      </c>
      <c r="D8" s="31">
        <v>4000</v>
      </c>
      <c r="G8" s="31" t="s">
        <v>78</v>
      </c>
      <c r="H8" s="31">
        <v>2000</v>
      </c>
      <c r="I8" s="31" t="str">
        <f t="shared" si="1"/>
        <v/>
      </c>
      <c r="J8" s="31" t="str">
        <f t="shared" si="0"/>
        <v>Jeanmarie Cooney</v>
      </c>
      <c r="K8" s="31" t="str">
        <f t="shared" si="0"/>
        <v/>
      </c>
      <c r="L8" s="31" t="str">
        <f t="shared" si="0"/>
        <v/>
      </c>
      <c r="M8" s="31" t="str">
        <f t="shared" si="0"/>
        <v>Jeanmarie Cooney</v>
      </c>
      <c r="N8" s="31" t="str">
        <f t="shared" si="0"/>
        <v>Jeanmarie Cooney</v>
      </c>
    </row>
    <row r="9" spans="2:14" x14ac:dyDescent="0.55000000000000004">
      <c r="B9" t="s">
        <v>235</v>
      </c>
      <c r="C9" s="44" t="s">
        <v>232</v>
      </c>
      <c r="D9" s="44">
        <v>8000</v>
      </c>
      <c r="G9" s="44" t="s">
        <v>83</v>
      </c>
      <c r="H9" s="44">
        <v>4000</v>
      </c>
      <c r="I9" s="44" t="str">
        <f t="shared" si="1"/>
        <v/>
      </c>
      <c r="J9" s="44" t="str">
        <f t="shared" si="0"/>
        <v/>
      </c>
      <c r="K9" s="44" t="str">
        <f t="shared" si="0"/>
        <v/>
      </c>
      <c r="L9" s="44" t="str">
        <f t="shared" si="0"/>
        <v/>
      </c>
      <c r="M9" s="44" t="str">
        <f t="shared" si="0"/>
        <v>Tom Conforti</v>
      </c>
      <c r="N9" s="44" t="str">
        <f t="shared" si="0"/>
        <v>Tom Conforti</v>
      </c>
    </row>
    <row r="10" spans="2:14" x14ac:dyDescent="0.55000000000000004">
      <c r="I10" t="s">
        <v>86</v>
      </c>
      <c r="J10" t="s">
        <v>90</v>
      </c>
      <c r="K10" t="s">
        <v>19</v>
      </c>
      <c r="L10" t="s">
        <v>55</v>
      </c>
      <c r="M10" t="s">
        <v>67</v>
      </c>
      <c r="N10" t="s">
        <v>73</v>
      </c>
    </row>
    <row r="11" spans="2:14" x14ac:dyDescent="0.55000000000000004">
      <c r="B11" t="s">
        <v>3</v>
      </c>
      <c r="G11" s="40" t="s">
        <v>232</v>
      </c>
      <c r="H11" s="40">
        <v>8000</v>
      </c>
      <c r="I11" s="69">
        <f t="array" ref="I11">SUM((CR=I$2)*(Approver=Sheet1!$G11)*1)</f>
        <v>0</v>
      </c>
      <c r="J11" s="69">
        <f t="array" ref="J11">SUM((CR=J$2)*(Approver=Sheet1!$G11)*1)</f>
        <v>0</v>
      </c>
      <c r="K11" s="69">
        <f t="array" ref="K11">SUM((CR=K$2)*(Approver=Sheet1!$G11)*1)</f>
        <v>0</v>
      </c>
      <c r="L11" s="69">
        <f t="array" ref="L11">SUM((CR=L$2)*(Approver=Sheet1!$G11)*1)</f>
        <v>0</v>
      </c>
      <c r="M11" s="69">
        <f t="array" ref="M11">SUM((CR=M$2)*(Approver=Sheet1!$G11)*1)</f>
        <v>0</v>
      </c>
      <c r="N11" s="69">
        <f t="array" ref="N11">SUM((CR=N$2)*(Approver=Sheet1!$G11)*1)</f>
        <v>0</v>
      </c>
    </row>
    <row r="12" spans="2:14" x14ac:dyDescent="0.55000000000000004">
      <c r="B12" t="s">
        <v>86</v>
      </c>
      <c r="G12" t="s">
        <v>52</v>
      </c>
      <c r="H12" s="31">
        <v>500</v>
      </c>
      <c r="I12" s="69">
        <f t="array" ref="I12">SUM((CR=I$2)*(Approver=Sheet1!$G12)*1)</f>
        <v>0</v>
      </c>
      <c r="J12" s="69">
        <f t="array" ref="J12">SUM((CR=J$2)*(Approver=Sheet1!$G12)*1)</f>
        <v>0</v>
      </c>
      <c r="K12" s="69">
        <f t="array" ref="K12">SUM((CR=K$2)*(Approver=Sheet1!$G12)*1)</f>
        <v>1</v>
      </c>
      <c r="L12" s="69">
        <f t="array" ref="L12">SUM((CR=L$2)*(Approver=Sheet1!$G12)*1)</f>
        <v>1</v>
      </c>
      <c r="M12" s="69">
        <f t="array" ref="M12">SUM((CR=M$2)*(Approver=Sheet1!$G12)*1)</f>
        <v>1</v>
      </c>
      <c r="N12" s="69">
        <f t="array" ref="N12">SUM((CR=N$2)*(Approver=Sheet1!$G12)*1)</f>
        <v>1</v>
      </c>
    </row>
    <row r="13" spans="2:14" x14ac:dyDescent="0.55000000000000004">
      <c r="B13" t="s">
        <v>90</v>
      </c>
      <c r="G13" s="31" t="s">
        <v>77</v>
      </c>
      <c r="H13" s="31">
        <v>1000</v>
      </c>
      <c r="I13" s="69">
        <f t="array" ref="I13">SUM((CR=I$2)*(Approver=Sheet1!$G13)*1)</f>
        <v>0</v>
      </c>
      <c r="J13" s="69">
        <f t="array" ref="J13">SUM((CR=J$2)*(Approver=Sheet1!$G13)*1)</f>
        <v>0</v>
      </c>
      <c r="K13" s="69">
        <f t="array" ref="K13">SUM((CR=K$2)*(Approver=Sheet1!$G13)*1)</f>
        <v>0</v>
      </c>
      <c r="L13" s="69">
        <f t="array" ref="L13">SUM((CR=L$2)*(Approver=Sheet1!$G13)*1)</f>
        <v>0</v>
      </c>
      <c r="M13" s="69">
        <f t="array" ref="M13">SUM((CR=M$2)*(Approver=Sheet1!$G13)*1)</f>
        <v>0</v>
      </c>
      <c r="N13" s="69">
        <f t="array" ref="N13">SUM((CR=N$2)*(Approver=Sheet1!$G13)*1)</f>
        <v>0</v>
      </c>
    </row>
    <row r="14" spans="2:14" x14ac:dyDescent="0.55000000000000004">
      <c r="B14" t="s">
        <v>19</v>
      </c>
      <c r="G14" s="31" t="s">
        <v>79</v>
      </c>
      <c r="H14" s="31">
        <v>1500</v>
      </c>
      <c r="I14" s="69">
        <f t="array" ref="I14">SUM((CR=I$2)*(Approver=Sheet1!$G14)*1)</f>
        <v>0</v>
      </c>
      <c r="J14" s="69">
        <f t="array" ref="J14">SUM((CR=J$2)*(Approver=Sheet1!$G14)*1)</f>
        <v>0</v>
      </c>
      <c r="K14" s="69">
        <f t="array" ref="K14">SUM((CR=K$2)*(Approver=Sheet1!$G14)*1)</f>
        <v>0</v>
      </c>
      <c r="L14" s="69">
        <f t="array" ref="L14">SUM((CR=L$2)*(Approver=Sheet1!$G14)*1)</f>
        <v>0</v>
      </c>
      <c r="M14" s="69">
        <f t="array" ref="M14">SUM((CR=M$2)*(Approver=Sheet1!$G14)*1)</f>
        <v>0</v>
      </c>
      <c r="N14" s="69">
        <f t="array" ref="N14">SUM((CR=N$2)*(Approver=Sheet1!$G14)*1)</f>
        <v>0</v>
      </c>
    </row>
    <row r="15" spans="2:14" x14ac:dyDescent="0.55000000000000004">
      <c r="B15" t="s">
        <v>55</v>
      </c>
      <c r="G15" s="31" t="s">
        <v>78</v>
      </c>
      <c r="H15" s="31">
        <v>2000</v>
      </c>
      <c r="I15" s="69">
        <f t="array" ref="I15">SUM((CR=I$2)*(Approver=Sheet1!$G15)*1)</f>
        <v>0</v>
      </c>
      <c r="J15" s="69">
        <f t="array" ref="J15">SUM((CR=J$2)*(Approver=Sheet1!$G15)*1)</f>
        <v>0</v>
      </c>
      <c r="K15" s="69">
        <f t="array" ref="K15">SUM((CR=K$2)*(Approver=Sheet1!$G15)*1)</f>
        <v>0</v>
      </c>
      <c r="L15" s="69">
        <f t="array" ref="L15">SUM((CR=L$2)*(Approver=Sheet1!$G15)*1)</f>
        <v>0</v>
      </c>
      <c r="M15" s="69">
        <f t="array" ref="M15">SUM((CR=M$2)*(Approver=Sheet1!$G15)*1)</f>
        <v>0</v>
      </c>
      <c r="N15" s="69">
        <f t="array" ref="N15">SUM((CR=N$2)*(Approver=Sheet1!$G15)*1)</f>
        <v>0</v>
      </c>
    </row>
    <row r="16" spans="2:14" x14ac:dyDescent="0.55000000000000004">
      <c r="B16" t="s">
        <v>67</v>
      </c>
      <c r="G16" s="44" t="s">
        <v>83</v>
      </c>
      <c r="H16" s="44">
        <v>4000</v>
      </c>
      <c r="I16" s="69">
        <f t="array" ref="I16">SUM((CR=I$2)*(Approver=Sheet1!$G16)*1)</f>
        <v>0</v>
      </c>
      <c r="J16" s="69">
        <f t="array" ref="J16">SUM((CR=J$2)*(Approver=Sheet1!$G16)*1)</f>
        <v>0</v>
      </c>
      <c r="K16" s="69">
        <f t="array" ref="K16">SUM((CR=K$2)*(Approver=Sheet1!$G16)*1)</f>
        <v>0</v>
      </c>
      <c r="L16" s="69">
        <f t="array" ref="L16">SUM((CR=L$2)*(Approver=Sheet1!$G16)*1)</f>
        <v>0</v>
      </c>
      <c r="M16" s="69">
        <f t="array" ref="M16">SUM((CR=M$2)*(Approver=Sheet1!$G16)*1)</f>
        <v>0</v>
      </c>
      <c r="N16" s="69">
        <f t="array" ref="N16">SUM((CR=N$2)*(Approver=Sheet1!$G16)*1)</f>
        <v>0</v>
      </c>
    </row>
    <row r="17" spans="2:14" x14ac:dyDescent="0.55000000000000004">
      <c r="B17" t="s">
        <v>73</v>
      </c>
    </row>
    <row r="18" spans="2:14" x14ac:dyDescent="0.55000000000000004">
      <c r="G18" s="40" t="s">
        <v>76</v>
      </c>
      <c r="H18" s="40" t="s">
        <v>236</v>
      </c>
      <c r="I18" t="s">
        <v>86</v>
      </c>
      <c r="J18" t="s">
        <v>90</v>
      </c>
      <c r="K18" t="s">
        <v>19</v>
      </c>
      <c r="L18" t="s">
        <v>55</v>
      </c>
      <c r="M18" t="s">
        <v>67</v>
      </c>
      <c r="N18" t="s">
        <v>73</v>
      </c>
    </row>
    <row r="19" spans="2:14" x14ac:dyDescent="0.55000000000000004">
      <c r="G19" s="40" t="s">
        <v>232</v>
      </c>
      <c r="H19" s="40">
        <v>8000</v>
      </c>
      <c r="I19" s="70" t="str">
        <f>IF(I11=0,IF(I4="","",I4),"")</f>
        <v/>
      </c>
      <c r="J19" s="70" t="str">
        <f t="shared" ref="J19:N19" si="2">IF(J11=0,IF(J4="","",J4),"")</f>
        <v/>
      </c>
      <c r="K19" s="70" t="str">
        <f t="shared" si="2"/>
        <v/>
      </c>
      <c r="L19" s="70" t="str">
        <f t="shared" si="2"/>
        <v/>
      </c>
      <c r="M19" s="70" t="str">
        <f t="shared" si="2"/>
        <v/>
      </c>
      <c r="N19" s="70" t="str">
        <f t="shared" si="2"/>
        <v>Steve Holmes</v>
      </c>
    </row>
    <row r="20" spans="2:14" x14ac:dyDescent="0.55000000000000004">
      <c r="G20" s="31" t="s">
        <v>52</v>
      </c>
      <c r="H20" s="31">
        <v>500</v>
      </c>
      <c r="I20" s="31" t="str">
        <f t="shared" ref="I20:N24" si="3">IF(I12=0,IF(I5="","",I5),"")</f>
        <v>Gail Mandel</v>
      </c>
      <c r="J20" s="31" t="str">
        <f t="shared" si="3"/>
        <v>Gail Mandel</v>
      </c>
      <c r="K20" s="31" t="str">
        <f t="shared" si="3"/>
        <v/>
      </c>
      <c r="L20" s="31" t="str">
        <f t="shared" si="3"/>
        <v/>
      </c>
      <c r="M20" s="31" t="str">
        <f t="shared" si="3"/>
        <v/>
      </c>
      <c r="N20" s="31" t="str">
        <f t="shared" si="3"/>
        <v/>
      </c>
    </row>
    <row r="21" spans="2:14" x14ac:dyDescent="0.55000000000000004">
      <c r="G21" s="31" t="s">
        <v>77</v>
      </c>
      <c r="H21" s="31">
        <v>1000</v>
      </c>
      <c r="I21" s="31" t="str">
        <f t="shared" si="3"/>
        <v>Geoff Ballotti</v>
      </c>
      <c r="J21" s="31" t="str">
        <f t="shared" si="3"/>
        <v>Geoff Ballotti</v>
      </c>
      <c r="K21" s="31" t="str">
        <f t="shared" si="3"/>
        <v>Geoff Ballotti</v>
      </c>
      <c r="L21" s="31" t="str">
        <f t="shared" si="3"/>
        <v/>
      </c>
      <c r="M21" s="31" t="str">
        <f t="shared" si="3"/>
        <v>Geoff Ballotti</v>
      </c>
      <c r="N21" s="31" t="str">
        <f t="shared" si="3"/>
        <v>Geoff Ballotti</v>
      </c>
    </row>
    <row r="22" spans="2:14" x14ac:dyDescent="0.55000000000000004">
      <c r="G22" s="31" t="s">
        <v>79</v>
      </c>
      <c r="H22" s="31">
        <v>1500</v>
      </c>
      <c r="I22" s="31" t="str">
        <f t="shared" si="3"/>
        <v>Kevin Linder</v>
      </c>
      <c r="J22" s="31" t="str">
        <f t="shared" si="3"/>
        <v>Kevin Linder</v>
      </c>
      <c r="K22" s="31" t="str">
        <f t="shared" si="3"/>
        <v/>
      </c>
      <c r="L22" s="31" t="str">
        <f t="shared" si="3"/>
        <v/>
      </c>
      <c r="M22" s="31" t="str">
        <f t="shared" si="3"/>
        <v>Kevin Linder</v>
      </c>
      <c r="N22" s="31" t="str">
        <f t="shared" si="3"/>
        <v>Kevin Linder</v>
      </c>
    </row>
    <row r="23" spans="2:14" x14ac:dyDescent="0.55000000000000004">
      <c r="G23" s="31" t="s">
        <v>78</v>
      </c>
      <c r="H23" s="31">
        <v>2000</v>
      </c>
      <c r="I23" s="31" t="str">
        <f t="shared" si="3"/>
        <v/>
      </c>
      <c r="J23" s="31" t="str">
        <f t="shared" si="3"/>
        <v>Jeanmarie Cooney</v>
      </c>
      <c r="K23" s="31" t="str">
        <f t="shared" si="3"/>
        <v/>
      </c>
      <c r="L23" s="31" t="str">
        <f t="shared" si="3"/>
        <v/>
      </c>
      <c r="M23" s="31" t="str">
        <f t="shared" si="3"/>
        <v>Jeanmarie Cooney</v>
      </c>
      <c r="N23" s="31" t="str">
        <f t="shared" si="3"/>
        <v>Jeanmarie Cooney</v>
      </c>
    </row>
    <row r="24" spans="2:14" x14ac:dyDescent="0.55000000000000004">
      <c r="G24" s="44" t="s">
        <v>83</v>
      </c>
      <c r="H24" s="44">
        <v>4000</v>
      </c>
      <c r="I24" s="44" t="str">
        <f t="shared" si="3"/>
        <v/>
      </c>
      <c r="J24" s="44" t="str">
        <f t="shared" si="3"/>
        <v/>
      </c>
      <c r="K24" s="44" t="str">
        <f t="shared" si="3"/>
        <v/>
      </c>
      <c r="L24" s="44" t="str">
        <f t="shared" si="3"/>
        <v/>
      </c>
      <c r="M24" s="44" t="str">
        <f t="shared" si="3"/>
        <v>Tom Conforti</v>
      </c>
      <c r="N24" s="44" t="str">
        <f t="shared" si="3"/>
        <v>Tom Conforti</v>
      </c>
    </row>
    <row r="26" spans="2:14" x14ac:dyDescent="0.55000000000000004">
      <c r="I26" t="s">
        <v>86</v>
      </c>
      <c r="J26" t="s">
        <v>90</v>
      </c>
      <c r="K26" t="s">
        <v>19</v>
      </c>
      <c r="L26" t="s">
        <v>55</v>
      </c>
      <c r="M26" t="s">
        <v>67</v>
      </c>
      <c r="N26" t="s">
        <v>73</v>
      </c>
    </row>
    <row r="27" spans="2:14" x14ac:dyDescent="0.55000000000000004">
      <c r="I27" t="s">
        <v>86</v>
      </c>
      <c r="J27" t="s">
        <v>90</v>
      </c>
      <c r="K27" t="s">
        <v>19</v>
      </c>
      <c r="L27" t="s">
        <v>55</v>
      </c>
      <c r="M27" t="s">
        <v>67</v>
      </c>
      <c r="N27" t="s">
        <v>73</v>
      </c>
    </row>
    <row r="28" spans="2:14" x14ac:dyDescent="0.55000000000000004">
      <c r="H28" s="40"/>
      <c r="I28" s="70" t="str">
        <f t="array" ref="I28">IFERROR(INDEX($G$19:$G$24,SMALL(IF(I$19:I$24&lt;&gt;"",ROW(I$19:I$24)-ROW(INDEX(I$19:I$24,1,1))+1),ROW(1:1))),"")</f>
        <v>Gail Mandel</v>
      </c>
      <c r="J28" s="70" t="str">
        <f t="array" ref="J28">IFERROR(INDEX($G$19:$G$24,SMALL(IF(J$19:J$24&lt;&gt;"",ROW(J$19:J$24)-ROW(INDEX(J$19:J$24,1,1))+1),ROW(1:1))),"")</f>
        <v>Gail Mandel</v>
      </c>
      <c r="K28" s="70" t="str">
        <f t="array" ref="K28">IFERROR(INDEX($G$19:$G$24,SMALL(IF(K$19:K$24&lt;&gt;"",ROW(K$19:K$24)-ROW(INDEX(K$19:K$24,1,1))+1),ROW(1:1))),"")</f>
        <v>Geoff Ballotti</v>
      </c>
      <c r="L28" s="70" t="str">
        <f t="array" ref="L28">IFERROR(INDEX($G$19:$G$24,SMALL(IF(L$19:L$24&lt;&gt;"",ROW(L$19:L$24)-ROW(INDEX(L$19:L$24,1,1))+1),ROW(1:1))),"")</f>
        <v/>
      </c>
      <c r="M28" s="70" t="str">
        <f t="array" ref="M28">IFERROR(INDEX($G$19:$G$24,SMALL(IF(M$19:M$24&lt;&gt;"",ROW(M$19:M$24)-ROW(INDEX(M$19:M$24,1,1))+1),ROW(1:1))),"")</f>
        <v>Geoff Ballotti</v>
      </c>
      <c r="N28" s="70" t="str">
        <f t="array" ref="N28">IFERROR(INDEX($G$19:$G$24,SMALL(IF(N$19:N$24&lt;&gt;"",ROW(N$19:N$24)-ROW(INDEX(N$19:N$24,1,1))+1),ROW(1:1))),"")</f>
        <v>Steve Holmes</v>
      </c>
    </row>
    <row r="29" spans="2:14" x14ac:dyDescent="0.55000000000000004">
      <c r="H29" s="31"/>
      <c r="I29" s="70" t="str">
        <f t="array" ref="I29">IFERROR(INDEX($G$19:$G$24,SMALL(IF(I$19:I$24&lt;&gt;"",ROW(I$19:I$24)-ROW(INDEX(I$19:I$24,1,1))+1),ROW(2:2))),"")</f>
        <v>Geoff Ballotti</v>
      </c>
      <c r="J29" s="31" t="str">
        <f t="array" ref="J29">IFERROR(INDEX($G$19:$G$24,SMALL(IF(J$19:J$24&lt;&gt;"",ROW(J$19:J$24)-ROW(INDEX(J$19:J$24,1,1))+1),ROW(2:2))),"")</f>
        <v>Geoff Ballotti</v>
      </c>
      <c r="K29" s="31" t="str">
        <f t="array" ref="K29">IFERROR(INDEX($G$19:$G$24,SMALL(IF(K$19:K$24&lt;&gt;"",ROW(K$19:K$24)-ROW(INDEX(K$19:K$24,1,1))+1),ROW(2:2))),"")</f>
        <v/>
      </c>
      <c r="L29" s="31" t="str">
        <f t="array" ref="L29">IFERROR(INDEX($G$19:$G$24,SMALL(IF(L$19:L$24&lt;&gt;"",ROW(L$19:L$24)-ROW(INDEX(L$19:L$24,1,1))+1),ROW(2:2))),"")</f>
        <v/>
      </c>
      <c r="M29" s="31" t="str">
        <f t="array" ref="M29">IFERROR(INDEX($G$19:$G$24,SMALL(IF(M$19:M$24&lt;&gt;"",ROW(M$19:M$24)-ROW(INDEX(M$19:M$24,1,1))+1),ROW(2:2))),"")</f>
        <v>Kevin Linder</v>
      </c>
      <c r="N29" s="31" t="str">
        <f t="array" ref="N29">IFERROR(INDEX($G$19:$G$24,SMALL(IF(N$19:N$24&lt;&gt;"",ROW(N$19:N$24)-ROW(INDEX(N$19:N$24,1,1))+1),ROW(2:2))),"")</f>
        <v>Geoff Ballotti</v>
      </c>
    </row>
    <row r="30" spans="2:14" x14ac:dyDescent="0.55000000000000004">
      <c r="H30" s="31"/>
      <c r="I30" s="70" t="str">
        <f t="array" ref="I30">IFERROR(INDEX($G$19:$G$24,SMALL(IF(I$19:I$24&lt;&gt;"",ROW(I$19:I$24)-ROW(INDEX(I$19:I$24,1,1))+1),ROW(3:3))),"")</f>
        <v>Kevin Linder</v>
      </c>
      <c r="J30" s="31" t="str">
        <f t="array" ref="J30">IFERROR(INDEX($G$19:$G$24,SMALL(IF(J$19:J$24&lt;&gt;"",ROW(J$19:J$24)-ROW(INDEX(J$19:J$24,1,1))+1),ROW(3:3))),"")</f>
        <v>Kevin Linder</v>
      </c>
      <c r="K30" s="31" t="str">
        <f t="array" ref="K30">IFERROR(INDEX($G$19:$G$24,SMALL(IF(K$19:K$24&lt;&gt;"",ROW(K$19:K$24)-ROW(INDEX(K$19:K$24,1,1))+1),ROW(3:3))),"")</f>
        <v/>
      </c>
      <c r="L30" s="31" t="str">
        <f t="array" ref="L30">IFERROR(INDEX($G$19:$G$24,SMALL(IF(L$19:L$24&lt;&gt;"",ROW(L$19:L$24)-ROW(INDEX(L$19:L$24,1,1))+1),ROW(3:3))),"")</f>
        <v/>
      </c>
      <c r="M30" s="31" t="str">
        <f t="array" ref="M30">IFERROR(INDEX($G$19:$G$24,SMALL(IF(M$19:M$24&lt;&gt;"",ROW(M$19:M$24)-ROW(INDEX(M$19:M$24,1,1))+1),ROW(3:3))),"")</f>
        <v>Jeanmarie Cooney</v>
      </c>
      <c r="N30" s="31" t="str">
        <f t="array" ref="N30">IFERROR(INDEX($G$19:$G$24,SMALL(IF(N$19:N$24&lt;&gt;"",ROW(N$19:N$24)-ROW(INDEX(N$19:N$24,1,1))+1),ROW(3:3))),"")</f>
        <v>Kevin Linder</v>
      </c>
    </row>
    <row r="31" spans="2:14" x14ac:dyDescent="0.55000000000000004">
      <c r="H31" s="31"/>
      <c r="I31" s="70" t="str">
        <f t="array" ref="I31">IFERROR(INDEX($G$19:$G$24,SMALL(IF(I$19:I$24&lt;&gt;"",ROW(I$19:I$24)-ROW(INDEX(I$19:I$24,1,1))+1),ROW(4:4))),"")</f>
        <v/>
      </c>
      <c r="J31" s="31" t="str">
        <f t="array" ref="J31">IFERROR(INDEX($G$19:$G$24,SMALL(IF(J$19:J$24&lt;&gt;"",ROW(J$19:J$24)-ROW(INDEX(J$19:J$24,1,1))+1),ROW(4:4))),"")</f>
        <v>Jeanmarie Cooney</v>
      </c>
      <c r="K31" s="31" t="str">
        <f t="array" ref="K31">IFERROR(INDEX($G$19:$G$24,SMALL(IF(K$19:K$24&lt;&gt;"",ROW(K$19:K$24)-ROW(INDEX(K$19:K$24,1,1))+1),ROW(4:4))),"")</f>
        <v/>
      </c>
      <c r="L31" s="31" t="str">
        <f t="array" ref="L31">IFERROR(INDEX($G$19:$G$24,SMALL(IF(L$19:L$24&lt;&gt;"",ROW(L$19:L$24)-ROW(INDEX(L$19:L$24,1,1))+1),ROW(4:4))),"")</f>
        <v/>
      </c>
      <c r="M31" s="31" t="str">
        <f t="array" ref="M31">IFERROR(INDEX($G$19:$G$24,SMALL(IF(M$19:M$24&lt;&gt;"",ROW(M$19:M$24)-ROW(INDEX(M$19:M$24,1,1))+1),ROW(4:4))),"")</f>
        <v>Tom Conforti</v>
      </c>
      <c r="N31" s="31" t="str">
        <f t="array" ref="N31">IFERROR(INDEX($G$19:$G$24,SMALL(IF(N$19:N$24&lt;&gt;"",ROW(N$19:N$24)-ROW(INDEX(N$19:N$24,1,1))+1),ROW(4:4))),"")</f>
        <v>Jeanmarie Cooney</v>
      </c>
    </row>
    <row r="32" spans="2:14" x14ac:dyDescent="0.55000000000000004">
      <c r="H32" s="31"/>
      <c r="I32" s="70" t="str">
        <f t="array" ref="I32">IFERROR(INDEX($G$19:$G$24,SMALL(IF(I$19:I$24&lt;&gt;"",ROW(I$19:I$24)-ROW(INDEX(I$19:I$24,1,1))+1),ROW(5:5))),"")</f>
        <v/>
      </c>
      <c r="J32" s="31" t="str">
        <f t="array" ref="J32">IFERROR(INDEX($G$19:$G$24,SMALL(IF(J$19:J$24&lt;&gt;"",ROW(J$19:J$24)-ROW(INDEX(J$19:J$24,1,1))+1),ROW(5:5))),"")</f>
        <v/>
      </c>
      <c r="K32" s="31" t="str">
        <f t="array" ref="K32">IFERROR(INDEX($G$19:$G$24,SMALL(IF(K$19:K$24&lt;&gt;"",ROW(K$19:K$24)-ROW(INDEX(K$19:K$24,1,1))+1),ROW(5:5))),"")</f>
        <v/>
      </c>
      <c r="L32" s="31" t="str">
        <f t="array" ref="L32">IFERROR(INDEX($G$19:$G$24,SMALL(IF(L$19:L$24&lt;&gt;"",ROW(L$19:L$24)-ROW(INDEX(L$19:L$24,1,1))+1),ROW(5:5))),"")</f>
        <v/>
      </c>
      <c r="M32" s="31" t="str">
        <f t="array" ref="M32">IFERROR(INDEX($G$19:$G$24,SMALL(IF(M$19:M$24&lt;&gt;"",ROW(M$19:M$24)-ROW(INDEX(M$19:M$24,1,1))+1),ROW(5:5))),"")</f>
        <v/>
      </c>
      <c r="N32" s="31" t="str">
        <f t="array" ref="N32">IFERROR(INDEX($G$19:$G$24,SMALL(IF(N$19:N$24&lt;&gt;"",ROW(N$19:N$24)-ROW(INDEX(N$19:N$24,1,1))+1),ROW(5:5))),"")</f>
        <v>Tom Conforti</v>
      </c>
    </row>
    <row r="33" spans="8:14" x14ac:dyDescent="0.55000000000000004">
      <c r="H33" s="44"/>
      <c r="I33" s="70" t="str">
        <f t="array" ref="I33">IFERROR(INDEX($G$19:$G$24,SMALL(IF(I$19:I$24&lt;&gt;"",ROW(I$19:I$24)-ROW(INDEX(I$19:I$24,1,1))+1),ROW(6:6))),"")</f>
        <v/>
      </c>
      <c r="J33" s="44" t="str">
        <f t="array" ref="J33">IFERROR(INDEX($G$19:$G$24,SMALL(IF(J$19:J$24&lt;&gt;"",ROW(J$19:J$24)-ROW(INDEX(J$19:J$24,1,1))+1),ROW(6:6))),"")</f>
        <v/>
      </c>
      <c r="K33" s="44" t="str">
        <f t="array" ref="K33">IFERROR(INDEX($G$19:$G$24,SMALL(IF(K$19:K$24&lt;&gt;"",ROW(K$19:K$24)-ROW(INDEX(K$19:K$24,1,1))+1),ROW(6:6))),"")</f>
        <v/>
      </c>
      <c r="L33" s="44" t="str">
        <f t="array" ref="L33">IFERROR(INDEX($G$19:$G$24,SMALL(IF(L$19:L$24&lt;&gt;"",ROW(L$19:L$24)-ROW(INDEX(L$19:L$24,1,1))+1),ROW(6:6))),"")</f>
        <v/>
      </c>
      <c r="M33" s="44" t="str">
        <f t="array" ref="M33">IFERROR(INDEX($G$19:$G$24,SMALL(IF(M$19:M$24&lt;&gt;"",ROW(M$19:M$24)-ROW(INDEX(M$19:M$24,1,1))+1),ROW(6:6))),"")</f>
        <v/>
      </c>
      <c r="N33" s="44" t="str">
        <f t="array" ref="N33">IFERROR(INDEX($G$19:$G$24,SMALL(IF(N$19:N$24&lt;&gt;"",ROW(N$19:N$24)-ROW(INDEX(N$19:N$24,1,1))+1),ROW(6:6))),"")</f>
        <v/>
      </c>
    </row>
  </sheetData>
  <sortState ref="B12:B17">
    <sortCondition ref="B1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30</vt:i4>
      </vt:variant>
    </vt:vector>
  </HeadingPairs>
  <TitlesOfParts>
    <vt:vector size="37" baseType="lpstr">
      <vt:lpstr>RawData_Pending</vt:lpstr>
      <vt:lpstr>Filter1_Pending</vt:lpstr>
      <vt:lpstr>RawData_Approved</vt:lpstr>
      <vt:lpstr>Corporate Approvers</vt:lpstr>
      <vt:lpstr>CRStatusReport_Approved</vt:lpstr>
      <vt:lpstr>CRStatusReport_InProgress</vt:lpstr>
      <vt:lpstr>Sheet1</vt:lpstr>
      <vt:lpstr>_B122</vt:lpstr>
      <vt:lpstr>_B146</vt:lpstr>
      <vt:lpstr>_C107</vt:lpstr>
      <vt:lpstr>_C193</vt:lpstr>
      <vt:lpstr>_C211</vt:lpstr>
      <vt:lpstr>_PGMU</vt:lpstr>
      <vt:lpstr>Approval_Round</vt:lpstr>
      <vt:lpstr>Approver</vt:lpstr>
      <vt:lpstr>CEO_Approver</vt:lpstr>
      <vt:lpstr>CFO_Approver</vt:lpstr>
      <vt:lpstr>Corporate_Approvers</vt:lpstr>
      <vt:lpstr>CR</vt:lpstr>
      <vt:lpstr>Date_Completed</vt:lpstr>
      <vt:lpstr>EU_EMAI_Approvers</vt:lpstr>
      <vt:lpstr>RawData_Pending!Extract</vt:lpstr>
      <vt:lpstr>FAPPROV</vt:lpstr>
      <vt:lpstr>FCR</vt:lpstr>
      <vt:lpstr>Final_List</vt:lpstr>
      <vt:lpstr>Project_Name</vt:lpstr>
      <vt:lpstr>Region</vt:lpstr>
      <vt:lpstr>REQUEST_LINK</vt:lpstr>
      <vt:lpstr>RawData_Pending!Round_1_Approvers</vt:lpstr>
      <vt:lpstr>Status</vt:lpstr>
      <vt:lpstr>Status_Date</vt:lpstr>
      <vt:lpstr>Task_Status</vt:lpstr>
      <vt:lpstr>Total_Project_Cost</vt:lpstr>
      <vt:lpstr>WER_A_B122</vt:lpstr>
      <vt:lpstr>WER_A_B146</vt:lpstr>
      <vt:lpstr>WER_A_C107</vt:lpstr>
      <vt:lpstr>Year_0_Capital</vt:lpstr>
    </vt:vector>
  </TitlesOfParts>
  <Company>Wyndham Worldwide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Quiz 5</dc:title>
  <dc:subject>K327</dc:subject>
  <dc:creator>rciq414</dc:creator>
  <dc:description>Student email revised, Part 3</dc:description>
  <cp:lastModifiedBy>Michael Zelenka</cp:lastModifiedBy>
  <cp:lastPrinted>2012-06-20T12:53:39Z</cp:lastPrinted>
  <dcterms:created xsi:type="dcterms:W3CDTF">2012-06-04T13:28:48Z</dcterms:created>
  <dcterms:modified xsi:type="dcterms:W3CDTF">2018-04-18T21:26:54Z</dcterms:modified>
</cp:coreProperties>
</file>