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zele\Desktop\K327 Project 2\Commitment Trends\"/>
    </mc:Choice>
  </mc:AlternateContent>
  <bookViews>
    <workbookView xWindow="30" yWindow="30" windowWidth="12120" windowHeight="6978" firstSheet="3" activeTab="5" xr2:uid="{00000000-000D-0000-FFFF-FFFF00000000}"/>
  </bookViews>
  <sheets>
    <sheet name="Tables" sheetId="20" r:id="rId1"/>
    <sheet name="2009 data" sheetId="33" r:id="rId2"/>
    <sheet name="Current2010" sheetId="1" r:id="rId3"/>
    <sheet name="Current2011" sheetId="37" r:id="rId4"/>
    <sheet name="Current2012" sheetId="45" r:id="rId5"/>
    <sheet name="Current2013" sheetId="47" r:id="rId6"/>
  </sheets>
  <externalReferences>
    <externalReference r:id="rId7"/>
    <externalReference r:id="rId8"/>
  </externalReferences>
  <definedNames>
    <definedName name="_2ND_RINSE" localSheetId="3">Current2011!#REF!</definedName>
    <definedName name="_2ND_RINSE" localSheetId="4">Current2012!#REF!</definedName>
    <definedName name="_2ND_RINSE" localSheetId="5">Current2013!#REF!</definedName>
    <definedName name="_2ND_RINSE">Current2010!#REF!</definedName>
    <definedName name="_3__FILL" localSheetId="3">Current2011!#REF!</definedName>
    <definedName name="_3__FILL" localSheetId="4">Current2012!#REF!</definedName>
    <definedName name="_3__FILL" localSheetId="5">Current2013!#REF!</definedName>
    <definedName name="_3__FILL">Current2010!#REF!</definedName>
    <definedName name="_5_WAY_NB" localSheetId="3">Current2011!#REF!</definedName>
    <definedName name="_5_WAY_NB" localSheetId="4">Current2012!#REF!</definedName>
    <definedName name="_5_WAY_NB" localSheetId="5">Current2013!#REF!</definedName>
    <definedName name="_5_WAY_NB">Current2010!#REF!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4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1" hidden="1">'2009 data'!$A$2:$N$393</definedName>
    <definedName name="_xlnm._FilterDatabase" localSheetId="2" hidden="1">Current2010!$A$6:$BD$443</definedName>
    <definedName name="_xlnm._FilterDatabase" localSheetId="3" hidden="1">Current2011!$B$6:$Z$466</definedName>
    <definedName name="_xlnm._FilterDatabase" localSheetId="4" hidden="1">Current2012!$B$6:$AA$650</definedName>
    <definedName name="_xlnm._FilterDatabase" localSheetId="5" hidden="1">Current2013!$B$6:$AE$706</definedName>
    <definedName name="_rep2009">'2009 data'!$A$3:$A$384</definedName>
    <definedName name="ABOOM">Tables!$D$16:$D$19</definedName>
    <definedName name="ACCU_BOOM" localSheetId="3">Current2011!#REF!</definedName>
    <definedName name="ACCU_BOOM" localSheetId="4">Current2012!#REF!</definedName>
    <definedName name="ACCU_BOOM" localSheetId="5">Current2013!#REF!</definedName>
    <definedName name="ACCU_BOOM">Current2010!#REF!</definedName>
    <definedName name="ACE_Training">#REF!</definedName>
    <definedName name="Actual_Date_to_QC" localSheetId="3">Current2011!$F$7:$F$400</definedName>
    <definedName name="Actual_Date_to_QC" localSheetId="4">Current2012!$F$7:$F$400</definedName>
    <definedName name="Actual_Date_to_QC" localSheetId="5">Current2013!$F$7:$F$400</definedName>
    <definedName name="Actual_Date_to_QC">Current2010!$F$7:$F$399</definedName>
    <definedName name="address">#REF!</definedName>
    <definedName name="Aggregate_Committed">#REF!</definedName>
    <definedName name="Aggregate_Date">#REF!</definedName>
    <definedName name="Aggregate_MY">#REF!</definedName>
    <definedName name="Aggregate_PO_Date">#REF!</definedName>
    <definedName name="Aggregate_Serial">#REF!</definedName>
    <definedName name="Aggregate_Sold_to">#REF!</definedName>
    <definedName name="ANT">Tables!$M$16:$M$18</definedName>
    <definedName name="Antennae" localSheetId="3">Current2011!#REF!</definedName>
    <definedName name="Antennae" localSheetId="4">Current2012!#REF!</definedName>
    <definedName name="Antennae" localSheetId="5">Current2013!#REF!</definedName>
    <definedName name="Antennae">Current2010!#REF!</definedName>
    <definedName name="Auto_Boom" localSheetId="3">Current2011!#REF!</definedName>
    <definedName name="Auto_Boom" localSheetId="4">Current2012!#REF!</definedName>
    <definedName name="Auto_Boom" localSheetId="5">Current2013!#REF!</definedName>
    <definedName name="Auto_Boom">Current2010!#REF!</definedName>
    <definedName name="AUTO_STEER" localSheetId="3">Current2011!#REF!</definedName>
    <definedName name="AUTO_STEER" localSheetId="4">Current2012!#REF!</definedName>
    <definedName name="AUTO_STEER" localSheetId="5">Current2013!#REF!</definedName>
    <definedName name="AUTO_STEER">Current2010!#REF!</definedName>
    <definedName name="Axle_Width" localSheetId="3">Current2011!#REF!</definedName>
    <definedName name="Axle_Width" localSheetId="4">Current2012!#REF!</definedName>
    <definedName name="Axle_Width" localSheetId="5">Current2013!#REF!</definedName>
    <definedName name="Axle_Width">Current2010!#REF!</definedName>
    <definedName name="begin.date">Tables!$X$5:$X$234</definedName>
    <definedName name="Begin_Date_MY_2010">#REF!</definedName>
    <definedName name="Begin_MY_2010">#REF!</definedName>
    <definedName name="Begin2009">#REF!</definedName>
    <definedName name="Begin2011">Current2011!$A$1</definedName>
    <definedName name="BeginMY2009INV">#REF!</definedName>
    <definedName name="Boom" localSheetId="3">Current2011!#REF!</definedName>
    <definedName name="Boom" localSheetId="4">Current2012!#REF!</definedName>
    <definedName name="Boom" localSheetId="5">Current2013!#REF!</definedName>
    <definedName name="Boom">Current2010!#REF!</definedName>
    <definedName name="Boom_Size">Tables!$L$27:$L$33</definedName>
    <definedName name="build_month" localSheetId="3">Current2011!$I$7:$I$400</definedName>
    <definedName name="build_month" localSheetId="4">Current2012!$I$7:$I$400</definedName>
    <definedName name="build_month" localSheetId="5">Current2013!$I$7:$I$400</definedName>
    <definedName name="build_month">Current2010!$I$7:$I$399</definedName>
    <definedName name="build_month_2011" localSheetId="4">Current2012!$I$7:$I$482</definedName>
    <definedName name="build_month_2011" localSheetId="5">Current2013!$I$7:$I$482</definedName>
    <definedName name="build_month_2011">Current2011!$I$7:$I$432</definedName>
    <definedName name="build_month_2012" localSheetId="5">Current2013!$I$7:$I$650</definedName>
    <definedName name="build_month_2012">Current2012!$I$7:$I$650</definedName>
    <definedName name="build_month_2013">Current2013!$I$7:$I$706</definedName>
    <definedName name="Built">#REF!</definedName>
    <definedName name="Built___Paid">#REF!</definedName>
    <definedName name="cashflow">Tables!$R$17:$R$26</definedName>
    <definedName name="Ccomponents">Tables!$K$16:$K$18</definedName>
    <definedName name="Clear">Tables!$K$9:$K$13</definedName>
    <definedName name="Clear1010">Tables!$M$9:$M$11</definedName>
    <definedName name="Clear1210">Tables!$L$9</definedName>
    <definedName name="Clearance" localSheetId="3">Current2011!#REF!</definedName>
    <definedName name="Clearance" localSheetId="4">Current2012!#REF!</definedName>
    <definedName name="Clearance" localSheetId="5">Current2013!#REF!</definedName>
    <definedName name="Clearance">Current2010!#REF!</definedName>
    <definedName name="Clearance_2011" localSheetId="4">Current2012!$Q$7:$Q$482</definedName>
    <definedName name="Clearance_2011" localSheetId="5">Current2013!$Q$7:$Q$482</definedName>
    <definedName name="Clearance_2011">Current2011!$Q$7:$Q$432</definedName>
    <definedName name="Clearance_2012" localSheetId="5">Current2013!$Q$7:$Q$650</definedName>
    <definedName name="Clearance_2012">Current2012!$Q$7:$Q$650</definedName>
    <definedName name="Clearance_2013">Current2013!$Q$7:$Q$706</definedName>
    <definedName name="Commited_2010_YTD">#REF!</definedName>
    <definedName name="Commited_2011_YTD">#REF!</definedName>
    <definedName name="Commited_2012_YTD">#REF!</definedName>
    <definedName name="Commited_2013_YTD">#REF!</definedName>
    <definedName name="Commited_YTD_2009">#REF!</definedName>
    <definedName name="Committed_For" localSheetId="3">Current2011!$T$7:$T$400</definedName>
    <definedName name="Committed_For" localSheetId="4">Current2012!$T$7:$T$400</definedName>
    <definedName name="Committed_For" localSheetId="5">Current2013!$T$7:$T$400</definedName>
    <definedName name="Committed_For">Current2010!$S$7:$S$399</definedName>
    <definedName name="Committed_For_2011" localSheetId="4">Current2012!$T$7:$T$482</definedName>
    <definedName name="Committed_For_2011" localSheetId="5">Current2013!$T$7:$T$482</definedName>
    <definedName name="Committed_For_2011">Current2011!$T$7:$T$432</definedName>
    <definedName name="Committed_For_2012" localSheetId="5">Current2013!$T$7:$T$650</definedName>
    <definedName name="Committed_For_2012">Current2012!$T$7:$T$650</definedName>
    <definedName name="Committed_For_2013">Current2013!$T$7:$T$706</definedName>
    <definedName name="Committed_For2009">'2009 data'!$I$3:$I$384</definedName>
    <definedName name="Control_Components" localSheetId="3">Current2011!#REF!</definedName>
    <definedName name="Control_Components" localSheetId="4">Current2012!#REF!</definedName>
    <definedName name="Control_Components" localSheetId="5">Current2013!#REF!</definedName>
    <definedName name="Control_Components">Current2010!#REF!</definedName>
    <definedName name="controller">Tables!$H$16:$H$19</definedName>
    <definedName name="count" localSheetId="3">Current2011!$D$7:$D$400</definedName>
    <definedName name="count" localSheetId="4">Current2012!$D$7:$D$400</definedName>
    <definedName name="count" localSheetId="5">Current2013!$D$7:$D$400</definedName>
    <definedName name="count">Current2010!$D$7:$D$399</definedName>
    <definedName name="count_2011" localSheetId="4">Current2012!$D$7:$D$482</definedName>
    <definedName name="count_2011" localSheetId="5">Current2013!$D$7:$D$482</definedName>
    <definedName name="count_2011">Current2011!$D$7:$D$432</definedName>
    <definedName name="count_2012" localSheetId="5">Current2013!$D$7:$D$650</definedName>
    <definedName name="count_2012">Current2012!$D$7:$D$650</definedName>
    <definedName name="count_2013">Current2013!$D$7:$D$706</definedName>
    <definedName name="_xlnm.Criteria" localSheetId="2">Current2010!$J$1:$J$2</definedName>
    <definedName name="_xlnm.Criteria" localSheetId="3">Current2011!$J$1:$J$2</definedName>
    <definedName name="_xlnm.Criteria" localSheetId="4">Current2012!$J$1:$J$2</definedName>
    <definedName name="_xlnm.Criteria" localSheetId="5">Current2013!$J$1:$J$2</definedName>
    <definedName name="Customer_PO" localSheetId="3">Current2011!$R$7:$R$400</definedName>
    <definedName name="Customer_PO" localSheetId="4">Current2012!$R$7:$R$400</definedName>
    <definedName name="Customer_PO" localSheetId="5">Current2013!$R$7:$R$400</definedName>
    <definedName name="Customer_PO">Current2010!$Q$7:$Q$399</definedName>
    <definedName name="Customer_PO___2011" localSheetId="4">Current2012!$R$7:$R$482</definedName>
    <definedName name="Customer_PO___2011" localSheetId="5">Current2013!$R$7:$R$482</definedName>
    <definedName name="Customer_PO___2011">Current2011!$R$7:$R$432</definedName>
    <definedName name="Customer_PO___2012" localSheetId="5">Current2013!$R$7:$R$650</definedName>
    <definedName name="Customer_PO___2012">Current2012!$R$7:$R$650</definedName>
    <definedName name="Customer_PO___2013">Current2013!$R$7:$R$706</definedName>
    <definedName name="Customer_PO__2009">'2009 data'!$G$3:$G$384</definedName>
    <definedName name="data" localSheetId="3">Current2011!$A$6:$AA$500</definedName>
    <definedName name="data" localSheetId="4">Current2012!$A$6:$AA$500</definedName>
    <definedName name="data" localSheetId="5">Current2013!$A$6:$AA$500</definedName>
    <definedName name="data">Current2010!$A$6:$Z$395</definedName>
    <definedName name="Data2012" localSheetId="5">Current2013!$A$6:$AA$650</definedName>
    <definedName name="Data2012">Current2012!$A$6:$AA$650</definedName>
    <definedName name="data2013">Current2013!$B$6:$AE$706</definedName>
    <definedName name="Date_Committed" localSheetId="3">Current2011!$U$7:$U$400</definedName>
    <definedName name="Date_Committed" localSheetId="4">Current2012!$U$7:$U$400</definedName>
    <definedName name="Date_Committed" localSheetId="5">Current2013!$U$7:$U$400</definedName>
    <definedName name="Date_Committed">Current2010!$T$7:$T$399</definedName>
    <definedName name="Date_Committed_2011" localSheetId="4">Current2012!$U$7:$U$482</definedName>
    <definedName name="Date_Committed_2011" localSheetId="5">Current2013!$U$7:$U$482</definedName>
    <definedName name="Date_Committed_2011">Current2011!$U$7:$U$432</definedName>
    <definedName name="Date_Committed_2012" localSheetId="5">Current2013!$U$7:$U$650</definedName>
    <definedName name="Date_Committed_2012">Current2012!$U$7:$U$650</definedName>
    <definedName name="Date_Committed_2013">Current2013!$U$7:$U$706</definedName>
    <definedName name="Date_Committed2009">'2009 data'!$J$3:$J$384</definedName>
    <definedName name="Date_Into_QC" localSheetId="3">Current2011!#REF!</definedName>
    <definedName name="Date_Into_QC" localSheetId="4">Current2012!#REF!</definedName>
    <definedName name="Date_Into_QC" localSheetId="5">Current2013!#REF!</definedName>
    <definedName name="Date_Into_QC">Current2010!#REF!</definedName>
    <definedName name="Date_Last_Year">#REF!</definedName>
    <definedName name="Date_of_last_Physical_Inspection_by_Rep" localSheetId="3">Current2011!$Z$7:$Z$400</definedName>
    <definedName name="Date_of_last_Physical_Inspection_by_Rep" localSheetId="4">Current2012!$Z$7:$Z$400</definedName>
    <definedName name="Date_of_last_Physical_Inspection_by_Rep" localSheetId="5">Current2013!$Z$7:$Z$400</definedName>
    <definedName name="Date_of_last_Physical_Inspection_by_Rep">Current2010!$Y$7:$Y$399</definedName>
    <definedName name="Date_of_last_Physical_Inspection_by_Rep_2011" localSheetId="4">Current2012!$Z$7:$Z$482</definedName>
    <definedName name="Date_of_last_Physical_Inspection_by_Rep_2011" localSheetId="5">Current2013!$Z$7:$Z$482</definedName>
    <definedName name="Date_of_last_Physical_Inspection_by_Rep_2011">Current2011!$Z$7:$Z$432</definedName>
    <definedName name="Date_of_last_Physical_Inspection_by_Rep_2012" localSheetId="5">Current2013!$Z$7:$Z$650</definedName>
    <definedName name="Date_of_last_Physical_Inspection_by_Rep_2012">Current2012!$Z$7:$Z$650</definedName>
    <definedName name="Date_of_last_Physical_Inspection_by_Rep_2013">Current2013!$Z$7:$Z$706</definedName>
    <definedName name="Date_out_of_QC" localSheetId="3">Current2011!$G$7:$G$400</definedName>
    <definedName name="Date_out_of_QC" localSheetId="4">Current2012!$G$7:$G$400</definedName>
    <definedName name="Date_out_of_QC" localSheetId="5">Current2013!$G$7:$G$400</definedName>
    <definedName name="Date_out_of_QC">Current2010!$G$7:$G$399</definedName>
    <definedName name="Date_out_of_QC_2011" localSheetId="4">Current2012!$G$7:$G$482</definedName>
    <definedName name="Date_out_of_QC_2011" localSheetId="5">Current2013!$G$7:$G$482</definedName>
    <definedName name="Date_out_of_QC_2011">Current2011!$AB$7:$AB$432</definedName>
    <definedName name="Date_out_of_QC_2012" localSheetId="5">Current2013!$AB$7:$AB$650</definedName>
    <definedName name="Date_out_of_QC_2012">Current2012!$AB$7:$AB$650</definedName>
    <definedName name="Date_out_of_QC_2013">Current2013!$AB$7:$AB$706</definedName>
    <definedName name="Date_PO">'2009 data'!$N$3:$N$384</definedName>
    <definedName name="Date_Retailed" localSheetId="3">Current2011!$W$7:$W$400</definedName>
    <definedName name="Date_Retailed" localSheetId="4">Current2012!$W$7:$W$400</definedName>
    <definedName name="Date_Retailed" localSheetId="5">Current2013!$W$7:$W$400</definedName>
    <definedName name="Date_Retailed">Current2010!$V$7:$V$399</definedName>
    <definedName name="Date_Retailed_2011" localSheetId="4">Current2012!$W$7:$W$482</definedName>
    <definedName name="Date_Retailed_2011" localSheetId="5">Current2013!$W$7:$W$482</definedName>
    <definedName name="Date_Retailed_2011">Current2011!$W$7:$W$432</definedName>
    <definedName name="Date_Retailed_2012" localSheetId="5">Current2013!$W$7:$W$650</definedName>
    <definedName name="Date_Retailed_2012">Current2012!$W$7:$W$650</definedName>
    <definedName name="Date_Retailed_2013">Current2013!$W$7:$W$706</definedName>
    <definedName name="Date_Retailed2009">'2009 data'!$L$3:$L$384</definedName>
    <definedName name="dates2009">Tables!$AA$4:$AA$245</definedName>
    <definedName name="DBFender">Tables!$J$32:$J$33</definedName>
    <definedName name="Dealer">#REF!</definedName>
    <definedName name="Dealer_2011">#REF!</definedName>
    <definedName name="Dealer_2012">#REF!</definedName>
    <definedName name="Dealer_2013">#REF!</definedName>
    <definedName name="Dealer_names">[1]Tables!$W$15:$W$54</definedName>
    <definedName name="Dealer_Request_Date" localSheetId="3">Current2011!$L$7:$L$400</definedName>
    <definedName name="Dealer_Request_Date" localSheetId="4">Current2012!$L$7:$L$400</definedName>
    <definedName name="Dealer_Request_Date" localSheetId="5">Current2013!$L$7:$L$400</definedName>
    <definedName name="Dealer_Request_Date">Current2010!$L$7:$L$399</definedName>
    <definedName name="Dealer_Request_Date_2011" localSheetId="4">Current2012!$L$7:$L$482</definedName>
    <definedName name="Dealer_Request_Date_2011" localSheetId="5">Current2013!$L$7:$L$482</definedName>
    <definedName name="Dealer_Request_Date_2011">Current2011!$L$7:$L$432</definedName>
    <definedName name="Dealer_Request_Date_2012" localSheetId="5">Current2013!$L$7:$L$650</definedName>
    <definedName name="Dealer_Request_Date_2012">Current2012!$L$7:$L$650</definedName>
    <definedName name="Dealer_Request_Date_2013">Current2013!$L$7:$L$706</definedName>
    <definedName name="Dealer_Request_Date2009">'2009 data'!$B$3:$B$384</definedName>
    <definedName name="Dealer2009">#REF!</definedName>
    <definedName name="Dealers_Added">#REF!</definedName>
    <definedName name="Dealers_Sacked">#REF!</definedName>
    <definedName name="Due_Date" localSheetId="5">Current2013!$AE$7:$AE$600</definedName>
    <definedName name="Due_Date">Current2012!$AE$7:$AE$600</definedName>
    <definedName name="Eductor" localSheetId="3">Current2011!#REF!</definedName>
    <definedName name="Eductor" localSheetId="4">Current2012!#REF!</definedName>
    <definedName name="Eductor" localSheetId="5">Current2013!#REF!</definedName>
    <definedName name="Eductor">Current2010!#REF!</definedName>
    <definedName name="Engine" localSheetId="3">Current2011!#REF!</definedName>
    <definedName name="Engine" localSheetId="4">Current2012!#REF!</definedName>
    <definedName name="Engine" localSheetId="5">Current2013!#REF!</definedName>
    <definedName name="Engine">Current2010!#REF!</definedName>
    <definedName name="_xlnm.Extract" localSheetId="2">#REF!</definedName>
    <definedName name="_xlnm.Extract" localSheetId="3">#REF!</definedName>
    <definedName name="_xlnm.Extract" localSheetId="4">#REF!</definedName>
    <definedName name="_xlnm.Extract" localSheetId="5">#REF!</definedName>
    <definedName name="FA_Rest">Tables!$F$9:$F$10</definedName>
    <definedName name="FA1210_">Tables!$E$9</definedName>
    <definedName name="Fence">Tables!$O$16:$O$19</definedName>
    <definedName name="Fence_Row" localSheetId="3">Current2011!#REF!</definedName>
    <definedName name="Fence_Row" localSheetId="4">Current2012!#REF!</definedName>
    <definedName name="Fence_Row" localSheetId="5">Current2013!#REF!</definedName>
    <definedName name="Fence_Row">Current2010!#REF!</definedName>
    <definedName name="FFEND" localSheetId="3">Current2011!#REF!</definedName>
    <definedName name="FFEND" localSheetId="4">Current2012!#REF!</definedName>
    <definedName name="FFEND" localSheetId="5">Current2013!#REF!</definedName>
    <definedName name="FFEND">Current2010!#REF!</definedName>
    <definedName name="Ffender">Tables!$H$27:$H$29</definedName>
    <definedName name="Fill" localSheetId="3">Current2011!$C$7:$C$400</definedName>
    <definedName name="Fill" localSheetId="4">Current2012!$C$7:$C$400</definedName>
    <definedName name="Fill" localSheetId="5">Current2013!$C$7:$C$400</definedName>
    <definedName name="Fill">Current2010!$C$7:$C$399</definedName>
    <definedName name="Fill_2011" localSheetId="4">Current2012!$C$7:$C$482</definedName>
    <definedName name="Fill_2011" localSheetId="5">Current2013!$C$7:$C$482</definedName>
    <definedName name="Fill_2011">Current2011!$C$7:$C$432</definedName>
    <definedName name="Fill_2012" localSheetId="5">Current2013!$C$7:$C$650</definedName>
    <definedName name="Fill_2012">Current2012!$C$7:$C$650</definedName>
    <definedName name="Fill_2013">Current2013!$C$7:$C$706</definedName>
    <definedName name="Foam">Tables!$B$16:$B$18</definedName>
    <definedName name="Foam_Marker" localSheetId="3">Current2011!#REF!</definedName>
    <definedName name="Foam_Marker" localSheetId="4">Current2012!#REF!</definedName>
    <definedName name="Foam_Marker" localSheetId="5">Current2013!#REF!</definedName>
    <definedName name="Foam_Marker">Current2010!#REF!</definedName>
    <definedName name="Front_Axle" localSheetId="3">Current2011!#REF!</definedName>
    <definedName name="Front_Axle" localSheetId="4">Current2012!#REF!</definedName>
    <definedName name="Front_Axle" localSheetId="5">Current2013!#REF!</definedName>
    <definedName name="Front_Axle">Current2010!#REF!</definedName>
    <definedName name="Front_Tire">Tables!$D$27:$D$30</definedName>
    <definedName name="FT" localSheetId="3">Current2011!#REF!</definedName>
    <definedName name="FT" localSheetId="4">Current2012!#REF!</definedName>
    <definedName name="FT" localSheetId="5">Current2013!#REF!</definedName>
    <definedName name="FT">Current2010!#REF!</definedName>
    <definedName name="FWD_Gears" localSheetId="3">Current2011!#REF!</definedName>
    <definedName name="FWD_Gears" localSheetId="4">Current2012!#REF!</definedName>
    <definedName name="FWD_Gears" localSheetId="5">Current2013!#REF!</definedName>
    <definedName name="FWD_Gears">Current2010!#REF!</definedName>
    <definedName name="Holdover">'2009 data'!$AJ$4:$AJ$48</definedName>
    <definedName name="Holdover_Dealer2009">'2009 data'!$AG$4:$AG$47</definedName>
    <definedName name="Holdover_MY2012">#REF!</definedName>
    <definedName name="Holidays">#REF!</definedName>
    <definedName name="Hours_on_Demo" localSheetId="3">Current2011!$X$7:$X$400</definedName>
    <definedName name="Hours_on_Demo" localSheetId="4">Current2012!$X$7:$X$400</definedName>
    <definedName name="Hours_on_Demo" localSheetId="5">Current2013!$X$7:$X$400</definedName>
    <definedName name="Hours_on_Demo">Current2010!$W$7:$W$399</definedName>
    <definedName name="Hours_on_Demo_2011" localSheetId="4">Current2012!$X$7:$X$482</definedName>
    <definedName name="Hours_on_Demo_2011" localSheetId="5">Current2013!$X$7:$X$482</definedName>
    <definedName name="Hours_on_Demo_2011">Current2011!$X$7:$X$432</definedName>
    <definedName name="Hours_on_Demo_2012" localSheetId="5">Current2013!$X$7:$X$650</definedName>
    <definedName name="Hours_on_Demo_2012">Current2012!$X$7:$X$650</definedName>
    <definedName name="Hours_on_Demo_2013">Current2013!$X$7:$X$706</definedName>
    <definedName name="Hyd_Adjust" localSheetId="3">Current2011!#REF!</definedName>
    <definedName name="Hyd_Adjust" localSheetId="4">Current2012!#REF!</definedName>
    <definedName name="Hyd_Adjust" localSheetId="5">Current2013!#REF!</definedName>
    <definedName name="Hyd_Adjust">Current2010!#REF!</definedName>
    <definedName name="INV_2009_in_MY_2011">'2009 data'!#REF!</definedName>
    <definedName name="INV_2010_in_MY_2011">Current2010!$AA$7:$AA$399</definedName>
    <definedName name="INV_2011_in_MY_2011">Current2011!$AC$7:$AC$432</definedName>
    <definedName name="ISC_Deleted_3_16_09">Tables!$AD$5:$AD$13</definedName>
    <definedName name="Leftover2009">#REF!</definedName>
    <definedName name="Leftover2010">#REF!</definedName>
    <definedName name="Lightbar__Antennae" localSheetId="3">Current2011!#REF!</definedName>
    <definedName name="Lightbar__Antennae" localSheetId="4">Current2012!#REF!</definedName>
    <definedName name="Lightbar__Antennae" localSheetId="5">Current2013!#REF!</definedName>
    <definedName name="Lightbar__Antennae">Current2010!#REF!</definedName>
    <definedName name="Location" localSheetId="3">Current2011!$S$7:$S$400</definedName>
    <definedName name="Location" localSheetId="4">Current2012!$S$7:$S$400</definedName>
    <definedName name="Location" localSheetId="5">Current2013!$S$7:$S$400</definedName>
    <definedName name="Location">Current2010!$R$7:$R$399</definedName>
    <definedName name="Location_2011" localSheetId="4">Current2012!$S$7:$S$482</definedName>
    <definedName name="Location_2011" localSheetId="5">Current2013!$S$7:$S$482</definedName>
    <definedName name="Location_2011">Current2011!$S$7:$S$432</definedName>
    <definedName name="Location_2012" localSheetId="5">Current2013!$S$7:$S$650</definedName>
    <definedName name="Location_2012">Current2012!$S$7:$S$650</definedName>
    <definedName name="Location_2013">Current2013!$S$7:$S$706</definedName>
    <definedName name="Location2009">'2009 data'!$H$3:$H$384</definedName>
    <definedName name="LS_Cat" localSheetId="3">Current2011!#REF!</definedName>
    <definedName name="LS_Cat" localSheetId="4">Current2012!#REF!</definedName>
    <definedName name="LS_Cat" localSheetId="5">Current2013!#REF!</definedName>
    <definedName name="LS_Cat">Current2010!#REF!</definedName>
    <definedName name="Month_due">Tables!$AF$4:$AG$15</definedName>
    <definedName name="Monthly_Projections" localSheetId="3">Current2011!$B$7:$B$400</definedName>
    <definedName name="Monthly_Projections" localSheetId="4">Current2012!$B$7:$B$400</definedName>
    <definedName name="Monthly_Projections" localSheetId="5">Current2013!$B$7:$B$400</definedName>
    <definedName name="Monthly_Projections">Current2010!$B$7:$B$399</definedName>
    <definedName name="Monthly_Projections_2011" localSheetId="4">Current2012!$B$7:$B$482</definedName>
    <definedName name="Monthly_Projections_2011" localSheetId="5">Current2013!$B$7:$B$482</definedName>
    <definedName name="Monthly_Projections_2011">Current2011!$B$7:$B$432</definedName>
    <definedName name="Monthly_Projections_2012" localSheetId="5">Current2013!$B$7:$B$650</definedName>
    <definedName name="Monthly_Projections_2012">Current2012!$B$7:$B$650</definedName>
    <definedName name="Monthly_Projections_2013">Current2013!$B$7:$B$706</definedName>
    <definedName name="motor">Tables!$E$3:$F$5</definedName>
    <definedName name="MY_2009_Committed_as_of_August_2010">#REF!</definedName>
    <definedName name="MY_2011_Start">Tables!$Q$40</definedName>
    <definedName name="MY_2012_Dealers">#REF!</definedName>
    <definedName name="MY_2012_Start">Tables!$Q$43</definedName>
    <definedName name="MY_2013_Start">#REF!</definedName>
    <definedName name="MY2009_INV_August_2010">#REF!</definedName>
    <definedName name="NB" localSheetId="2">Current2010!#REF!</definedName>
    <definedName name="NB" localSheetId="3">Current2011!#REF!</definedName>
    <definedName name="NB" localSheetId="4">Current2012!#REF!</definedName>
    <definedName name="NB" localSheetId="5">Current2013!#REF!</definedName>
    <definedName name="NB">Tables!$B$21:$B$23</definedName>
    <definedName name="Net_Dealers">#REF!</definedName>
    <definedName name="new_2009_data">'2009 data'!$AA$3:$AC$393</definedName>
    <definedName name="New_2010_in_MY_2012">#REF!</definedName>
    <definedName name="New_2011_in_MY_2012">#REF!</definedName>
    <definedName name="New_2012_in_MY_2012">#REF!</definedName>
    <definedName name="new_order" localSheetId="3">Current2011!$J$7:$J$400</definedName>
    <definedName name="new_order" localSheetId="4">Current2012!$J$7:$J$400</definedName>
    <definedName name="new_order" localSheetId="5">Current2013!$J$7:$J$400</definedName>
    <definedName name="new_order">Current2010!$J$7:$J$399</definedName>
    <definedName name="new_order_2011" localSheetId="4">Current2012!$J$7:$J$482</definedName>
    <definedName name="new_order_2011" localSheetId="5">Current2013!$J$7:$J$482</definedName>
    <definedName name="new_order_2011">Current2011!$J$7:$J$482</definedName>
    <definedName name="new_order_2011_by_Month">Current2011!$J$7:$J$432</definedName>
    <definedName name="new_order_2012_by_Month" localSheetId="5">Current2013!$J$7:$J$650</definedName>
    <definedName name="new_order_2012_by_Month">Current2012!$J$7:$J$650</definedName>
    <definedName name="new_order_2013_by_Month">Current2013!$J$7:$J$706</definedName>
    <definedName name="No">Tables!$F$36</definedName>
    <definedName name="NotRep">Tables!$P$9:$P$18</definedName>
    <definedName name="Nozzle_Spacing" localSheetId="3">Current2011!#REF!</definedName>
    <definedName name="Nozzle_Spacing" localSheetId="4">Current2012!#REF!</definedName>
    <definedName name="Nozzle_Spacing" localSheetId="5">Current2013!#REF!</definedName>
    <definedName name="Nozzle_Spacing">Current2010!#REF!</definedName>
    <definedName name="On_Hand_MY2011">#REF!</definedName>
    <definedName name="On_Hand_MY2012">#REF!</definedName>
    <definedName name="On_Hand_MY2013">#REF!</definedName>
    <definedName name="OtherFT">Tables!$H$32:$H$34</definedName>
    <definedName name="out">'2009 data'!$U$3:$V$393</definedName>
    <definedName name="Out_of_QC_2009">'2009 data'!#REF!</definedName>
    <definedName name="Paid">#REF!</definedName>
    <definedName name="Paid_For__Date" localSheetId="3">Current2011!$Y$7:$Y$400</definedName>
    <definedName name="Paid_For__Date" localSheetId="4">Current2012!$Y$7:$Y$400</definedName>
    <definedName name="Paid_For__Date" localSheetId="5">Current2013!$Y$7:$Y$400</definedName>
    <definedName name="Paid_For__Date">Current2010!$X$7:$X$399</definedName>
    <definedName name="Paid_For__Date__2011" localSheetId="4">Current2012!$Y$7:$Y$482</definedName>
    <definedName name="Paid_For__Date__2011" localSheetId="5">Current2013!$Y$7:$Y$482</definedName>
    <definedName name="Paid_For__Date__2011">Current2011!$Y$7:$Y$432</definedName>
    <definedName name="Paid_For__Date__2012" localSheetId="5">Current2013!$Y$7:$Y$650</definedName>
    <definedName name="Paid_For__Date__2012">Current2012!$Y$7:$Y$650</definedName>
    <definedName name="Paid_For__Date__2013">Current2013!$Y$7:$Y$706</definedName>
    <definedName name="Paid_For__Date_2009">'2009 data'!$M$3:$M$384</definedName>
    <definedName name="pay_date">#REF!</definedName>
    <definedName name="pay_s_n">#REF!</definedName>
    <definedName name="Pickup" localSheetId="3">Current2011!#REF!</definedName>
    <definedName name="Pickup" localSheetId="4">Current2012!#REF!</definedName>
    <definedName name="Pickup" localSheetId="5">Current2013!#REF!</definedName>
    <definedName name="Pickup" localSheetId="0">Tables!$I$16:$I$19</definedName>
    <definedName name="Pickup">Current2010!#REF!</definedName>
    <definedName name="Pickup1">Tables!$I$16:$I$19</definedName>
    <definedName name="Plumb1">Tables!$C$39:$C$40</definedName>
    <definedName name="Plumb2">Tables!$D$39:$D$40</definedName>
    <definedName name="Plumbing">Tables!$B$34:$B$36</definedName>
    <definedName name="PO_Date" localSheetId="3">Current2011!$M$7:$M$400</definedName>
    <definedName name="PO_Date" localSheetId="4">Current2012!$M$7:$M$400</definedName>
    <definedName name="PO_Date" localSheetId="5">Current2013!$M$7:$M$400</definedName>
    <definedName name="PO_Date">Current2010!$M$7:$M$399</definedName>
    <definedName name="PO_Date_2011" localSheetId="4">Current2012!$M$7:$M$482</definedName>
    <definedName name="PO_Date_2011" localSheetId="5">Current2013!$M$7:$M$482</definedName>
    <definedName name="PO_Date_2011">Current2011!$M$7:$M$432</definedName>
    <definedName name="PO_Date_2012" localSheetId="5">Current2013!$M$7:$M$650</definedName>
    <definedName name="PO_Date_2012">Current2012!$M$7:$M$650</definedName>
    <definedName name="PO_Date_2013">Current2013!$M$7:$M$706</definedName>
    <definedName name="PO_Date2009">'2009 data'!$C$3:$C$384</definedName>
    <definedName name="PO_Dates2009">'2009 data'!$X$3:$Y$398</definedName>
    <definedName name="_xlnm.Print_Area" localSheetId="2">Current2010!$A$6:$X$390</definedName>
    <definedName name="_xlnm.Print_Area" localSheetId="3">Current2011!$A$6:$Y$390</definedName>
    <definedName name="_xlnm.Print_Area" localSheetId="4">Current2012!$A$6:$Y$390</definedName>
    <definedName name="_xlnm.Print_Area" localSheetId="5">Current2013!$A$6:$Y$390</definedName>
    <definedName name="_xlnm.Print_Titles" localSheetId="2">Current2010!$6:$6</definedName>
    <definedName name="_xlnm.Print_Titles" localSheetId="3">Current2011!$6:$6</definedName>
    <definedName name="_xlnm.Print_Titles" localSheetId="4">Current2012!$6:$6</definedName>
    <definedName name="_xlnm.Print_Titles" localSheetId="5">Current2013!$6:$6</definedName>
    <definedName name="Prior_Year_Commited_2011_YTD">#REF!</definedName>
    <definedName name="Prior_Year_Commited_2012_YTD">#REF!</definedName>
    <definedName name="Prior_Year_Weekly_Committed_2010">#REF!</definedName>
    <definedName name="Prior_Year_Weekly_Committed_2011">#REF!</definedName>
    <definedName name="Prior_Year_Weekly_Committed_2012">#REF!</definedName>
    <definedName name="Prior_Year_YTD_Committed_2009">#REF!</definedName>
    <definedName name="Prior_Year_YTD_Committed_2010">#REF!</definedName>
    <definedName name="production">Tables!$T$15:$T$29</definedName>
    <definedName name="Production_Completion_date" localSheetId="3">Current2011!$E$7:$E$400</definedName>
    <definedName name="Production_Completion_date" localSheetId="4">Current2012!$E$7:$E$400</definedName>
    <definedName name="Production_Completion_date" localSheetId="5">Current2013!$E$7:$E$400</definedName>
    <definedName name="Production_Completion_date">Current2010!$E$7:$E$399</definedName>
    <definedName name="Production_Completion_date_2011" localSheetId="4">Current2012!$E$7:$E$482</definedName>
    <definedName name="Production_Completion_date_2011" localSheetId="5">Current2013!$E$7:$E$482</definedName>
    <definedName name="Production_Completion_date_2011">Current2011!$E$7:$E$432</definedName>
    <definedName name="Production_Completion_date_2012" localSheetId="5">Current2013!$E$7:$E$650</definedName>
    <definedName name="Production_Completion_date_2012">Current2012!$E$7:$E$650</definedName>
    <definedName name="Production_Completion_date_2013">Current2013!$E$7:$E$706</definedName>
    <definedName name="Projected_Retail_Date" localSheetId="5">Current2013!$AD$7:$AD$650</definedName>
    <definedName name="Projected_Retail_Date">Current2012!$AD$7:$AD$650</definedName>
    <definedName name="Raven_Control" localSheetId="3">Current2011!#REF!</definedName>
    <definedName name="Raven_Control" localSheetId="4">Current2012!#REF!</definedName>
    <definedName name="Raven_Control" localSheetId="5">Current2013!#REF!</definedName>
    <definedName name="Raven_Control">Current2010!#REF!</definedName>
    <definedName name="rear">Tables!$B$2:$B$6</definedName>
    <definedName name="Rear_ratio" localSheetId="3">Current2011!#REF!</definedName>
    <definedName name="Rear_ratio" localSheetId="4">Current2012!#REF!</definedName>
    <definedName name="Rear_ratio" localSheetId="5">Current2013!#REF!</definedName>
    <definedName name="Rear_ratio">Current2010!#REF!</definedName>
    <definedName name="Rear_Tire">Tables!$F$27:$F$32</definedName>
    <definedName name="rep" localSheetId="3">Current2011!$K$7:$K$400</definedName>
    <definedName name="rep" localSheetId="4">Current2012!$K$7:$K$400</definedName>
    <definedName name="rep" localSheetId="5">Current2013!$K$7:$K$400</definedName>
    <definedName name="rep">Current2010!$K$7:$K$399</definedName>
    <definedName name="rep_2011" localSheetId="4">Current2012!$K$7:$K$482</definedName>
    <definedName name="rep_2011" localSheetId="5">Current2013!$K$7:$K$482</definedName>
    <definedName name="rep_2011">Current2011!$K$7:$K$432</definedName>
    <definedName name="rep_2012" localSheetId="5">Current2013!$K$7:$K$650</definedName>
    <definedName name="rep_2012">Current2012!$K$7:$K$650</definedName>
    <definedName name="rep_2013">Current2013!$K$7:$K$706</definedName>
    <definedName name="rep_update">#REF!</definedName>
    <definedName name="Retailed" localSheetId="3">Current2011!$V$7:$V$400</definedName>
    <definedName name="Retailed" localSheetId="4">Current2012!$V$7:$V$400</definedName>
    <definedName name="Retailed" localSheetId="5">Current2013!$V$7:$V$400</definedName>
    <definedName name="Retailed">Current2010!$U$7:$U$399</definedName>
    <definedName name="Retailed_2011" localSheetId="4">Current2012!$V$7:$V$482</definedName>
    <definedName name="Retailed_2011" localSheetId="5">Current2013!$V$7:$V$482</definedName>
    <definedName name="Retailed_2011">Current2011!$V$7:$V$432</definedName>
    <definedName name="Retailed_2012" localSheetId="5">Current2013!$V$7:$V$650</definedName>
    <definedName name="Retailed_2012">Current2012!$V$7:$V$650</definedName>
    <definedName name="Retailed_2013">Current2013!$V$7:$V$706</definedName>
    <definedName name="Retailed2009">'2009 data'!$K$3:$K$384</definedName>
    <definedName name="RFEND" localSheetId="3">Current2011!#REF!</definedName>
    <definedName name="RFEND" localSheetId="4">Current2012!#REF!</definedName>
    <definedName name="RFEND" localSheetId="5">Current2013!#REF!</definedName>
    <definedName name="Rfend" localSheetId="0">Tables!$J$27:$J$29</definedName>
    <definedName name="RFEND">Current2010!#REF!</definedName>
    <definedName name="Rfender">Tables!$J$27:$J$29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</definedName>
    <definedName name="RiskNumSimulations" hidden="1">7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ota_Flush" localSheetId="3">Current2011!#REF!</definedName>
    <definedName name="Rota_Flush" localSheetId="4">Current2012!#REF!</definedName>
    <definedName name="Rota_Flush" localSheetId="5">Current2013!#REF!</definedName>
    <definedName name="Rota_Flush">Current2010!#REF!</definedName>
    <definedName name="RT" localSheetId="3">Current2011!#REF!</definedName>
    <definedName name="RT" localSheetId="4">Current2012!#REF!</definedName>
    <definedName name="RT" localSheetId="5">Current2013!#REF!</definedName>
    <definedName name="RT">Current2010!#REF!</definedName>
    <definedName name="Salesman" localSheetId="5">Current2013!$AC$7:$AC$650</definedName>
    <definedName name="Salesman">Current2012!$AC$7:$AC$650</definedName>
    <definedName name="SalesRep">Tables!$Q$9:$Q$18</definedName>
    <definedName name="Scheduled_Completion_Date_Production" localSheetId="3">Current2011!#REF!</definedName>
    <definedName name="Scheduled_Completion_Date_Production" localSheetId="4">Current2012!#REF!</definedName>
    <definedName name="Scheduled_Completion_Date_Production" localSheetId="5">Current2013!#REF!</definedName>
    <definedName name="Scheduled_Completion_Date_Production">Current2010!#REF!</definedName>
    <definedName name="Serial" localSheetId="3">Current2011!$O$7:$O$400</definedName>
    <definedName name="Serial" localSheetId="4">Current2012!$O$7:$O$400</definedName>
    <definedName name="Serial" localSheetId="5">Current2013!$O$7:$O$400</definedName>
    <definedName name="Serial">Current2010!$O$7:$O$399</definedName>
    <definedName name="Serial___2011" localSheetId="4">Current2012!$O$7:$O$482</definedName>
    <definedName name="Serial___2011" localSheetId="5">Current2013!$O$7:$O$482</definedName>
    <definedName name="Serial___2011">Current2011!$O$7:$O$432</definedName>
    <definedName name="Serial___2012" localSheetId="5">Current2013!$O$7:$O$650</definedName>
    <definedName name="Serial___2012">Current2012!$O$7:$O$650</definedName>
    <definedName name="Serial___2013">Current2013!$O$7:$O$706</definedName>
    <definedName name="Serial__2009">'2009 data'!$E$3:$E$384</definedName>
    <definedName name="Serial2009">[2]Sheet1!$O$2:$O$390</definedName>
    <definedName name="Series" localSheetId="3">Current2011!$P$7:$P$400</definedName>
    <definedName name="Series" localSheetId="4">Current2012!$P$7:$P$400</definedName>
    <definedName name="Series" localSheetId="5">Current2013!$P$7:$P$400</definedName>
    <definedName name="series" localSheetId="0">Tables!$E$3:$E$5</definedName>
    <definedName name="Series">Current2010!$P$7:$P$399</definedName>
    <definedName name="Series_2011" localSheetId="4">Current2012!$P$7:$P$482</definedName>
    <definedName name="Series_2011" localSheetId="5">Current2013!$P$7:$P$482</definedName>
    <definedName name="Series_2011">Current2011!$P$7:$P$432</definedName>
    <definedName name="Series_2012" localSheetId="5">Current2013!$P$7:$P$650</definedName>
    <definedName name="Series_2012">Current2012!$P$7:$P$650</definedName>
    <definedName name="Series_2013">Current2013!$P$7:$P$706</definedName>
    <definedName name="series1">Tables!$E$3:$E$5</definedName>
    <definedName name="Series2009">'2009 data'!$F$3:$F$384</definedName>
    <definedName name="Sold_2011_YTD">#REF!</definedName>
    <definedName name="Sold_to" localSheetId="3">Current2011!$N$7:$N$400</definedName>
    <definedName name="Sold_to" localSheetId="4">Current2012!$N$7:$N$400</definedName>
    <definedName name="Sold_to" localSheetId="5">Current2013!$N$7:$N$400</definedName>
    <definedName name="Sold_to">Current2010!$N$7:$N$399</definedName>
    <definedName name="Sold_to_2011" localSheetId="4">Current2012!$N$7:$N$482</definedName>
    <definedName name="Sold_to_2011" localSheetId="5">Current2013!$N$7:$N$482</definedName>
    <definedName name="Sold_to_2011">Current2011!$N$7:$N$432</definedName>
    <definedName name="Sold_to_2012" localSheetId="5">Current2013!$N$7:$N$650</definedName>
    <definedName name="Sold_to_2012">Current2012!$N$7:$N$650</definedName>
    <definedName name="Sold_to_2013">Current2013!$N$7:$N$706</definedName>
    <definedName name="Sold_to2009">'2009 data'!$D$3:$D$384</definedName>
    <definedName name="Spacing">Tables!$N$27:$N$29</definedName>
    <definedName name="Special_Plumbing" localSheetId="3">Current2011!#REF!</definedName>
    <definedName name="Special_Plumbing" localSheetId="4">Current2012!#REF!</definedName>
    <definedName name="Special_Plumbing" localSheetId="5">Current2013!#REF!</definedName>
    <definedName name="Special_Plumbing">Current2010!#REF!</definedName>
    <definedName name="Special_Plumbing__8_10_sec_boom" localSheetId="3">Current2011!#REF!</definedName>
    <definedName name="Special_Plumbing__8_10_sec_boom" localSheetId="4">Current2012!#REF!</definedName>
    <definedName name="Special_Plumbing__8_10_sec_boom" localSheetId="5">Current2013!#REF!</definedName>
    <definedName name="Special_Plumbing__8_10_sec_boom">Current2010!#REF!</definedName>
    <definedName name="SS_TANK" localSheetId="3">Current2011!#REF!</definedName>
    <definedName name="SS_TANK" localSheetId="4">Current2012!#REF!</definedName>
    <definedName name="SS_TANK" localSheetId="5">Current2013!#REF!</definedName>
    <definedName name="SS_TANK">Current2010!#REF!</definedName>
    <definedName name="Status" localSheetId="3">Current2011!$F$7:$F$400</definedName>
    <definedName name="Status" localSheetId="4">Current2012!$F$7:$F$400</definedName>
    <definedName name="Status" localSheetId="5">Current2013!$F$7:$F$400</definedName>
    <definedName name="Status" localSheetId="0">Tables!$M$38:$M$41</definedName>
    <definedName name="Status">Current2010!$F$7:$F$399</definedName>
    <definedName name="Status_2011" localSheetId="4">Current2012!$F$7:$F$482</definedName>
    <definedName name="Status_2011" localSheetId="5">Current2013!$F$7:$F$482</definedName>
    <definedName name="Status_2011">Current2011!$F$7:$F$432</definedName>
    <definedName name="Status_2012" localSheetId="5">Current2013!$F$7:$F$650</definedName>
    <definedName name="Status_2012">Current2012!$F$7:$F$650</definedName>
    <definedName name="Status_2013">Current2013!$F$7:$F$706</definedName>
    <definedName name="Status1">Tables!$M$38:$M$47</definedName>
    <definedName name="Tank_Size" localSheetId="3">Current2011!#REF!</definedName>
    <definedName name="Tank_Size" localSheetId="4">Current2012!#REF!</definedName>
    <definedName name="Tank_Size" localSheetId="5">Current2013!#REF!</definedName>
    <definedName name="Tank_Size">Current2010!#REF!</definedName>
    <definedName name="Tank1010">Tables!$E$21:$E$22</definedName>
    <definedName name="Tank1210">Tables!$F$21</definedName>
    <definedName name="Tank715">Tables!$D$21</definedName>
    <definedName name="To_Build_2012">Current2012!$AA$2</definedName>
    <definedName name="To_Build_2013">Current2013!$AA$3</definedName>
    <definedName name="Total_Orders_2009_MY">#REF!</definedName>
    <definedName name="Total_Orders_2010_MY">#REF!</definedName>
    <definedName name="Total_Orders_2011_MY">#REF!</definedName>
    <definedName name="Total_Orders_2012_MY">#REF!</definedName>
    <definedName name="Total_Orders_2013_MY">#REF!</definedName>
    <definedName name="Total2009_Sprayers">#REF!</definedName>
    <definedName name="trans_1010">Tables!$I$3:$I$4</definedName>
    <definedName name="trans_1210">Tables!$J$3</definedName>
    <definedName name="trans_715">Tables!$H$3</definedName>
    <definedName name="Transmission" localSheetId="3">Current2011!#REF!</definedName>
    <definedName name="Transmission" localSheetId="4">Current2012!#REF!</definedName>
    <definedName name="Transmission" localSheetId="5">Current2013!#REF!</definedName>
    <definedName name="Transmission">Current2010!#REF!</definedName>
    <definedName name="TStatus" localSheetId="3">Current2011!$AA$7:$AA$400</definedName>
    <definedName name="TStatus" localSheetId="4">Current2012!$AA$7:$AA$400</definedName>
    <definedName name="TStatus" localSheetId="5">Current2013!$AA$7:$AA$400</definedName>
    <definedName name="TStatus">Current2010!$Z$7:$Z$399</definedName>
    <definedName name="TStatus_2011" localSheetId="4">Current2012!$AA$7:$AA$482</definedName>
    <definedName name="TStatus_2011" localSheetId="5">Current2013!$AA$7:$AA$482</definedName>
    <definedName name="TStatus_2011">Current2011!$AA$7:$AA$432</definedName>
    <definedName name="TStatus_2012" localSheetId="5">Current2013!$AA$7:$AA$650</definedName>
    <definedName name="TStatus_2012">Current2012!$AA$7:$AA$650</definedName>
    <definedName name="TStatus_2013">Current2013!$AA$7:$AA$706</definedName>
    <definedName name="Unit" localSheetId="3">Current2011!$H$7:$H$400</definedName>
    <definedName name="Unit" localSheetId="4">Current2012!$H$7:$H$400</definedName>
    <definedName name="Unit" localSheetId="5">Current2013!$H$7:$H$400</definedName>
    <definedName name="Unit">Current2010!$H$7:$H$399</definedName>
    <definedName name="Unit_2011" localSheetId="4">Current2012!$H$7:$H$482</definedName>
    <definedName name="Unit_2011" localSheetId="5">Current2013!$H$7:$H$482</definedName>
    <definedName name="Unit_2011">Current2011!$H$7:$H$432</definedName>
    <definedName name="Unit_2012" localSheetId="5">Current2013!$H$7:$H$650</definedName>
    <definedName name="Unit_2012">Current2012!$H$7:$H$650</definedName>
    <definedName name="Unit_2013">Current2013!$H$7:$H$706</definedName>
    <definedName name="Weekly_Committed_2009">#REF!</definedName>
    <definedName name="Weekly_Committed_2009_in_MY2011">#REF!</definedName>
    <definedName name="Weekly_Committed_2010">#REF!</definedName>
    <definedName name="Weekly_Committed_2011">#REF!</definedName>
    <definedName name="Weekly_Committed_2012">#REF!</definedName>
    <definedName name="Weekly_Committed_2013">#REF!</definedName>
    <definedName name="WIDTH">Tables!$H$9:$H$14</definedName>
    <definedName name="Width1210">Tables!$I$9:$I$10</definedName>
    <definedName name="WORK_LIGHTS" localSheetId="3">Current2011!#REF!</definedName>
    <definedName name="WORK_LIGHTS" localSheetId="4">Current2012!#REF!</definedName>
    <definedName name="WORK_LIGHTS" localSheetId="5">Current2013!#REF!</definedName>
    <definedName name="WORK_LIGHTS">Current2010!#REF!</definedName>
    <definedName name="Yes">Tables!$E$36</definedName>
    <definedName name="Yes_No">Tables!$F$16:$F$17</definedName>
  </definedNames>
  <calcPr calcId="171027"/>
</workbook>
</file>

<file path=xl/calcChain.xml><?xml version="1.0" encoding="utf-8"?>
<calcChain xmlns="http://schemas.openxmlformats.org/spreadsheetml/2006/main">
  <c r="N3" i="33" l="1"/>
  <c r="N4" i="33"/>
  <c r="N5" i="33"/>
  <c r="N6" i="33"/>
  <c r="N7" i="33"/>
  <c r="N8" i="33"/>
  <c r="N9" i="33"/>
  <c r="N10" i="33"/>
  <c r="N11" i="33"/>
  <c r="N12" i="33"/>
  <c r="N13" i="33"/>
  <c r="N14" i="33"/>
  <c r="N15" i="33"/>
  <c r="N16" i="33"/>
  <c r="N17" i="33"/>
  <c r="N18" i="33"/>
  <c r="N19" i="33"/>
  <c r="N20" i="33"/>
  <c r="N21" i="33"/>
  <c r="N22" i="33"/>
  <c r="N23" i="33"/>
  <c r="N24" i="33"/>
  <c r="N25" i="33"/>
  <c r="N26" i="33"/>
  <c r="N27" i="33"/>
  <c r="N28" i="33"/>
  <c r="N29" i="33"/>
  <c r="N30" i="33"/>
  <c r="N31" i="33"/>
  <c r="N32" i="33"/>
  <c r="N33" i="33"/>
  <c r="N34" i="33"/>
  <c r="N35" i="33"/>
  <c r="N36" i="33"/>
  <c r="N37" i="33"/>
  <c r="N38" i="33"/>
  <c r="N39" i="33"/>
  <c r="N40" i="33"/>
  <c r="N41" i="33"/>
  <c r="N42" i="33"/>
  <c r="N43" i="33"/>
  <c r="N44" i="33"/>
  <c r="N45" i="33"/>
  <c r="N46" i="33"/>
  <c r="N47" i="33"/>
  <c r="N48" i="33"/>
  <c r="N49" i="33"/>
  <c r="N50" i="33"/>
  <c r="N51" i="33"/>
  <c r="N52" i="33"/>
  <c r="N53" i="33"/>
  <c r="N54" i="33"/>
  <c r="N55" i="33"/>
  <c r="N56" i="33"/>
  <c r="N57" i="33"/>
  <c r="N58" i="33"/>
  <c r="N59" i="33"/>
  <c r="N60" i="33"/>
  <c r="N61" i="33"/>
  <c r="N62" i="33"/>
  <c r="N63" i="33"/>
  <c r="N64" i="33"/>
  <c r="N65" i="33"/>
  <c r="N66" i="33"/>
  <c r="N67" i="33"/>
  <c r="N68" i="33"/>
  <c r="N69" i="33"/>
  <c r="N70" i="33"/>
  <c r="N71" i="33"/>
  <c r="N72" i="33"/>
  <c r="N73" i="33"/>
  <c r="N74" i="33"/>
  <c r="N75" i="33"/>
  <c r="N76" i="33"/>
  <c r="N77" i="33"/>
  <c r="N78" i="33"/>
  <c r="N79" i="33"/>
  <c r="N80" i="33"/>
  <c r="N81" i="33"/>
  <c r="N82" i="33"/>
  <c r="N83" i="33"/>
  <c r="N84" i="33"/>
  <c r="N85" i="33"/>
  <c r="N86" i="33"/>
  <c r="N87" i="33"/>
  <c r="N88" i="33"/>
  <c r="N89" i="33"/>
  <c r="N90" i="33"/>
  <c r="N91" i="33"/>
  <c r="N92" i="33"/>
  <c r="N93" i="33"/>
  <c r="N94" i="33"/>
  <c r="N95" i="33"/>
  <c r="N96" i="33"/>
  <c r="N97" i="33"/>
  <c r="N98" i="33"/>
  <c r="N99" i="33"/>
  <c r="N100" i="33"/>
  <c r="N101" i="33"/>
  <c r="N102" i="33"/>
  <c r="N103" i="33"/>
  <c r="N104" i="33"/>
  <c r="N105" i="33"/>
  <c r="N106" i="33"/>
  <c r="N107" i="33"/>
  <c r="N108" i="33"/>
  <c r="N109" i="33"/>
  <c r="N110" i="33"/>
  <c r="N111" i="33"/>
  <c r="N112" i="33"/>
  <c r="N113" i="33"/>
  <c r="N114" i="33"/>
  <c r="N115" i="33"/>
  <c r="N116" i="33"/>
  <c r="N117" i="33"/>
  <c r="N118" i="33"/>
  <c r="N119" i="33"/>
  <c r="N120" i="33"/>
  <c r="N121" i="33"/>
  <c r="N122" i="33"/>
  <c r="N123" i="33"/>
  <c r="N124" i="33"/>
  <c r="N125" i="33"/>
  <c r="N126" i="33"/>
  <c r="N127" i="33"/>
  <c r="N128" i="33"/>
  <c r="N129" i="33"/>
  <c r="N130" i="33"/>
  <c r="N131" i="33"/>
  <c r="N132" i="33"/>
  <c r="N133" i="33"/>
  <c r="N134" i="33"/>
  <c r="N135" i="33"/>
  <c r="N136" i="33"/>
  <c r="N137" i="33"/>
  <c r="N138" i="33"/>
  <c r="N139" i="33"/>
  <c r="N140" i="33"/>
  <c r="N141" i="33"/>
  <c r="N142" i="33"/>
  <c r="N143" i="33"/>
  <c r="N144" i="33"/>
  <c r="N145" i="33"/>
  <c r="N146" i="33"/>
  <c r="N147" i="33"/>
  <c r="N148" i="33"/>
  <c r="N149" i="33"/>
  <c r="N150" i="33"/>
  <c r="N151" i="33"/>
  <c r="N152" i="33"/>
  <c r="N153" i="33"/>
  <c r="N154" i="33"/>
  <c r="N155" i="33"/>
  <c r="N156" i="33"/>
  <c r="N157" i="33"/>
  <c r="N158" i="33"/>
  <c r="N159" i="33"/>
  <c r="N160" i="33"/>
  <c r="N161" i="33"/>
  <c r="N162" i="33"/>
  <c r="N163" i="33"/>
  <c r="N164" i="33"/>
  <c r="N165" i="33"/>
  <c r="N166" i="33"/>
  <c r="N167" i="33"/>
  <c r="N168" i="33"/>
  <c r="N169" i="33"/>
  <c r="N170" i="33"/>
  <c r="N171" i="33"/>
  <c r="N172" i="33"/>
  <c r="N173" i="33"/>
  <c r="N174" i="33"/>
  <c r="N175" i="33"/>
  <c r="N176" i="33"/>
  <c r="N177" i="33"/>
  <c r="N178" i="33"/>
  <c r="N179" i="33"/>
  <c r="N180" i="33"/>
  <c r="N181" i="33"/>
  <c r="N182" i="33"/>
  <c r="N183" i="33"/>
  <c r="N184" i="33"/>
  <c r="N185" i="33"/>
  <c r="N186" i="33"/>
  <c r="N187" i="33"/>
  <c r="N188" i="33"/>
  <c r="N189" i="33"/>
  <c r="N190" i="33"/>
  <c r="N191" i="33"/>
  <c r="N192" i="33"/>
  <c r="N193" i="33"/>
  <c r="N194" i="33"/>
  <c r="N195" i="33"/>
  <c r="N196" i="33"/>
  <c r="N197" i="33"/>
  <c r="N198" i="33"/>
  <c r="N199" i="33"/>
  <c r="N200" i="33"/>
  <c r="N201" i="33"/>
  <c r="N202" i="33"/>
  <c r="N203" i="33"/>
  <c r="N204" i="33"/>
  <c r="N205" i="33"/>
  <c r="N206" i="33"/>
  <c r="N207" i="33"/>
  <c r="N208" i="33"/>
  <c r="N209" i="33"/>
  <c r="N210" i="33"/>
  <c r="N211" i="33"/>
  <c r="N212" i="33"/>
  <c r="N213" i="33"/>
  <c r="N214" i="33"/>
  <c r="N215" i="33"/>
  <c r="N216" i="33"/>
  <c r="N217" i="33"/>
  <c r="N218" i="33"/>
  <c r="N219" i="33"/>
  <c r="N220" i="33"/>
  <c r="N221" i="33"/>
  <c r="N222" i="33"/>
  <c r="N223" i="33"/>
  <c r="N224" i="33"/>
  <c r="N225" i="33"/>
  <c r="N226" i="33"/>
  <c r="N227" i="33"/>
  <c r="N228" i="33"/>
  <c r="N229" i="33"/>
  <c r="N230" i="33"/>
  <c r="N231" i="33"/>
  <c r="N232" i="33"/>
  <c r="N233" i="33"/>
  <c r="N234" i="33"/>
  <c r="N235" i="33"/>
  <c r="N236" i="33"/>
  <c r="N237" i="33"/>
  <c r="N238" i="33"/>
  <c r="N239" i="33"/>
  <c r="N240" i="33"/>
  <c r="N241" i="33"/>
  <c r="N242" i="33"/>
  <c r="N243" i="33"/>
  <c r="N244" i="33"/>
  <c r="N245" i="33"/>
  <c r="N246" i="33"/>
  <c r="N247" i="33"/>
  <c r="N248" i="33"/>
  <c r="N249" i="33"/>
  <c r="N250" i="33"/>
  <c r="N251" i="33"/>
  <c r="N252" i="33"/>
  <c r="N253" i="33"/>
  <c r="N254" i="33"/>
  <c r="N255" i="33"/>
  <c r="N256" i="33"/>
  <c r="N257" i="33"/>
  <c r="N258" i="33"/>
  <c r="N259" i="33"/>
  <c r="N260" i="33"/>
  <c r="N261" i="33"/>
  <c r="N262" i="33"/>
  <c r="N263" i="33"/>
  <c r="N264" i="33"/>
  <c r="N265" i="33"/>
  <c r="N266" i="33"/>
  <c r="N267" i="33"/>
  <c r="N268" i="33"/>
  <c r="N269" i="33"/>
  <c r="N270" i="33"/>
  <c r="N271" i="33"/>
  <c r="N272" i="33"/>
  <c r="N273" i="33"/>
  <c r="N274" i="33"/>
  <c r="N275" i="33"/>
  <c r="N276" i="33"/>
  <c r="N277" i="33"/>
  <c r="N278" i="33"/>
  <c r="N279" i="33"/>
  <c r="N280" i="33"/>
  <c r="N281" i="33"/>
  <c r="N282" i="33"/>
  <c r="N283" i="33"/>
  <c r="N284" i="33"/>
  <c r="N285" i="33"/>
  <c r="N286" i="33"/>
  <c r="N287" i="33"/>
  <c r="N288" i="33"/>
  <c r="N289" i="33"/>
  <c r="N290" i="33"/>
  <c r="N291" i="33"/>
  <c r="N292" i="33"/>
  <c r="N293" i="33"/>
  <c r="N294" i="33"/>
  <c r="N295" i="33"/>
  <c r="N296" i="33"/>
  <c r="N297" i="33"/>
  <c r="N298" i="33"/>
  <c r="N299" i="33"/>
  <c r="N300" i="33"/>
  <c r="N301" i="33"/>
  <c r="N302" i="33"/>
  <c r="N303" i="33"/>
  <c r="N304" i="33"/>
  <c r="N305" i="33"/>
  <c r="N306" i="33"/>
  <c r="N307" i="33"/>
  <c r="N308" i="33"/>
  <c r="N309" i="33"/>
  <c r="N310" i="33"/>
  <c r="N311" i="33"/>
  <c r="N312" i="33"/>
  <c r="N313" i="33"/>
  <c r="N314" i="33"/>
  <c r="N315" i="33"/>
  <c r="N316" i="33"/>
  <c r="N317" i="33"/>
  <c r="N318" i="33"/>
  <c r="N319" i="33"/>
  <c r="N320" i="33"/>
  <c r="N321" i="33"/>
  <c r="N322" i="33"/>
  <c r="N323" i="33"/>
  <c r="N324" i="33"/>
  <c r="N325" i="33"/>
  <c r="N326" i="33"/>
  <c r="N327" i="33"/>
  <c r="N328" i="33"/>
  <c r="N329" i="33"/>
  <c r="N330" i="33"/>
  <c r="N331" i="33"/>
  <c r="N332" i="33"/>
  <c r="N333" i="33"/>
  <c r="N334" i="33"/>
  <c r="N335" i="33"/>
  <c r="N336" i="33"/>
  <c r="N337" i="33"/>
  <c r="N338" i="33"/>
  <c r="N339" i="33"/>
  <c r="N340" i="33"/>
  <c r="N341" i="33"/>
  <c r="N342" i="33"/>
  <c r="N343" i="33"/>
  <c r="N344" i="33"/>
  <c r="N345" i="33"/>
  <c r="N346" i="33"/>
  <c r="N347" i="33"/>
  <c r="N348" i="33"/>
  <c r="N349" i="33"/>
  <c r="N350" i="33"/>
  <c r="N351" i="33"/>
  <c r="N352" i="33"/>
  <c r="N353" i="33"/>
  <c r="N354" i="33"/>
  <c r="N355" i="33"/>
  <c r="N356" i="33"/>
  <c r="N357" i="33"/>
  <c r="N358" i="33"/>
  <c r="N359" i="33"/>
  <c r="N360" i="33"/>
  <c r="N361" i="33"/>
  <c r="N362" i="33"/>
  <c r="N363" i="33"/>
  <c r="N364" i="33"/>
  <c r="N365" i="33"/>
  <c r="N366" i="33"/>
  <c r="N367" i="33"/>
  <c r="N368" i="33"/>
  <c r="N369" i="33"/>
  <c r="N370" i="33"/>
  <c r="N371" i="33"/>
  <c r="N372" i="33"/>
  <c r="N373" i="33"/>
  <c r="N374" i="33"/>
  <c r="N375" i="33"/>
  <c r="N376" i="33"/>
  <c r="N377" i="33"/>
  <c r="N378" i="33"/>
  <c r="N379" i="33"/>
  <c r="N380" i="33"/>
  <c r="N381" i="33"/>
  <c r="N382" i="33"/>
  <c r="P10" i="20" l="1"/>
  <c r="P11" i="20"/>
  <c r="P12" i="20"/>
  <c r="P13" i="20"/>
  <c r="P14" i="20"/>
  <c r="P15" i="20"/>
  <c r="P16" i="20"/>
  <c r="P17" i="20"/>
  <c r="P18" i="20"/>
  <c r="P9" i="20"/>
  <c r="AG40" i="1" a="1"/>
  <c r="AG40" i="1" s="1"/>
  <c r="AH40" i="1" a="1"/>
  <c r="AH40" i="1" s="1"/>
  <c r="AG41" i="1" a="1"/>
  <c r="AG41" i="1" s="1"/>
  <c r="AH41" i="1" a="1"/>
  <c r="AH41" i="1" s="1"/>
  <c r="AG42" i="1" a="1"/>
  <c r="AG42" i="1" s="1"/>
  <c r="AH42" i="1" a="1"/>
  <c r="AH42" i="1" s="1"/>
  <c r="AG43" i="1" a="1"/>
  <c r="AG43" i="1" s="1"/>
  <c r="AH43" i="1" a="1"/>
  <c r="AH43" i="1" s="1"/>
  <c r="AG44" i="1" a="1"/>
  <c r="AG44" i="1" s="1"/>
  <c r="AH44" i="1" a="1"/>
  <c r="AH44" i="1" s="1"/>
  <c r="AH8" i="1" a="1"/>
  <c r="AH8" i="1" s="1"/>
  <c r="AH9" i="1" a="1"/>
  <c r="AH9" i="1" s="1"/>
  <c r="AH10" i="1" a="1"/>
  <c r="AH10" i="1" s="1"/>
  <c r="AH11" i="1" a="1"/>
  <c r="AH11" i="1" s="1"/>
  <c r="AH12" i="1" a="1"/>
  <c r="AH12" i="1" s="1"/>
  <c r="AH13" i="1" a="1"/>
  <c r="AH13" i="1" s="1"/>
  <c r="AH14" i="1" a="1"/>
  <c r="AH14" i="1" s="1"/>
  <c r="AH15" i="1" a="1"/>
  <c r="AH15" i="1" s="1"/>
  <c r="AH16" i="1" a="1"/>
  <c r="AH16" i="1" s="1"/>
  <c r="AH17" i="1" a="1"/>
  <c r="AH17" i="1" s="1"/>
  <c r="AH18" i="1" a="1"/>
  <c r="AH18" i="1" s="1"/>
  <c r="AH19" i="1" a="1"/>
  <c r="AH19" i="1" s="1"/>
  <c r="AH20" i="1" a="1"/>
  <c r="AH20" i="1" s="1"/>
  <c r="AH21" i="1" a="1"/>
  <c r="AH21" i="1" s="1"/>
  <c r="AH22" i="1" a="1"/>
  <c r="AH22" i="1" s="1"/>
  <c r="AH23" i="1" a="1"/>
  <c r="AH23" i="1" s="1"/>
  <c r="AH24" i="1" a="1"/>
  <c r="AH24" i="1" s="1"/>
  <c r="AH25" i="1" a="1"/>
  <c r="AH25" i="1" s="1"/>
  <c r="AH26" i="1" a="1"/>
  <c r="AH26" i="1" s="1"/>
  <c r="AH27" i="1" a="1"/>
  <c r="AH27" i="1" s="1"/>
  <c r="AH28" i="1" a="1"/>
  <c r="AH28" i="1" s="1"/>
  <c r="AH29" i="1" a="1"/>
  <c r="AH29" i="1" s="1"/>
  <c r="AH30" i="1" a="1"/>
  <c r="AH30" i="1" s="1"/>
  <c r="AH31" i="1" a="1"/>
  <c r="AH31" i="1" s="1"/>
  <c r="AH32" i="1" a="1"/>
  <c r="AH32" i="1" s="1"/>
  <c r="AH33" i="1" a="1"/>
  <c r="AH33" i="1" s="1"/>
  <c r="AH34" i="1" a="1"/>
  <c r="AH34" i="1" s="1"/>
  <c r="AH35" i="1" a="1"/>
  <c r="AH35" i="1" s="1"/>
  <c r="AH36" i="1" a="1"/>
  <c r="AH36" i="1" s="1"/>
  <c r="AH37" i="1" a="1"/>
  <c r="AH37" i="1" s="1"/>
  <c r="AH38" i="1" a="1"/>
  <c r="AH38" i="1" s="1"/>
  <c r="AH39" i="1" a="1"/>
  <c r="AH39" i="1" s="1"/>
  <c r="AH7" i="1" a="1"/>
  <c r="AH7" i="1"/>
  <c r="AG8" i="1" a="1"/>
  <c r="AG8" i="1" s="1"/>
  <c r="AG9" i="1" a="1"/>
  <c r="AG9" i="1" s="1"/>
  <c r="AG10" i="1" a="1"/>
  <c r="AG10" i="1" s="1"/>
  <c r="AG11" i="1" a="1"/>
  <c r="AG11" i="1" s="1"/>
  <c r="AG12" i="1" a="1"/>
  <c r="AG12" i="1" s="1"/>
  <c r="AG13" i="1" a="1"/>
  <c r="AG13" i="1" s="1"/>
  <c r="AG14" i="1" a="1"/>
  <c r="AG14" i="1" s="1"/>
  <c r="AG15" i="1" a="1"/>
  <c r="AG15" i="1" s="1"/>
  <c r="AG16" i="1" a="1"/>
  <c r="AG16" i="1" s="1"/>
  <c r="AG17" i="1" a="1"/>
  <c r="AG17" i="1" s="1"/>
  <c r="AG18" i="1" a="1"/>
  <c r="AG18" i="1" s="1"/>
  <c r="AG19" i="1" a="1"/>
  <c r="AG19" i="1"/>
  <c r="AG20" i="1" a="1"/>
  <c r="AG20" i="1" s="1"/>
  <c r="AG21" i="1" a="1"/>
  <c r="AG21" i="1" s="1"/>
  <c r="AG22" i="1" a="1"/>
  <c r="AG22" i="1" s="1"/>
  <c r="AG23" i="1" a="1"/>
  <c r="AG23" i="1" s="1"/>
  <c r="AG24" i="1" a="1"/>
  <c r="AG24" i="1" s="1"/>
  <c r="AG25" i="1" a="1"/>
  <c r="AG25" i="1" s="1"/>
  <c r="AG26" i="1" a="1"/>
  <c r="AG26" i="1" s="1"/>
  <c r="AG27" i="1" a="1"/>
  <c r="AG27" i="1" s="1"/>
  <c r="AG28" i="1" a="1"/>
  <c r="AG28" i="1" s="1"/>
  <c r="AG29" i="1" a="1"/>
  <c r="AG29" i="1" s="1"/>
  <c r="AG30" i="1" a="1"/>
  <c r="AG30" i="1" s="1"/>
  <c r="AG31" i="1" a="1"/>
  <c r="AG31" i="1"/>
  <c r="AG32" i="1" a="1"/>
  <c r="AG32" i="1" s="1"/>
  <c r="AG33" i="1" a="1"/>
  <c r="AG33" i="1" s="1"/>
  <c r="AG34" i="1" a="1"/>
  <c r="AG34" i="1" s="1"/>
  <c r="AG35" i="1" a="1"/>
  <c r="AG35" i="1" s="1"/>
  <c r="AG36" i="1" a="1"/>
  <c r="AG36" i="1" s="1"/>
  <c r="AG37" i="1" a="1"/>
  <c r="AG37" i="1" s="1"/>
  <c r="AG38" i="1" a="1"/>
  <c r="AG38" i="1" s="1"/>
  <c r="AG39" i="1" a="1"/>
  <c r="AG39" i="1" s="1"/>
  <c r="AG7" i="1" a="1"/>
  <c r="AG7" i="1" s="1"/>
</calcChain>
</file>

<file path=xl/sharedStrings.xml><?xml version="1.0" encoding="utf-8"?>
<sst xmlns="http://schemas.openxmlformats.org/spreadsheetml/2006/main" count="16962" uniqueCount="3057">
  <si>
    <t>new order 2013 by Month</t>
  </si>
  <si>
    <t>rep 2013</t>
  </si>
  <si>
    <t>Dealer Request Date 2013</t>
  </si>
  <si>
    <t>PO Date 2013</t>
  </si>
  <si>
    <t>Sold to 2013</t>
  </si>
  <si>
    <t>Serial # 2013</t>
  </si>
  <si>
    <t>Series 2013</t>
  </si>
  <si>
    <t>Clearance 2013</t>
  </si>
  <si>
    <t>Customer PO # 2013</t>
  </si>
  <si>
    <t>Location 2013</t>
  </si>
  <si>
    <t>Committed For 2013</t>
  </si>
  <si>
    <t>Date Committed 2013</t>
  </si>
  <si>
    <t>Retailed 2013</t>
  </si>
  <si>
    <t>Date Retailed 2013</t>
  </si>
  <si>
    <t>Hours on Demo 2013</t>
  </si>
  <si>
    <t>Paid For (Date) 2013</t>
  </si>
  <si>
    <t>Date of last Physical Inspection by Rep 2013</t>
  </si>
  <si>
    <t>TStatus 2013</t>
  </si>
  <si>
    <t>11/17/098</t>
  </si>
  <si>
    <t>anytime</t>
  </si>
  <si>
    <t>April/May</t>
  </si>
  <si>
    <t>9/17/029</t>
  </si>
  <si>
    <t>Early Feb</t>
  </si>
  <si>
    <t>X</t>
  </si>
  <si>
    <t>end Aug</t>
  </si>
  <si>
    <t>July</t>
  </si>
  <si>
    <t>4/20/101</t>
  </si>
  <si>
    <t>1st week of Nov</t>
  </si>
  <si>
    <t>3/22/010</t>
  </si>
  <si>
    <t>NotRep</t>
  </si>
  <si>
    <t>Murray Gardner</t>
  </si>
  <si>
    <t>Regina - Sold Bechard</t>
  </si>
  <si>
    <t>Late November</t>
  </si>
  <si>
    <t>1st week of Feb</t>
  </si>
  <si>
    <t>Mid Jan</t>
  </si>
  <si>
    <t>Early-Mid Dec</t>
  </si>
  <si>
    <t>Early Dec</t>
  </si>
  <si>
    <t>Late February</t>
  </si>
  <si>
    <t>after retailed</t>
  </si>
  <si>
    <t>by 4/14/10</t>
  </si>
  <si>
    <t>Last 2010 built</t>
  </si>
  <si>
    <t>before 9/15</t>
  </si>
  <si>
    <t>asap</t>
  </si>
  <si>
    <t>Jeff Rall</t>
  </si>
  <si>
    <t>Bott Family</t>
  </si>
  <si>
    <t>Raymond</t>
  </si>
  <si>
    <t>Daniels Planting</t>
  </si>
  <si>
    <t>Order Cancelled Roch. NH</t>
  </si>
  <si>
    <t>J.C. Parker</t>
  </si>
  <si>
    <t>sutton</t>
  </si>
  <si>
    <t>J10-58</t>
  </si>
  <si>
    <t>J10-59</t>
  </si>
  <si>
    <t>J10-60</t>
  </si>
  <si>
    <t>J10-61</t>
  </si>
  <si>
    <t>PO 1524</t>
  </si>
  <si>
    <t>PO 1525</t>
  </si>
  <si>
    <t>PO 1533</t>
  </si>
  <si>
    <t>Jerry Overton</t>
  </si>
  <si>
    <t>Richard Walker</t>
  </si>
  <si>
    <t>p2/12</t>
  </si>
  <si>
    <t>p3/12</t>
  </si>
  <si>
    <t>p5/12</t>
  </si>
  <si>
    <t>p10/12</t>
  </si>
  <si>
    <t>p11/12</t>
  </si>
  <si>
    <t>p4/12</t>
  </si>
  <si>
    <t>p6/12</t>
  </si>
  <si>
    <t>Ted Hermus</t>
  </si>
  <si>
    <t>YNH-Gred Dudiak</t>
  </si>
  <si>
    <t>1 of 2</t>
  </si>
  <si>
    <t>2 of 2</t>
  </si>
  <si>
    <t>Sales Meeting</t>
  </si>
  <si>
    <t>Rose-ET07012010</t>
  </si>
  <si>
    <t>71610-McCutchan</t>
  </si>
  <si>
    <t>TBA</t>
  </si>
  <si>
    <t>Retailed Lyons Farms</t>
  </si>
  <si>
    <t xml:space="preserve">Retailed Gerald Meuchel </t>
  </si>
  <si>
    <t>Charles Beasley</t>
  </si>
  <si>
    <t>Tim Shipley</t>
  </si>
  <si>
    <t>CPS Cadiz</t>
  </si>
  <si>
    <t>Bill Meredith</t>
  </si>
  <si>
    <t>Tom Forshee</t>
  </si>
  <si>
    <t>Sammy Shannon</t>
  </si>
  <si>
    <t>David Linn</t>
  </si>
  <si>
    <t>Sold-Barry Doole</t>
  </si>
  <si>
    <t>Brian Strang</t>
  </si>
  <si>
    <t>Art/Blair Klause</t>
  </si>
  <si>
    <t>Matt Dillman</t>
  </si>
  <si>
    <t>Dienert</t>
  </si>
  <si>
    <t>KG Farms</t>
  </si>
  <si>
    <t>Dawson Creek - Sold Critcher</t>
  </si>
  <si>
    <t>Swift Current - Sold Dutton</t>
  </si>
  <si>
    <t>Double M Farms</t>
  </si>
  <si>
    <t>R.J. Martin</t>
  </si>
  <si>
    <t>Dick Lamontte</t>
  </si>
  <si>
    <t>Dwayne Hodgins</t>
  </si>
  <si>
    <t>Townsend &amp; Wright</t>
  </si>
  <si>
    <t>Joel lamplot</t>
  </si>
  <si>
    <t>SCOTT CRAMER</t>
  </si>
  <si>
    <t>David Barr-Xfer from Young's</t>
  </si>
  <si>
    <t>Brad Ruff</t>
  </si>
  <si>
    <t>Dale Koch</t>
  </si>
  <si>
    <t>Mark Sylvester</t>
  </si>
  <si>
    <t>marty Werner</t>
  </si>
  <si>
    <t>Cody Chase</t>
  </si>
  <si>
    <t>Jim Rickel</t>
  </si>
  <si>
    <t>John Love</t>
  </si>
  <si>
    <t>Dan Brent</t>
  </si>
  <si>
    <t>Tommy Mcreynolds</t>
  </si>
  <si>
    <t>Householder</t>
  </si>
  <si>
    <t>Jeff Pierpoint</t>
  </si>
  <si>
    <t>Teaster</t>
  </si>
  <si>
    <t>Lowery</t>
  </si>
  <si>
    <t>J Simpson</t>
  </si>
  <si>
    <t>R Flax</t>
  </si>
  <si>
    <t>R Fla</t>
  </si>
  <si>
    <t>Triple V Farms</t>
  </si>
  <si>
    <t>Korky Stout</t>
  </si>
  <si>
    <t>Mark Korsten</t>
  </si>
  <si>
    <t>Jimmy Herndon</t>
  </si>
  <si>
    <t>condon OR</t>
  </si>
  <si>
    <t>David Alexander</t>
  </si>
  <si>
    <t>Wako</t>
  </si>
  <si>
    <t>Steve Schroeder</t>
  </si>
  <si>
    <t>Paul Craft</t>
  </si>
  <si>
    <t>Dale Knief</t>
  </si>
  <si>
    <t>Retailed Dave Kraenzel</t>
  </si>
  <si>
    <t>Retailed Tim Oech</t>
  </si>
  <si>
    <t>Rush</t>
  </si>
  <si>
    <t>Phillips</t>
  </si>
  <si>
    <t>Garret</t>
  </si>
  <si>
    <t>Wilken</t>
  </si>
  <si>
    <t>Noth Mule Shoe Dairy</t>
  </si>
  <si>
    <t>Rod Jensen</t>
  </si>
  <si>
    <t>D&amp;R Farms</t>
  </si>
  <si>
    <t xml:space="preserve"> Braun</t>
  </si>
  <si>
    <t>Baugher</t>
  </si>
  <si>
    <t>Retailed Greenway Farms</t>
  </si>
  <si>
    <t>Unity - Sold Fawell</t>
  </si>
  <si>
    <t>Medicine Hat - Sold Jackson</t>
  </si>
  <si>
    <t>Medicine Hat - Sold Metz</t>
  </si>
  <si>
    <t>Brooks - Sold Tracey</t>
  </si>
  <si>
    <t>Kindersley - Sold Seimens</t>
  </si>
  <si>
    <t>Lamprecht</t>
  </si>
  <si>
    <t>Wagoner</t>
  </si>
  <si>
    <t>Craig Bolz</t>
  </si>
  <si>
    <t>Paul Hurdle</t>
  </si>
  <si>
    <t>Keith Deines</t>
  </si>
  <si>
    <t>Frager</t>
  </si>
  <si>
    <t>Melvin Hair</t>
  </si>
  <si>
    <t>Wright</t>
  </si>
  <si>
    <t>Steve Dechant</t>
  </si>
  <si>
    <t>Perdue - Sold Dobson</t>
  </si>
  <si>
    <t>Unity - Sold Stang</t>
  </si>
  <si>
    <t>Lloyd - Sold Campbell</t>
  </si>
  <si>
    <t>Swift Current - Sold Odermatt</t>
  </si>
  <si>
    <t>Swift Current - Sold Tiebault</t>
  </si>
  <si>
    <t>Swift Current - Sold DJR Farms</t>
  </si>
  <si>
    <t>Swift Current - Sold Miller</t>
  </si>
  <si>
    <t>Swift Current - Sold Sondrol</t>
  </si>
  <si>
    <t>Wainwright - Sold Larsen</t>
  </si>
  <si>
    <t>Wainwright - Sold Dan Lin</t>
  </si>
  <si>
    <t>Regina - Lot</t>
  </si>
  <si>
    <t>Weyburn - Sold Hutt</t>
  </si>
  <si>
    <t>Windthorst - Sold Fleece</t>
  </si>
  <si>
    <t>Regina - Sold Manz</t>
  </si>
  <si>
    <t>Moose Jaw - Sold Depper</t>
  </si>
  <si>
    <t>Regina - Sold Allan</t>
  </si>
  <si>
    <t>Regina - Sold Calibaba</t>
  </si>
  <si>
    <t>Sold to: Maury Farmers Coop</t>
  </si>
  <si>
    <t>Norm Sabin</t>
  </si>
  <si>
    <t>Duefalt</t>
  </si>
  <si>
    <t>Hodgson</t>
  </si>
  <si>
    <t>Doole</t>
  </si>
  <si>
    <t>Gill Brothers</t>
  </si>
  <si>
    <t>Cecil Farms</t>
  </si>
  <si>
    <t>Mark Sheffles</t>
  </si>
  <si>
    <t>David McDowell</t>
  </si>
  <si>
    <t>Daly</t>
  </si>
  <si>
    <t>Keith Bittner</t>
  </si>
  <si>
    <t>Bowman Farms</t>
  </si>
  <si>
    <t>Kuntz Farms</t>
  </si>
  <si>
    <t>Ken Ridenour</t>
  </si>
  <si>
    <t>Melfort - Sold Pegg</t>
  </si>
  <si>
    <t>Medicine Hat - Lot</t>
  </si>
  <si>
    <t>Lloyd - Sold Aurora</t>
  </si>
  <si>
    <t>Wainwright - Sold Varty</t>
  </si>
  <si>
    <t>Assiniboia - Sold Ross</t>
  </si>
  <si>
    <t>Norbert Pokorny</t>
  </si>
  <si>
    <t>3-B Farms</t>
  </si>
  <si>
    <t>Dave Stapp</t>
  </si>
  <si>
    <t>Lonnie Selbing</t>
  </si>
  <si>
    <t>Regina -Sold Wiesbroad</t>
  </si>
  <si>
    <t>Regina - Sold Norberg</t>
  </si>
  <si>
    <t>Windthorst - Sold</t>
  </si>
  <si>
    <t>Potapinski</t>
  </si>
  <si>
    <t>Jacobs</t>
  </si>
  <si>
    <t>Berrat</t>
  </si>
  <si>
    <t>Laloe</t>
  </si>
  <si>
    <t>Art Huxman</t>
  </si>
  <si>
    <t>Dennis Schwartz</t>
  </si>
  <si>
    <t>Eddie Zerr</t>
  </si>
  <si>
    <t xml:space="preserve">Nelson </t>
  </si>
  <si>
    <t>Cornerstone Farms</t>
  </si>
  <si>
    <t>Mike Brzon</t>
  </si>
  <si>
    <t>Brock Baber</t>
  </si>
  <si>
    <t>Brad Dorzwiller</t>
  </si>
  <si>
    <t>Simons Farms</t>
  </si>
  <si>
    <t>Mark Scheestra</t>
  </si>
  <si>
    <t>Medicine Hat - Sold Foremost</t>
  </si>
  <si>
    <t>Kreite Farms</t>
  </si>
  <si>
    <t>Morrow</t>
  </si>
  <si>
    <t>Doug Roll</t>
  </si>
  <si>
    <t>Max Elliot</t>
  </si>
  <si>
    <t xml:space="preserve">Jackson Brothers </t>
  </si>
  <si>
    <t xml:space="preserve">Dan Stalbaum </t>
  </si>
  <si>
    <t>Alan Swatters</t>
  </si>
  <si>
    <t>Bruce Lizengood</t>
  </si>
  <si>
    <t>John Kelly</t>
  </si>
  <si>
    <t>Dave Nielsen</t>
  </si>
  <si>
    <t>Monthly Projections 2012</t>
  </si>
  <si>
    <t>Fill 2012</t>
  </si>
  <si>
    <t>count 2012</t>
  </si>
  <si>
    <t>Production Completion date 2012</t>
  </si>
  <si>
    <t>Status 2012</t>
  </si>
  <si>
    <t>Date out of QC 2012</t>
  </si>
  <si>
    <t>Unit 2012</t>
  </si>
  <si>
    <t>Pruchased from ISC</t>
  </si>
  <si>
    <t>build month 2012</t>
  </si>
  <si>
    <t>new order 2012 by Month</t>
  </si>
  <si>
    <t>rep 2012</t>
  </si>
  <si>
    <t>Dealer Request Date 2012</t>
  </si>
  <si>
    <t>PO Date 2012</t>
  </si>
  <si>
    <t>Sold to 2012</t>
  </si>
  <si>
    <t>Serial # 2012</t>
  </si>
  <si>
    <t>Series 2012</t>
  </si>
  <si>
    <t>Clearance 2012</t>
  </si>
  <si>
    <t>Customer PO # 2012</t>
  </si>
  <si>
    <t>Location 2012</t>
  </si>
  <si>
    <t>Committed For 2012</t>
  </si>
  <si>
    <t>Date Committed 2012</t>
  </si>
  <si>
    <t>Retailed 2012</t>
  </si>
  <si>
    <t>Date Retailed 2012</t>
  </si>
  <si>
    <t>Hours on Demo 2012</t>
  </si>
  <si>
    <t>Paid For (Date) 2012</t>
  </si>
  <si>
    <t>Shorty Edenfield</t>
  </si>
  <si>
    <t>Wainwright - Sold Dalton</t>
  </si>
  <si>
    <t>Moose Jaw - Sold Newton</t>
  </si>
  <si>
    <t>Raymore - Sold G2 Farms</t>
  </si>
  <si>
    <t>Moose Jaw - Sold Cactus Hills</t>
  </si>
  <si>
    <t>Reece</t>
  </si>
  <si>
    <t>Sold per email 7/2/12</t>
  </si>
  <si>
    <t>Neil Maack</t>
  </si>
  <si>
    <t>Date of last Physical Inspection by Rep 2012</t>
  </si>
  <si>
    <t>TStatus 2012</t>
  </si>
  <si>
    <t>Swift Current - Sold Bower</t>
  </si>
  <si>
    <t>Weyburn - Sold McCarthy</t>
  </si>
  <si>
    <t>Weyburn - Sold Larose</t>
  </si>
  <si>
    <t>05/20/2011</t>
  </si>
  <si>
    <t>Transfer to Brooks NH - Sold</t>
  </si>
  <si>
    <t xml:space="preserve"> Jerome Idaho.</t>
  </si>
  <si>
    <t>Don Fisher</t>
  </si>
  <si>
    <t>Don Weedin</t>
  </si>
  <si>
    <t xml:space="preserve">Chuck Walker </t>
  </si>
  <si>
    <t>Dale Kock</t>
  </si>
  <si>
    <t>Gary McDaniel</t>
  </si>
  <si>
    <t>Brooks - Sold Richard</t>
  </si>
  <si>
    <t>Martin Brothers</t>
  </si>
  <si>
    <t>Frontier</t>
  </si>
  <si>
    <t>Sold - Nearing</t>
  </si>
  <si>
    <t>Wetaskiwin - Sold Lindholm</t>
  </si>
  <si>
    <t>Mark Mertins</t>
  </si>
  <si>
    <t>Beechnior - 2M Farms</t>
  </si>
  <si>
    <t>Wilbur - Ellis</t>
  </si>
  <si>
    <t>Dayton WA/James Farms</t>
  </si>
  <si>
    <t>Pardue Farms</t>
  </si>
  <si>
    <t>McAmoil</t>
  </si>
  <si>
    <t>Mike Dusel</t>
  </si>
  <si>
    <t>Joe Kagey</t>
  </si>
  <si>
    <t>Ellis Bros</t>
  </si>
  <si>
    <t>Rick Indiek</t>
  </si>
  <si>
    <t>Bobby Moon</t>
  </si>
  <si>
    <t>Glen Davis</t>
  </si>
  <si>
    <t>5-31--11</t>
  </si>
  <si>
    <t>Doug Zieman</t>
  </si>
  <si>
    <t>Ryan Anderson</t>
  </si>
  <si>
    <t>Barker</t>
  </si>
  <si>
    <t>OVA-IN</t>
  </si>
  <si>
    <t>matt Sitzman</t>
  </si>
  <si>
    <t>Jack Pierce</t>
  </si>
  <si>
    <t>Moose Jaw - Sold Pederson</t>
  </si>
  <si>
    <t>Shaunavon - Sold</t>
  </si>
  <si>
    <t>Lee Mitchell</t>
  </si>
  <si>
    <t>Mitchell's</t>
  </si>
  <si>
    <t>Paul Larson</t>
  </si>
  <si>
    <t>Jeremy Johnson</t>
  </si>
  <si>
    <t>Swift Current - Sold Lang</t>
  </si>
  <si>
    <t>INV 2010 in MY 2011</t>
  </si>
  <si>
    <t>MY 2012 Start</t>
  </si>
  <si>
    <t>Back Forty Farms</t>
  </si>
  <si>
    <t>PO 12011</t>
  </si>
  <si>
    <t>PO 22011</t>
  </si>
  <si>
    <t>PO 32011 Steve Raymond</t>
  </si>
  <si>
    <t xml:space="preserve">PO 42011 </t>
  </si>
  <si>
    <t>PO 52011 Harbache</t>
  </si>
  <si>
    <t xml:space="preserve">72011 Scott Bros </t>
  </si>
  <si>
    <t>PO 82011 Brorman</t>
  </si>
  <si>
    <t>Order 1 of 2</t>
  </si>
  <si>
    <t>Order 2 of 2</t>
  </si>
  <si>
    <t>J11-02</t>
  </si>
  <si>
    <t>J11-01</t>
  </si>
  <si>
    <t>J11-03 Larry Hoffman</t>
  </si>
  <si>
    <t>J11-04 Danny Wood</t>
  </si>
  <si>
    <t>Ray Arneson</t>
  </si>
  <si>
    <t>J11-05 Jason Pavlu</t>
  </si>
  <si>
    <t>J11-06 Skip Crist</t>
  </si>
  <si>
    <t>J11-07 Bazine Coop</t>
  </si>
  <si>
    <t>J11-09 Ron Jacques</t>
  </si>
  <si>
    <t>J11-08 Mac Farms</t>
  </si>
  <si>
    <t>J11-10 Wayne Schoeling</t>
  </si>
  <si>
    <t>J11-11 Bill Baker</t>
  </si>
  <si>
    <t>J11-12 Roger Kuntz</t>
  </si>
  <si>
    <t>J11-13 Bob Wagner</t>
  </si>
  <si>
    <t>J11-14 Steve Brehm</t>
  </si>
  <si>
    <t>J11-15 Wes Campbell</t>
  </si>
  <si>
    <t>J11-16 Jesse Doll</t>
  </si>
  <si>
    <t>J11-17 Grauerholtz Farms</t>
  </si>
  <si>
    <t>J11-18 Joe Salem</t>
  </si>
  <si>
    <t>J11-19 Jerry Gillen</t>
  </si>
  <si>
    <t>J11-20 Joe Swanson</t>
  </si>
  <si>
    <t>J11-21 Dave Albers</t>
  </si>
  <si>
    <t>J11-22 Larry Richmeier</t>
  </si>
  <si>
    <t>J11-23 Todd Horchem</t>
  </si>
  <si>
    <t>J11-24 Scott Littler</t>
  </si>
  <si>
    <t>J11-25 Judd Watt</t>
  </si>
  <si>
    <t>J11-26 Ron Suppes</t>
  </si>
  <si>
    <t>J11-27</t>
  </si>
  <si>
    <t>J11-28 John Roy Kelty</t>
  </si>
  <si>
    <t>Collins Production</t>
  </si>
  <si>
    <t>J&amp;J Samson</t>
  </si>
  <si>
    <t>Leon Dorn</t>
  </si>
  <si>
    <t>Boswell Farms</t>
  </si>
  <si>
    <t>J11-29 Jim Honeman</t>
  </si>
  <si>
    <t>J11-30 CW Antholtz</t>
  </si>
  <si>
    <t>J11-31 Tyler Kamp</t>
  </si>
  <si>
    <t>J11-32 Howard Boese</t>
  </si>
  <si>
    <t>J11-33 KJ Johnson Farms</t>
  </si>
  <si>
    <t>J11-34 Gary Janssen</t>
  </si>
  <si>
    <t>J11-35</t>
  </si>
  <si>
    <t>J11-36 Darrol Miller</t>
  </si>
  <si>
    <t>J11-41 Bill Merideth</t>
  </si>
  <si>
    <t>J11-42 Bill Hoffman</t>
  </si>
  <si>
    <t>J11-43 Doug Thiessen</t>
  </si>
  <si>
    <t>J11-44 Kerry Steffen</t>
  </si>
  <si>
    <t>J11-45 Leland Bray</t>
  </si>
  <si>
    <t>J11-46 Richard Karst</t>
  </si>
  <si>
    <t>J11-47 Butch Minium</t>
  </si>
  <si>
    <t>J11-48 Tom Forshee</t>
  </si>
  <si>
    <t>J11-49 Chris Henry</t>
  </si>
  <si>
    <t>J11-50 Eddie Zerr</t>
  </si>
  <si>
    <t>J11-51 Nelson Family</t>
  </si>
  <si>
    <t>J11-37</t>
  </si>
  <si>
    <t>J11-38</t>
  </si>
  <si>
    <t>J11-39 Galen Hoffman</t>
  </si>
  <si>
    <t>J11-40 Lynn Hanson</t>
  </si>
  <si>
    <t>J11-53 Mike Younger</t>
  </si>
  <si>
    <t>J11-54 Ed White</t>
  </si>
  <si>
    <t>J11-55 Bill Crane</t>
  </si>
  <si>
    <t>J11-56 Lonnie Bachand</t>
  </si>
  <si>
    <t>J11-57 Greg Bellamy</t>
  </si>
  <si>
    <t>J11-58 Ron Albert</t>
  </si>
  <si>
    <t>J11-59 Ringler</t>
  </si>
  <si>
    <t>J11-60 Jeff Rall</t>
  </si>
  <si>
    <t>J11-61 Bott Family Farms</t>
  </si>
  <si>
    <t>J11-62 Raymond Kuhlman</t>
  </si>
  <si>
    <t>from Mountain View</t>
  </si>
  <si>
    <t>J11-63</t>
  </si>
  <si>
    <t>J11-64 Garrett Wilken</t>
  </si>
  <si>
    <t>J11-65 Schroeder Farms</t>
  </si>
  <si>
    <t>J11-66 Mike Brizon</t>
  </si>
  <si>
    <t>J11-68 Brock Baber</t>
  </si>
  <si>
    <t>J11-69 Brad</t>
  </si>
  <si>
    <t>AP11-28</t>
  </si>
  <si>
    <t>58 hours</t>
  </si>
  <si>
    <t>Mike Timmons</t>
  </si>
  <si>
    <t>Roger Janzen</t>
  </si>
  <si>
    <t>Jessee</t>
  </si>
  <si>
    <t>Gary Alexander-OVA-IN</t>
  </si>
  <si>
    <t>Buis Farms -OVA-IN</t>
  </si>
  <si>
    <t>James Lambering - OVA-IN</t>
  </si>
  <si>
    <t>Jamie McWhinney -OVA-IN</t>
  </si>
  <si>
    <t>Krieger Farms -OVA-IN</t>
  </si>
  <si>
    <t>Allen Edwards -OVA-IN</t>
  </si>
  <si>
    <t>Done</t>
  </si>
  <si>
    <t>Gone</t>
  </si>
  <si>
    <t>Sold to</t>
  </si>
  <si>
    <t>Funk</t>
  </si>
  <si>
    <t>60/80</t>
  </si>
  <si>
    <t>JCB</t>
  </si>
  <si>
    <t>60/90</t>
  </si>
  <si>
    <t>Spacing</t>
  </si>
  <si>
    <t>HD</t>
  </si>
  <si>
    <t>Series</t>
  </si>
  <si>
    <t>Randy Sukstorf</t>
  </si>
  <si>
    <t>MT</t>
  </si>
  <si>
    <t>Y</t>
  </si>
  <si>
    <t>Serial #</t>
  </si>
  <si>
    <t>N</t>
  </si>
  <si>
    <t>RAD</t>
  </si>
  <si>
    <t>SS</t>
  </si>
  <si>
    <t>rep</t>
  </si>
  <si>
    <t>Bates</t>
  </si>
  <si>
    <t>Nowakowski</t>
  </si>
  <si>
    <t>Peterson</t>
  </si>
  <si>
    <t>R</t>
  </si>
  <si>
    <t>B</t>
  </si>
  <si>
    <t>Boomless</t>
  </si>
  <si>
    <t>L</t>
  </si>
  <si>
    <t>6 speed</t>
  </si>
  <si>
    <t>4 speed</t>
  </si>
  <si>
    <t>PO Date</t>
  </si>
  <si>
    <t>Narrow</t>
  </si>
  <si>
    <t>120-144</t>
  </si>
  <si>
    <t>QC</t>
  </si>
  <si>
    <t>count</t>
  </si>
  <si>
    <t>Duals</t>
  </si>
  <si>
    <t>120F</t>
  </si>
  <si>
    <t>10 sec</t>
  </si>
  <si>
    <t>Retailed</t>
  </si>
  <si>
    <t>Narrow/Duals</t>
  </si>
  <si>
    <t>STD</t>
  </si>
  <si>
    <t>Env Pro</t>
  </si>
  <si>
    <t>Date out of QC</t>
  </si>
  <si>
    <t>Dealer Request Date</t>
  </si>
  <si>
    <t>Customer PO #</t>
  </si>
  <si>
    <t>Weyburn - Sold Wilkerson</t>
  </si>
  <si>
    <t>Cray Belcher</t>
  </si>
  <si>
    <t>Mark Schoal</t>
  </si>
  <si>
    <t>Brian Hollinger</t>
  </si>
  <si>
    <t>Travis Kolven</t>
  </si>
  <si>
    <t>Jeff Howatt</t>
  </si>
  <si>
    <t>Swift Current -Sold DJR</t>
  </si>
  <si>
    <t>Swift Current - Sold Able</t>
  </si>
  <si>
    <t>Prince Albert - Sold Nagy</t>
  </si>
  <si>
    <t>Carl Selvey</t>
  </si>
  <si>
    <t>Darrel Brenner</t>
  </si>
  <si>
    <t>Regina -Sold Ennis</t>
  </si>
  <si>
    <t>Verlin Dahlin</t>
  </si>
  <si>
    <t>Kevin Trunnell</t>
  </si>
  <si>
    <t>Mike Sprinkle</t>
  </si>
  <si>
    <t>Joe Zink</t>
  </si>
  <si>
    <t>Shaunavon - Nelson</t>
  </si>
  <si>
    <t>Regina - Sold Bagg</t>
  </si>
  <si>
    <t>105-114</t>
  </si>
  <si>
    <t>controller</t>
  </si>
  <si>
    <t>Viper Pro</t>
  </si>
  <si>
    <t>1.5"</t>
  </si>
  <si>
    <t>2"</t>
  </si>
  <si>
    <t>Wheel</t>
  </si>
  <si>
    <t>Eye</t>
  </si>
  <si>
    <t>Straight</t>
  </si>
  <si>
    <t>Split</t>
  </si>
  <si>
    <t>Narrow - 38</t>
  </si>
  <si>
    <t>std - 46</t>
  </si>
  <si>
    <t>HD - 46</t>
  </si>
  <si>
    <t>Narrow - 50</t>
  </si>
  <si>
    <t>Semi -46</t>
  </si>
  <si>
    <t>Semi-Float - 34</t>
  </si>
  <si>
    <t>DB</t>
  </si>
  <si>
    <t>Monthly Projections</t>
  </si>
  <si>
    <t>Production Completion date</t>
  </si>
  <si>
    <t>Unit</t>
  </si>
  <si>
    <t>series1</t>
  </si>
  <si>
    <t>Jason Wolfe</t>
  </si>
  <si>
    <t>Alsbernd Bros.</t>
  </si>
  <si>
    <t>Jason and Cory Meester</t>
  </si>
  <si>
    <t>Stan Weiss</t>
  </si>
  <si>
    <t>Todd Zahnow</t>
  </si>
  <si>
    <t>Grande Prairie Lot</t>
  </si>
  <si>
    <t>Wetaskiwin Lot</t>
  </si>
  <si>
    <t>Prince Albert Lot</t>
  </si>
  <si>
    <t>Melfort Lot</t>
  </si>
  <si>
    <t>Medicine Hat Lot</t>
  </si>
  <si>
    <t>Saskatoon Lot</t>
  </si>
  <si>
    <t>Wainwright Lot</t>
  </si>
  <si>
    <t>Regina Lot</t>
  </si>
  <si>
    <t>Motor</t>
  </si>
  <si>
    <t>trans_715</t>
  </si>
  <si>
    <t>trans_1010</t>
  </si>
  <si>
    <t>trans_1210</t>
  </si>
  <si>
    <t>rratio</t>
  </si>
  <si>
    <t>FA1210</t>
  </si>
  <si>
    <t>WIDTH</t>
  </si>
  <si>
    <t>Width1210</t>
  </si>
  <si>
    <t>Clear</t>
  </si>
  <si>
    <t>Clear1210</t>
  </si>
  <si>
    <t>Yes/No</t>
  </si>
  <si>
    <t>Pickup1</t>
  </si>
  <si>
    <t>Ccomponents</t>
  </si>
  <si>
    <t>ANT</t>
  </si>
  <si>
    <t>ABOOM</t>
  </si>
  <si>
    <t>Foam</t>
  </si>
  <si>
    <t>Fence</t>
  </si>
  <si>
    <t>NB</t>
  </si>
  <si>
    <t>Tank715</t>
  </si>
  <si>
    <t>Tank1210</t>
  </si>
  <si>
    <t>Tank1010</t>
  </si>
  <si>
    <t>Prince Albert - Sold Truba</t>
  </si>
  <si>
    <t>Status1</t>
  </si>
  <si>
    <t>FA_715</t>
  </si>
  <si>
    <t>Clear1010</t>
  </si>
  <si>
    <t>Front Tire</t>
  </si>
  <si>
    <t>Rear Tire</t>
  </si>
  <si>
    <t>Ffender</t>
  </si>
  <si>
    <t>Boom Size</t>
  </si>
  <si>
    <t>Rfender</t>
  </si>
  <si>
    <t>Plumbing</t>
  </si>
  <si>
    <t>5 sec</t>
  </si>
  <si>
    <t>8 sec</t>
  </si>
  <si>
    <t>GPS Speed</t>
  </si>
  <si>
    <t>Yes</t>
  </si>
  <si>
    <t>No</t>
  </si>
  <si>
    <t>OtherFT</t>
  </si>
  <si>
    <t>Plumb1</t>
  </si>
  <si>
    <t>Plumb2</t>
  </si>
  <si>
    <t>Nielsen</t>
  </si>
  <si>
    <t>DBFender</t>
  </si>
  <si>
    <t>Eye w/wheel kit</t>
  </si>
  <si>
    <t>Rails</t>
  </si>
  <si>
    <t>Station 1</t>
  </si>
  <si>
    <t>Station 2</t>
  </si>
  <si>
    <t>Station 3</t>
  </si>
  <si>
    <t>Station 4</t>
  </si>
  <si>
    <t>Skip-Parts</t>
  </si>
  <si>
    <t>Skip</t>
  </si>
  <si>
    <t>Plan</t>
  </si>
  <si>
    <t>Dual 380/90R46</t>
  </si>
  <si>
    <t>Dual Narrow 320/90R50</t>
  </si>
  <si>
    <t>build month</t>
  </si>
  <si>
    <t>Retailed Again</t>
  </si>
  <si>
    <t>Proj30</t>
  </si>
  <si>
    <t>Proj33</t>
  </si>
  <si>
    <t>Proj34</t>
  </si>
  <si>
    <t>SalesRep</t>
  </si>
  <si>
    <t>Location</t>
  </si>
  <si>
    <t>Y/N</t>
  </si>
  <si>
    <t>Date of last Physical Inspection by Rep</t>
  </si>
  <si>
    <t>Paid For (Date)</t>
  </si>
  <si>
    <t>Title Transfered</t>
  </si>
  <si>
    <t>Specific Lot</t>
  </si>
  <si>
    <t>Flatt</t>
  </si>
  <si>
    <t>Payne</t>
  </si>
  <si>
    <t>Still Dealers possession, Signed For</t>
  </si>
  <si>
    <t>new order</t>
  </si>
  <si>
    <t>P-1</t>
  </si>
  <si>
    <t>Fill</t>
  </si>
  <si>
    <t>Bates Direct</t>
  </si>
  <si>
    <t>Belsher</t>
  </si>
  <si>
    <t>Big Sky</t>
  </si>
  <si>
    <t>Binkley &amp; Hurst</t>
  </si>
  <si>
    <t>Black River</t>
  </si>
  <si>
    <t>Blackland</t>
  </si>
  <si>
    <t>Central Sales and Service</t>
  </si>
  <si>
    <t>Douglass Lake Equipment</t>
  </si>
  <si>
    <t>Farmer's Union</t>
  </si>
  <si>
    <t>FDS Iowa</t>
  </si>
  <si>
    <t>FDS Wisconsin</t>
  </si>
  <si>
    <t>Hi Line</t>
  </si>
  <si>
    <t>ISC</t>
  </si>
  <si>
    <t>Janson</t>
  </si>
  <si>
    <t>JMS Equipment</t>
  </si>
  <si>
    <t>Leo's</t>
  </si>
  <si>
    <t>Little Morden</t>
  </si>
  <si>
    <t>M&amp;T</t>
  </si>
  <si>
    <t>Med Hat</t>
  </si>
  <si>
    <t>Miller Farm Equipment</t>
  </si>
  <si>
    <t>Moodys</t>
  </si>
  <si>
    <t>OVA</t>
  </si>
  <si>
    <t>Panhandle</t>
  </si>
  <si>
    <t>Park River</t>
  </si>
  <si>
    <t>Pete Direct</t>
  </si>
  <si>
    <t>Pioneer West</t>
  </si>
  <si>
    <t>Raymore/Yorkton</t>
  </si>
  <si>
    <t>Riggins</t>
  </si>
  <si>
    <t>Riggins NB</t>
  </si>
  <si>
    <t>Robertson</t>
  </si>
  <si>
    <t>Simpson</t>
  </si>
  <si>
    <t>Sorensen</t>
  </si>
  <si>
    <t>Tri Ag</t>
  </si>
  <si>
    <t>Van DerWerff</t>
  </si>
  <si>
    <t>Waitt</t>
  </si>
  <si>
    <t>Waitt Ohio</t>
  </si>
  <si>
    <t>Youngs</t>
  </si>
  <si>
    <t>Zerbe</t>
  </si>
  <si>
    <t>TStatus</t>
  </si>
  <si>
    <t>Kirk &amp; Kevin Liefer</t>
  </si>
  <si>
    <t>Don Lundren</t>
  </si>
  <si>
    <t>Date Retailed</t>
  </si>
  <si>
    <t>J&amp;B</t>
  </si>
  <si>
    <t>This space for rent</t>
  </si>
  <si>
    <t>Gene Boswell</t>
  </si>
  <si>
    <t>Haskins Farms</t>
  </si>
  <si>
    <t xml:space="preserve">                Randy Hobson</t>
  </si>
  <si>
    <t>Date Committed</t>
  </si>
  <si>
    <t>Committed For</t>
  </si>
  <si>
    <t>Medicine Hat</t>
  </si>
  <si>
    <t>Regina</t>
  </si>
  <si>
    <t>Russel Stewart</t>
  </si>
  <si>
    <t>Tim Debele</t>
  </si>
  <si>
    <t>Grande Prairie - Sold Kirkland</t>
  </si>
  <si>
    <t>Saskatoon - Sold Hahn</t>
  </si>
  <si>
    <t>Beaufort</t>
  </si>
  <si>
    <t>Snow</t>
  </si>
  <si>
    <t>Saskatoon - Sold Gillies</t>
  </si>
  <si>
    <t>Weyburn - Sold Beutler</t>
  </si>
  <si>
    <t>Steenbock</t>
  </si>
  <si>
    <t>Pribble</t>
  </si>
  <si>
    <t>Huxman</t>
  </si>
  <si>
    <t>Chad Flax</t>
  </si>
  <si>
    <t>Mark &amp; Dwight Seaburg</t>
  </si>
  <si>
    <t>Jeff Pederson</t>
  </si>
  <si>
    <t>Jack Feezor by Delta NH</t>
  </si>
  <si>
    <t>Randy Arrington</t>
  </si>
  <si>
    <t>Danny Babb</t>
  </si>
  <si>
    <t>Teddy Stelly</t>
  </si>
  <si>
    <t>Clay Poole</t>
  </si>
  <si>
    <t>Nielsen Direct</t>
  </si>
  <si>
    <t>ISC Deleted 3/16/09</t>
  </si>
  <si>
    <t>Arnett NH</t>
  </si>
  <si>
    <t>Storrer</t>
  </si>
  <si>
    <t>P2010-355</t>
  </si>
  <si>
    <t>P2010-356</t>
  </si>
  <si>
    <t>P2010-357</t>
  </si>
  <si>
    <t>P2010-358</t>
  </si>
  <si>
    <t>P2010-359</t>
  </si>
  <si>
    <t>P2010-360</t>
  </si>
  <si>
    <t>P2010-361</t>
  </si>
  <si>
    <t>P2010-362</t>
  </si>
  <si>
    <t>P2010-363</t>
  </si>
  <si>
    <t>P2010-364</t>
  </si>
  <si>
    <t>P2010-365</t>
  </si>
  <si>
    <t>P2010-366</t>
  </si>
  <si>
    <t>P2010-367</t>
  </si>
  <si>
    <t>P2010-368</t>
  </si>
  <si>
    <t>P2010-369</t>
  </si>
  <si>
    <t>P2010-370</t>
  </si>
  <si>
    <t>P2010-371</t>
  </si>
  <si>
    <t>P2010-372</t>
  </si>
  <si>
    <t>P2010-373</t>
  </si>
  <si>
    <t>P2010-374</t>
  </si>
  <si>
    <t>P2010-375</t>
  </si>
  <si>
    <t>P2010-376</t>
  </si>
  <si>
    <t>P2010-377</t>
  </si>
  <si>
    <t>F</t>
  </si>
  <si>
    <t>Larry Hillery</t>
  </si>
  <si>
    <t>Kevin Zerr</t>
  </si>
  <si>
    <t>P2010-378</t>
  </si>
  <si>
    <t>P2010-379</t>
  </si>
  <si>
    <t>P2010-380</t>
  </si>
  <si>
    <t>P2010-381</t>
  </si>
  <si>
    <t>P2010-382</t>
  </si>
  <si>
    <t>P2010-383</t>
  </si>
  <si>
    <t>P2010-384</t>
  </si>
  <si>
    <t>P2010-385</t>
  </si>
  <si>
    <t>P2010-386</t>
  </si>
  <si>
    <t>P2010-387</t>
  </si>
  <si>
    <t>P2010-388</t>
  </si>
  <si>
    <t>P2010-389</t>
  </si>
  <si>
    <t>P. Bradley</t>
  </si>
  <si>
    <t>Riggins, NE</t>
  </si>
  <si>
    <t>Riggins, MO</t>
  </si>
  <si>
    <t>Waitsburg WA</t>
  </si>
  <si>
    <t>JMS</t>
  </si>
  <si>
    <t>Oreana, IL</t>
  </si>
  <si>
    <t>Young</t>
  </si>
  <si>
    <t>Miller</t>
  </si>
  <si>
    <t>Sold to: Mike Carter</t>
  </si>
  <si>
    <t>Jan,2010</t>
  </si>
  <si>
    <t>Sold to: Gene Boswell</t>
  </si>
  <si>
    <t>Swift Current</t>
  </si>
  <si>
    <t>Wainwright</t>
  </si>
  <si>
    <t>Kelly Crist</t>
  </si>
  <si>
    <t>Max Jarvis</t>
  </si>
  <si>
    <t>Dale Smith</t>
  </si>
  <si>
    <t>Saskatoon</t>
  </si>
  <si>
    <t>Sold to: Pervis Ellis</t>
  </si>
  <si>
    <t>Sold to: Hart Farms</t>
  </si>
  <si>
    <t>Matthews Family Farms</t>
  </si>
  <si>
    <t>N.C.</t>
  </si>
  <si>
    <t>Cornelis</t>
  </si>
  <si>
    <t>Joe Lail (retail)</t>
  </si>
  <si>
    <t>Shelby N.C.</t>
  </si>
  <si>
    <t>Myron Brady (retail)</t>
  </si>
  <si>
    <t>N.Y.</t>
  </si>
  <si>
    <t>Litiz Pa.</t>
  </si>
  <si>
    <t>Order #1</t>
  </si>
  <si>
    <t>Joe P.</t>
  </si>
  <si>
    <t>Order #2</t>
  </si>
  <si>
    <t>Corning</t>
  </si>
  <si>
    <t>Order #3</t>
  </si>
  <si>
    <t>Order #4</t>
  </si>
  <si>
    <t>Show Machine/Blackland</t>
  </si>
  <si>
    <t>Temple Store</t>
  </si>
  <si>
    <t>Blackland Retail</t>
  </si>
  <si>
    <t>PO 1</t>
  </si>
  <si>
    <t>JMS trade</t>
  </si>
  <si>
    <t>1-Murray Marsh</t>
  </si>
  <si>
    <t>Murray</t>
  </si>
  <si>
    <t>2-PO 12137</t>
  </si>
  <si>
    <t>Crooks</t>
  </si>
  <si>
    <t>3-PO 12138</t>
  </si>
  <si>
    <t>PO 12139</t>
  </si>
  <si>
    <t>Show Machine/Simpson #J935</t>
  </si>
  <si>
    <t>Petrowsky</t>
  </si>
  <si>
    <t>Show Machine/Simpson #J936</t>
  </si>
  <si>
    <t>Jerry Young</t>
  </si>
  <si>
    <t>J920</t>
  </si>
  <si>
    <t xml:space="preserve"> Williams</t>
  </si>
  <si>
    <t>J918</t>
  </si>
  <si>
    <t xml:space="preserve"> Hertnicky</t>
  </si>
  <si>
    <t>march</t>
  </si>
  <si>
    <t>J97</t>
  </si>
  <si>
    <t>Joe Powell</t>
  </si>
  <si>
    <t>J94 (show machine)</t>
  </si>
  <si>
    <t>Mike Hipp</t>
  </si>
  <si>
    <t>Jan. 09</t>
  </si>
  <si>
    <t>J91 (retailed)</t>
  </si>
  <si>
    <t>Mueller</t>
  </si>
  <si>
    <t>Youngerman</t>
  </si>
  <si>
    <t>Monteith Farms</t>
  </si>
  <si>
    <t>Nelson Family Farms</t>
  </si>
  <si>
    <t>Dennis Kurzweil</t>
  </si>
  <si>
    <t>Wenhoff</t>
  </si>
  <si>
    <t>Spilker</t>
  </si>
  <si>
    <t>Armstrong</t>
  </si>
  <si>
    <t>Engle</t>
  </si>
  <si>
    <t>C&amp;M Imler Cattle Co.</t>
  </si>
  <si>
    <t>J92 (show machine)</t>
  </si>
  <si>
    <t>Jay Lundeen</t>
  </si>
  <si>
    <t>J923</t>
  </si>
  <si>
    <t xml:space="preserve"> Kleweno</t>
  </si>
  <si>
    <t>J910</t>
  </si>
  <si>
    <t xml:space="preserve"> Dumler</t>
  </si>
  <si>
    <t>J922</t>
  </si>
  <si>
    <t xml:space="preserve"> Morganstern</t>
  </si>
  <si>
    <t>feb</t>
  </si>
  <si>
    <t>J914 (retailed)</t>
  </si>
  <si>
    <t>Wes Campbell</t>
  </si>
  <si>
    <t>J915</t>
  </si>
  <si>
    <t>Dennis Zerr</t>
  </si>
  <si>
    <t>J927</t>
  </si>
  <si>
    <t>Rusty Woods</t>
  </si>
  <si>
    <t>J911</t>
  </si>
  <si>
    <t>Dale Theil</t>
  </si>
  <si>
    <t>J96 (SHOW MACHINE)</t>
  </si>
  <si>
    <t>Richmeier</t>
  </si>
  <si>
    <t>J921</t>
  </si>
  <si>
    <t xml:space="preserve"> Joe Swanson</t>
  </si>
  <si>
    <t>apr.</t>
  </si>
  <si>
    <t>HaroldK</t>
  </si>
  <si>
    <t>J929</t>
  </si>
  <si>
    <t>John Roy Kelty</t>
  </si>
  <si>
    <t>J919</t>
  </si>
  <si>
    <t xml:space="preserve"> Stamper</t>
  </si>
  <si>
    <t>J930</t>
  </si>
  <si>
    <t>Oon order / Mindemann</t>
  </si>
  <si>
    <t>J98</t>
  </si>
  <si>
    <t>Wes Slattery</t>
  </si>
  <si>
    <t>J928</t>
  </si>
  <si>
    <t>Donnie Fletcher</t>
  </si>
  <si>
    <t>J93 (SHOW MACHINE)</t>
  </si>
  <si>
    <t>Jason P.</t>
  </si>
  <si>
    <t>J99</t>
  </si>
  <si>
    <t>Ron Suppes</t>
  </si>
  <si>
    <t>J924</t>
  </si>
  <si>
    <t xml:space="preserve"> Antholz</t>
  </si>
  <si>
    <t>J95 (SHOW MACHINE)</t>
  </si>
  <si>
    <t>Darrell Brenner</t>
  </si>
  <si>
    <t>To Build 2012</t>
  </si>
  <si>
    <t>To Build 2013</t>
  </si>
  <si>
    <t>J913</t>
  </si>
  <si>
    <t>Skip Crist</t>
  </si>
  <si>
    <t>J925</t>
  </si>
  <si>
    <t xml:space="preserve">Ron Maike </t>
  </si>
  <si>
    <t>J916</t>
  </si>
  <si>
    <t>Dave Novak</t>
  </si>
  <si>
    <t>J917</t>
  </si>
  <si>
    <t xml:space="preserve"> Als Farms</t>
  </si>
  <si>
    <t>J912</t>
  </si>
  <si>
    <t xml:space="preserve"> Mac Farms</t>
  </si>
  <si>
    <t>J926</t>
  </si>
  <si>
    <t>Hays / Richmeier</t>
  </si>
  <si>
    <t>J9-35</t>
  </si>
  <si>
    <t xml:space="preserve">Lee Vyzourek </t>
  </si>
  <si>
    <t>J9-37</t>
  </si>
  <si>
    <t xml:space="preserve">0 -- </t>
  </si>
  <si>
    <t>J9-38</t>
  </si>
  <si>
    <t>Tim Fay</t>
  </si>
  <si>
    <t>John Tait</t>
  </si>
  <si>
    <t>Ian Best</t>
  </si>
  <si>
    <t>Lance Rhule</t>
  </si>
  <si>
    <t>John Henderson</t>
  </si>
  <si>
    <t>Peter Tait</t>
  </si>
  <si>
    <t xml:space="preserve">Pending -- </t>
  </si>
  <si>
    <t>J9-36</t>
  </si>
  <si>
    <t>Stock</t>
  </si>
  <si>
    <t>Order #1-Pandora</t>
  </si>
  <si>
    <t>Pandora Ohio</t>
  </si>
  <si>
    <t>Order #21-John Lowery</t>
  </si>
  <si>
    <t>Lowery / Paragon In.</t>
  </si>
  <si>
    <t>Order #27</t>
  </si>
  <si>
    <t>Order #7</t>
  </si>
  <si>
    <t>Barnard / Martinsville In.</t>
  </si>
  <si>
    <t>SEPT. 2008</t>
  </si>
  <si>
    <t>Order #4-Demo</t>
  </si>
  <si>
    <t>Waitt Indy</t>
  </si>
  <si>
    <t>Order #10</t>
  </si>
  <si>
    <t>Order from Ken Edmonson</t>
  </si>
  <si>
    <t>Order #23</t>
  </si>
  <si>
    <t>Melvin (retailed)</t>
  </si>
  <si>
    <t>Melvin / Wilmington Ohio</t>
  </si>
  <si>
    <t>Order #16</t>
  </si>
  <si>
    <t>Rose Brothers</t>
  </si>
  <si>
    <t>Order #9</t>
  </si>
  <si>
    <t>Wells</t>
  </si>
  <si>
    <t>Order #15-Little Ireland</t>
  </si>
  <si>
    <t>Maloney / Brownsburg In</t>
  </si>
  <si>
    <t>Order #8</t>
  </si>
  <si>
    <t>Order #18-Artman</t>
  </si>
  <si>
    <t>Artman / Lebanon In</t>
  </si>
  <si>
    <t>Order #2 Hinshaw</t>
  </si>
  <si>
    <t>On Order / Hinshaw</t>
  </si>
  <si>
    <t>Order #20 Hoops</t>
  </si>
  <si>
    <t>Hoops / Thornville In.</t>
  </si>
  <si>
    <t>Order #13</t>
  </si>
  <si>
    <t>Nick Heitz</t>
  </si>
  <si>
    <t>Order #14-Norris</t>
  </si>
  <si>
    <t>On order Norris</t>
  </si>
  <si>
    <t>Order #19</t>
  </si>
  <si>
    <t>Steve Moore</t>
  </si>
  <si>
    <t>Order #25-Berg</t>
  </si>
  <si>
    <t>On order Berg</t>
  </si>
  <si>
    <t>Order #6-Musselman</t>
  </si>
  <si>
    <t>Macy IN</t>
  </si>
  <si>
    <t>Order #22 Carey and Sons</t>
  </si>
  <si>
    <t xml:space="preserve"> Carey / Sheridan In</t>
  </si>
  <si>
    <t>KMLS / Leipsic Ohio</t>
  </si>
  <si>
    <t>Order #5</t>
  </si>
  <si>
    <t>Swingley / Parker City In</t>
  </si>
  <si>
    <t>Order #17</t>
  </si>
  <si>
    <t>Jason Brand</t>
  </si>
  <si>
    <t>Theissen</t>
  </si>
  <si>
    <t>Vetter</t>
  </si>
  <si>
    <t># 53</t>
  </si>
  <si>
    <t># 37 Unger</t>
  </si>
  <si>
    <t>Carlisle In</t>
  </si>
  <si>
    <t># 38 Summers</t>
  </si>
  <si>
    <t>Lebanon In</t>
  </si>
  <si>
    <t># 55</t>
  </si>
  <si>
    <t>Melvin Liquid</t>
  </si>
  <si>
    <t># 56</t>
  </si>
  <si>
    <t># 20</t>
  </si>
  <si>
    <t>Order from Newtown</t>
  </si>
  <si>
    <t># 50</t>
  </si>
  <si>
    <t>Order from Rex Filbrun</t>
  </si>
  <si>
    <t># 51</t>
  </si>
  <si>
    <t># 36-Clifton &amp; Quigg</t>
  </si>
  <si>
    <t>Cliften / Linden In</t>
  </si>
  <si>
    <t># 35-Wischmeier</t>
  </si>
  <si>
    <t>Wischmeier / Brownstown</t>
  </si>
  <si>
    <t># 40-White River</t>
  </si>
  <si>
    <t>Worthington In</t>
  </si>
  <si>
    <t># 52</t>
  </si>
  <si>
    <t>apo9-1</t>
  </si>
  <si>
    <t>Delivered</t>
  </si>
  <si>
    <t>apo9-3</t>
  </si>
  <si>
    <t>apo9-2</t>
  </si>
  <si>
    <t>apo9-37</t>
  </si>
  <si>
    <t>apo9-23</t>
  </si>
  <si>
    <t>apo9-5 Stock</t>
  </si>
  <si>
    <t>apo9-28</t>
  </si>
  <si>
    <t>On Demo</t>
  </si>
  <si>
    <t>Darrell Hagan</t>
  </si>
  <si>
    <t>apo9-15 Bunte</t>
  </si>
  <si>
    <t>apo9-7</t>
  </si>
  <si>
    <t>apo9-18-Fehr</t>
  </si>
  <si>
    <t>Paul Winter</t>
  </si>
  <si>
    <t>Dan Langel</t>
  </si>
  <si>
    <t>Andover Grain</t>
  </si>
  <si>
    <t>Dennis Price</t>
  </si>
  <si>
    <t>Lammert Farms</t>
  </si>
  <si>
    <t>Moore Farms</t>
  </si>
  <si>
    <t>Devon Treaster</t>
  </si>
  <si>
    <t>Terry Ring</t>
  </si>
  <si>
    <t>Bob Morganstern</t>
  </si>
  <si>
    <t>Treaster</t>
  </si>
  <si>
    <t>Pavlu</t>
  </si>
  <si>
    <t>Butler</t>
  </si>
  <si>
    <t>Jsimpson</t>
  </si>
  <si>
    <t>Balzac - Sold Anderson</t>
  </si>
  <si>
    <t>apo9-9</t>
  </si>
  <si>
    <t>apo9-10 Simpson</t>
  </si>
  <si>
    <t>apo9-8 Walter</t>
  </si>
  <si>
    <t>Tom Howard</t>
  </si>
  <si>
    <t>Hancock Family Farms</t>
  </si>
  <si>
    <t>Transfer to Owensboro</t>
  </si>
  <si>
    <t>apo9-17 Odom Farms</t>
  </si>
  <si>
    <t>apo9-11 Streitmatter</t>
  </si>
  <si>
    <t>apo9-45 Brad Smith</t>
  </si>
  <si>
    <t>apo9-14</t>
  </si>
  <si>
    <t>apo9-25-Briney</t>
  </si>
  <si>
    <t>Randy Order</t>
  </si>
  <si>
    <t>Harold</t>
  </si>
  <si>
    <t>Jason</t>
  </si>
  <si>
    <t>apo9-26 McCleary</t>
  </si>
  <si>
    <t>apo9-4b-Solberg</t>
  </si>
  <si>
    <t>apo9-6</t>
  </si>
  <si>
    <t>apo9-19 Boyer</t>
  </si>
  <si>
    <t>2-Miller</t>
  </si>
  <si>
    <t>Miller-del.</t>
  </si>
  <si>
    <t>Scheter-del.</t>
  </si>
  <si>
    <t>Terry Gast</t>
  </si>
  <si>
    <t>Papst</t>
  </si>
  <si>
    <t>Stevenson</t>
  </si>
  <si>
    <t>Bobby Thompson</t>
  </si>
  <si>
    <t>Thompkins Bros.</t>
  </si>
  <si>
    <t>Ricky Hargus</t>
  </si>
  <si>
    <t>Harvey Heir</t>
  </si>
  <si>
    <t>Don Carlisle</t>
  </si>
  <si>
    <t>Sold Assiniboia -Karst</t>
  </si>
  <si>
    <t>Sold Regina - Pattison</t>
  </si>
  <si>
    <t>Charles McCullough</t>
  </si>
  <si>
    <t>Brandon Packard Farms</t>
  </si>
  <si>
    <t>Sheppard Family Farms</t>
  </si>
  <si>
    <t>Gamrod</t>
  </si>
  <si>
    <t>C Flax</t>
  </si>
  <si>
    <t>JSimpson</t>
  </si>
  <si>
    <t>Ryan Flax</t>
  </si>
  <si>
    <t>Gast-del.</t>
  </si>
  <si>
    <t>Jerry Cullison</t>
  </si>
  <si>
    <t>Cullison-del.</t>
  </si>
  <si>
    <t>LaGrande</t>
  </si>
  <si>
    <t>Show Machine/PW</t>
  </si>
  <si>
    <t>Marshall</t>
  </si>
  <si>
    <t>40509 (Frankfort Farm Supply)</t>
  </si>
  <si>
    <t xml:space="preserve">  Frankfort - del.</t>
  </si>
  <si>
    <t>Schriver-del.</t>
  </si>
  <si>
    <t xml:space="preserve"> D. Dunkman - del.</t>
  </si>
  <si>
    <t>#3 Kneifl</t>
  </si>
  <si>
    <t>Kneifl-del.</t>
  </si>
  <si>
    <t>#4 Tifthamer</t>
  </si>
  <si>
    <t>Tifthamer-del.</t>
  </si>
  <si>
    <t>#9-Tegeler</t>
  </si>
  <si>
    <t>Tegeler-del.</t>
  </si>
  <si>
    <t>#7 Domina</t>
  </si>
  <si>
    <t xml:space="preserve">  Domina - del</t>
  </si>
  <si>
    <t>#10-Arlo Flerschman</t>
  </si>
  <si>
    <t xml:space="preserve"> Flescherman-del. </t>
  </si>
  <si>
    <t>#1</t>
  </si>
  <si>
    <t>Nash/Holowell-del.</t>
  </si>
  <si>
    <t>#2</t>
  </si>
  <si>
    <t>Dorn - del.</t>
  </si>
  <si>
    <t>#12</t>
  </si>
  <si>
    <t>#8</t>
  </si>
  <si>
    <t xml:space="preserve">  Weitfeld - del.</t>
  </si>
  <si>
    <t>#5 McLaughlin</t>
  </si>
  <si>
    <t>McLaughlin-del.</t>
  </si>
  <si>
    <t>#6</t>
  </si>
  <si>
    <t>Kraemer-del.</t>
  </si>
  <si>
    <t>#11</t>
  </si>
  <si>
    <t>Huls - del.</t>
  </si>
  <si>
    <t>Russ Keast</t>
  </si>
  <si>
    <t>Keast-del.</t>
  </si>
  <si>
    <t>Demo</t>
  </si>
  <si>
    <t>Dave Joslin-del.</t>
  </si>
  <si>
    <t>Randy Williams</t>
  </si>
  <si>
    <t>Williams-del.</t>
  </si>
  <si>
    <t>High River</t>
  </si>
  <si>
    <t>PO # 1</t>
  </si>
  <si>
    <t>Grande Prairie</t>
  </si>
  <si>
    <t>PO # 3</t>
  </si>
  <si>
    <t>PO # 2</t>
  </si>
  <si>
    <t>Dawson Creek</t>
  </si>
  <si>
    <t>PO # 4</t>
  </si>
  <si>
    <t>2 (retailed)</t>
  </si>
  <si>
    <t>Wetaskiwin</t>
  </si>
  <si>
    <t>1 (retailed)</t>
  </si>
  <si>
    <t>PA 1</t>
  </si>
  <si>
    <t>Lloydminster - Sold Dorie</t>
  </si>
  <si>
    <t>Aaron Paris</t>
  </si>
  <si>
    <t>Justin Schmidt</t>
  </si>
  <si>
    <t>Steve Mosher</t>
  </si>
  <si>
    <t>Brian Mckinney</t>
  </si>
  <si>
    <t>Dusty</t>
  </si>
  <si>
    <t>Brooks Davis</t>
  </si>
  <si>
    <t>Chuck Weldon</t>
  </si>
  <si>
    <t>Prince Albert</t>
  </si>
  <si>
    <t>Melfort 1</t>
  </si>
  <si>
    <t>Melfort</t>
  </si>
  <si>
    <t>Melfort 2</t>
  </si>
  <si>
    <t>PA 2</t>
  </si>
  <si>
    <t>PA 4</t>
  </si>
  <si>
    <t>9-Metz Farms</t>
  </si>
  <si>
    <t>2-Gow</t>
  </si>
  <si>
    <t>Brooks</t>
  </si>
  <si>
    <t>1-Jackson</t>
  </si>
  <si>
    <t>m10825</t>
  </si>
  <si>
    <t>m10826</t>
  </si>
  <si>
    <t>m10827</t>
  </si>
  <si>
    <t>m10819</t>
  </si>
  <si>
    <t>Lloydminister</t>
  </si>
  <si>
    <t>m10830</t>
  </si>
  <si>
    <t>Jeff Peterson</t>
  </si>
  <si>
    <t>Mark Peterson</t>
  </si>
  <si>
    <t>Lloydminster</t>
  </si>
  <si>
    <t>m10831</t>
  </si>
  <si>
    <t>m10824</t>
  </si>
  <si>
    <t>m10818</t>
  </si>
  <si>
    <t>m10823</t>
  </si>
  <si>
    <t>m10833</t>
  </si>
  <si>
    <t>m10821</t>
  </si>
  <si>
    <t>m10820-Byron Siemans</t>
  </si>
  <si>
    <t>Perdue</t>
  </si>
  <si>
    <t>m10822</t>
  </si>
  <si>
    <t>m10832</t>
  </si>
  <si>
    <t>m10828</t>
  </si>
  <si>
    <t>m10829</t>
  </si>
  <si>
    <t>Raymore</t>
  </si>
  <si>
    <t>Yorkton</t>
  </si>
  <si>
    <t>Shaunavon</t>
  </si>
  <si>
    <t>St Paul</t>
  </si>
  <si>
    <t>Verbal</t>
  </si>
  <si>
    <t>Paul J Logsdon</t>
  </si>
  <si>
    <t>Bruce Pierce</t>
  </si>
  <si>
    <t>Medicine Hat - Sold Dietrich</t>
  </si>
  <si>
    <t>Wainwright - Sold Glenholm</t>
  </si>
  <si>
    <t>Wainwright - Sold Olsen</t>
  </si>
  <si>
    <t>Regina - Sold Koch</t>
  </si>
  <si>
    <t>Medicine Hat - Sold Saunders</t>
  </si>
  <si>
    <t>Thompson Farms</t>
  </si>
  <si>
    <t>Retailed Benedict Farms</t>
  </si>
  <si>
    <t>Kurt Gretzinger</t>
  </si>
  <si>
    <t>HTM Farms</t>
  </si>
  <si>
    <t>Shady Bend Farms- Delivered</t>
  </si>
  <si>
    <t>Tom Nelson</t>
  </si>
  <si>
    <t>Brad Thomas-Delivered</t>
  </si>
  <si>
    <t>Pherson Farms-Delivered</t>
  </si>
  <si>
    <t>Bland Land and Cattle</t>
  </si>
  <si>
    <t>Rodney Flaugh</t>
  </si>
  <si>
    <t>Randy Hulls</t>
  </si>
  <si>
    <t>Garnett</t>
  </si>
  <si>
    <t>Marty McPeake</t>
  </si>
  <si>
    <t>Mitchell</t>
  </si>
  <si>
    <t>Joel Newman</t>
  </si>
  <si>
    <t>Beaver Creek</t>
  </si>
  <si>
    <t>L&amp;L Barrett</t>
  </si>
  <si>
    <t>Pasture Belt</t>
  </si>
  <si>
    <t>1522-Winchell Farms</t>
  </si>
  <si>
    <t>David Winchell</t>
  </si>
  <si>
    <t>Bob Wade</t>
  </si>
  <si>
    <t>1542-Fueger</t>
  </si>
  <si>
    <t>Fueger Farms</t>
  </si>
  <si>
    <t>Mike Reynolds</t>
  </si>
  <si>
    <t>Hagan Farms</t>
  </si>
  <si>
    <t>Drake Farm Service</t>
  </si>
  <si>
    <t>Steve Carver</t>
  </si>
  <si>
    <t>1520-Southern States</t>
  </si>
  <si>
    <t>Southern States</t>
  </si>
  <si>
    <t>Dossett Farms</t>
  </si>
  <si>
    <t>Scott Singleton</t>
  </si>
  <si>
    <t>Beyke Farms</t>
  </si>
  <si>
    <t>Danny Powell</t>
  </si>
  <si>
    <t>1529-Mosbey</t>
  </si>
  <si>
    <t>Tim Mosbey</t>
  </si>
  <si>
    <t>Estes Farms</t>
  </si>
  <si>
    <t>JRB Grain</t>
  </si>
  <si>
    <t>1558 (Hancock Farms)</t>
  </si>
  <si>
    <t>Hancock Farms</t>
  </si>
  <si>
    <t>1544-Tosh Farms</t>
  </si>
  <si>
    <t>Tosh Farms</t>
  </si>
  <si>
    <t>Matt Keller</t>
  </si>
  <si>
    <t>C&amp;F Farm Supply</t>
  </si>
  <si>
    <t>Rocky Shaw</t>
  </si>
  <si>
    <t>Swift Current - Sold Dyck</t>
  </si>
  <si>
    <t>Swift Current - Hughs</t>
  </si>
  <si>
    <t>CPS Henderson</t>
  </si>
  <si>
    <t>1536-Armstrong</t>
  </si>
  <si>
    <t>Armstrong Farms</t>
  </si>
  <si>
    <t xml:space="preserve"> </t>
  </si>
  <si>
    <t>Walter Riggs</t>
  </si>
  <si>
    <t>Coopland Farms</t>
  </si>
  <si>
    <t>Randy Groves</t>
  </si>
  <si>
    <t>1530-Rodney Howard</t>
  </si>
  <si>
    <t>Rodney Howard</t>
  </si>
  <si>
    <t>1 -- Delivered</t>
  </si>
  <si>
    <t>2 -- Delivered</t>
  </si>
  <si>
    <t>2/11 2 of 4</t>
  </si>
  <si>
    <t>Caraway Farms</t>
  </si>
  <si>
    <t>3 of 4 Mike Koenig</t>
  </si>
  <si>
    <t>2/11 3 of 4</t>
  </si>
  <si>
    <t xml:space="preserve">Order #2 -- Jeff Lyons </t>
  </si>
  <si>
    <t>Don Berge</t>
  </si>
  <si>
    <t>Don Berge -- Delivered</t>
  </si>
  <si>
    <t xml:space="preserve">Order #3 -- </t>
  </si>
  <si>
    <t xml:space="preserve">Order #1 -- </t>
  </si>
  <si>
    <t xml:space="preserve">Order #4 -- </t>
  </si>
  <si>
    <t>Pabst</t>
  </si>
  <si>
    <t xml:space="preserve">Pabst -- </t>
  </si>
  <si>
    <t>Shape</t>
  </si>
  <si>
    <t>Redhead</t>
  </si>
  <si>
    <t>Albion</t>
  </si>
  <si>
    <t>Shape -- Delivered</t>
  </si>
  <si>
    <t>WaxWeiler Farms</t>
  </si>
  <si>
    <t>WaxWeiler Farms -- Delivered</t>
  </si>
  <si>
    <t>Gackle Grain</t>
  </si>
  <si>
    <t>Gackle Grain -- Delivered</t>
  </si>
  <si>
    <t>5-Vernon Nelson</t>
  </si>
  <si>
    <t xml:space="preserve">5-Vernon Nelson -- </t>
  </si>
  <si>
    <t>6-Brady Lemer</t>
  </si>
  <si>
    <t>Peter Mellings</t>
  </si>
  <si>
    <t>Boissevain</t>
  </si>
  <si>
    <t>Winkler</t>
  </si>
  <si>
    <t>Langenburg</t>
  </si>
  <si>
    <t>Shoal Lake</t>
  </si>
  <si>
    <t>Dauphin</t>
  </si>
  <si>
    <t>Brandon</t>
  </si>
  <si>
    <t>Killarney</t>
  </si>
  <si>
    <t>Preeceville</t>
  </si>
  <si>
    <t xml:space="preserve">6-Brady Lemer -- </t>
  </si>
  <si>
    <t>9-Clint Rasmussen</t>
  </si>
  <si>
    <t>9- Paul Rauh</t>
  </si>
  <si>
    <t>1-Reuban Olson</t>
  </si>
  <si>
    <t>4-Tom Nelson</t>
  </si>
  <si>
    <t>4-Tom Nelson -- Delivered</t>
  </si>
  <si>
    <t>2 - Shawn Froseph</t>
  </si>
  <si>
    <t>3-Voloschanko -- Dealership</t>
  </si>
  <si>
    <t>12 -- Lynn Brodal</t>
  </si>
  <si>
    <t>7 -- Art Glasoe</t>
  </si>
  <si>
    <t xml:space="preserve">8 -- Lance Glasoe </t>
  </si>
  <si>
    <t>11 -- Clint Rassmussen</t>
  </si>
  <si>
    <t xml:space="preserve">10 -- </t>
  </si>
  <si>
    <t>Pasture Belt Farms</t>
  </si>
  <si>
    <t>Grande Prairie - Sold Shanard</t>
  </si>
  <si>
    <t>Sold Rewarts</t>
  </si>
  <si>
    <t>Retailed River Hills Ranch</t>
  </si>
  <si>
    <t>Weitfeld</t>
  </si>
  <si>
    <t>Nathan Huck</t>
  </si>
  <si>
    <t>Kerry Shorthom</t>
  </si>
  <si>
    <t>Gerald Lix</t>
  </si>
  <si>
    <t>Ricky Heeke</t>
  </si>
  <si>
    <t>Greg Andrson</t>
  </si>
  <si>
    <t>Jaques</t>
  </si>
  <si>
    <t>1 -- Dealership</t>
  </si>
  <si>
    <t>2 -- Dealership</t>
  </si>
  <si>
    <t xml:space="preserve">4 -- </t>
  </si>
  <si>
    <t xml:space="preserve">3 -- </t>
  </si>
  <si>
    <t>LM #1</t>
  </si>
  <si>
    <t>LM #1 -- Enns Agri Sales</t>
  </si>
  <si>
    <t>Wayne Stansall</t>
  </si>
  <si>
    <t>Order #1 of 6</t>
  </si>
  <si>
    <t>Dave Eyler</t>
  </si>
  <si>
    <t>Less Bockman</t>
  </si>
  <si>
    <t>Swift Current - Sold Watson</t>
  </si>
  <si>
    <t>Order #1 of 6 -- Hermans</t>
  </si>
  <si>
    <t>Order #6 of 14</t>
  </si>
  <si>
    <t>Order #6 of 14 -- Killarney</t>
  </si>
  <si>
    <t>PO 4/17</t>
  </si>
  <si>
    <t>4/17 Wallewein -- Dealership</t>
  </si>
  <si>
    <t>PO 5/17</t>
  </si>
  <si>
    <t xml:space="preserve">5/17 Kullavary </t>
  </si>
  <si>
    <t>PO 11/17</t>
  </si>
  <si>
    <t>McGreggor</t>
  </si>
  <si>
    <t>PO 12/17</t>
  </si>
  <si>
    <t>PO 12/17 -- Allan</t>
  </si>
  <si>
    <t>PO 15/17</t>
  </si>
  <si>
    <t>Hendrickson Farms</t>
  </si>
  <si>
    <t xml:space="preserve">PO 15/17 -- Moosomin </t>
  </si>
  <si>
    <t>Order #2 of 14</t>
  </si>
  <si>
    <t>Order #2 of 14 -- Butcher</t>
  </si>
  <si>
    <t>PO 9/17</t>
  </si>
  <si>
    <t>PO 9/17 -- Dolter</t>
  </si>
  <si>
    <t>Order #3 of 14</t>
  </si>
  <si>
    <t>Order #3 of 14 -- Falloon</t>
  </si>
  <si>
    <t>PO 10/17</t>
  </si>
  <si>
    <t>Meysenburg</t>
  </si>
  <si>
    <t>Jesina</t>
  </si>
  <si>
    <t xml:space="preserve">PO 10/17 -- Brandon </t>
  </si>
  <si>
    <t>PO 16/17</t>
  </si>
  <si>
    <t xml:space="preserve">PO 16/17 -- Shoal Lake </t>
  </si>
  <si>
    <t>Order #4 of 14</t>
  </si>
  <si>
    <t>PO 6/17</t>
  </si>
  <si>
    <t xml:space="preserve">6/17 Flannery -- </t>
  </si>
  <si>
    <t>PO 2/2</t>
  </si>
  <si>
    <t>PO 2/2 -- Stewart</t>
  </si>
  <si>
    <t>PO 13/17</t>
  </si>
  <si>
    <t xml:space="preserve">PO 13/17 -- </t>
  </si>
  <si>
    <t>Order #5 of 14</t>
  </si>
  <si>
    <t>Order #5 of 14 -- Davy</t>
  </si>
  <si>
    <t>Order #4 of 6</t>
  </si>
  <si>
    <t xml:space="preserve">Order #4 of 6 -- Nowosad </t>
  </si>
  <si>
    <t>PO 14/17</t>
  </si>
  <si>
    <t xml:space="preserve">PO 14/17 -- Brandon </t>
  </si>
  <si>
    <t>PO 1/1</t>
  </si>
  <si>
    <t>PO 1/1 -- Hodgins</t>
  </si>
  <si>
    <t>Order #14 of 14</t>
  </si>
  <si>
    <t>Poirier</t>
  </si>
  <si>
    <t>Terry Burris - OVA-KY</t>
  </si>
  <si>
    <t>Order #1 of 14-Zepick</t>
  </si>
  <si>
    <t>1/14 Zepick -- Dealership</t>
  </si>
  <si>
    <t>PO 2/17</t>
  </si>
  <si>
    <t>2/17 Poirier -- Dealership</t>
  </si>
  <si>
    <t>Order #2 of 6</t>
  </si>
  <si>
    <t xml:space="preserve">Order #2 of 6 -- Manulak </t>
  </si>
  <si>
    <t>Order #9 of 14</t>
  </si>
  <si>
    <t>PO 3/17</t>
  </si>
  <si>
    <t>3/17 Martin -- Dealership</t>
  </si>
  <si>
    <t>Order #10 of 14</t>
  </si>
  <si>
    <t>Order #10 of 14 -- Boissvaine</t>
  </si>
  <si>
    <t>PO 1/17</t>
  </si>
  <si>
    <t>1/17 Scaman</t>
  </si>
  <si>
    <t>Order #3 of 6</t>
  </si>
  <si>
    <t xml:space="preserve">Order #3 of 6 -- Muller </t>
  </si>
  <si>
    <t>Order #11 of 14</t>
  </si>
  <si>
    <t>Order #12 of 14</t>
  </si>
  <si>
    <t xml:space="preserve">Order #12 of 14 -- Killarney </t>
  </si>
  <si>
    <t>PO 17/17</t>
  </si>
  <si>
    <t>Heller</t>
  </si>
  <si>
    <t xml:space="preserve">PO 17/17 -- Killarney </t>
  </si>
  <si>
    <t>Order #5 of 6</t>
  </si>
  <si>
    <t>Order #5 of 6 -- Reimer</t>
  </si>
  <si>
    <t>PO 7/17</t>
  </si>
  <si>
    <t>Wainwright - Sold Specht</t>
  </si>
  <si>
    <t>Medicine Hat - Sold Dyck</t>
  </si>
  <si>
    <t>05/18/2012</t>
  </si>
  <si>
    <t>PO 7/17 -- Whittle</t>
  </si>
  <si>
    <t>PO 1/2</t>
  </si>
  <si>
    <t>PO 1/2 -- Verbrugen</t>
  </si>
  <si>
    <t>PO 8/17</t>
  </si>
  <si>
    <t>Skylmoski</t>
  </si>
  <si>
    <t>Order #6 of 6</t>
  </si>
  <si>
    <t>Order #6 of 6 -- Boissvaine</t>
  </si>
  <si>
    <t>Order #7 of 14</t>
  </si>
  <si>
    <t>Order #7 of 14 -- Moosomin</t>
  </si>
  <si>
    <t>Order #8 of 14</t>
  </si>
  <si>
    <t>Order #8 of 14 -- Shoal Lake</t>
  </si>
  <si>
    <t>Order #13 of 14</t>
  </si>
  <si>
    <t xml:space="preserve">Order #13/14 Gilson </t>
  </si>
  <si>
    <t>PR 2/7 (Sweeney Farms)</t>
  </si>
  <si>
    <t>Sweeney Farms</t>
  </si>
  <si>
    <t>7-Doug Vosper</t>
  </si>
  <si>
    <t xml:space="preserve">7-Doug Vosper -- </t>
  </si>
  <si>
    <t>4</t>
  </si>
  <si>
    <t>Park River #1/3</t>
  </si>
  <si>
    <t xml:space="preserve">Park River #1/3 -- </t>
  </si>
  <si>
    <t>Park River #3/3</t>
  </si>
  <si>
    <t xml:space="preserve">Park River #3/3 -Kevin Brown </t>
  </si>
  <si>
    <t xml:space="preserve">10 -Midgarden </t>
  </si>
  <si>
    <t>1/16 1/3</t>
  </si>
  <si>
    <t>1/16 2/3-Garth Ford</t>
  </si>
  <si>
    <t>Garth Ford</t>
  </si>
  <si>
    <t>1/16 2/3</t>
  </si>
  <si>
    <t>5-Boughee</t>
  </si>
  <si>
    <t xml:space="preserve">5-Bob Boughee </t>
  </si>
  <si>
    <t xml:space="preserve">9 -- </t>
  </si>
  <si>
    <t>6-Clint Linstad</t>
  </si>
  <si>
    <t xml:space="preserve">6-Clint Linstad -- </t>
  </si>
  <si>
    <t>Park River #2/3</t>
  </si>
  <si>
    <t xml:space="preserve">Park River #2/3 -- </t>
  </si>
  <si>
    <t>Fleckstine</t>
  </si>
  <si>
    <t>Walker</t>
  </si>
  <si>
    <t>Duane Christofferson</t>
  </si>
  <si>
    <t>Paustian Enterprises</t>
  </si>
  <si>
    <t>Lanz Farm Corp.</t>
  </si>
  <si>
    <t xml:space="preserve">8 -Stan Buxa </t>
  </si>
  <si>
    <t>Demo Unit</t>
  </si>
  <si>
    <t>Becker Farms</t>
  </si>
  <si>
    <t>Steve Ament</t>
  </si>
  <si>
    <t>Chromy - Kruse</t>
  </si>
  <si>
    <t>Stewart</t>
  </si>
  <si>
    <t>Kevin Tubs</t>
  </si>
  <si>
    <t>Gerald Hirt</t>
  </si>
  <si>
    <t>Tom Brenamen</t>
  </si>
  <si>
    <t xml:space="preserve"> Wendell Brunet </t>
  </si>
  <si>
    <t xml:space="preserve">John McClendon </t>
  </si>
  <si>
    <t>T Gattis</t>
  </si>
  <si>
    <t>Hal Israel</t>
  </si>
  <si>
    <t>Foos</t>
  </si>
  <si>
    <t>Raft</t>
  </si>
  <si>
    <t>Hubber</t>
  </si>
  <si>
    <t>J Simpsn</t>
  </si>
  <si>
    <t>Pavlue</t>
  </si>
  <si>
    <t>Ward</t>
  </si>
  <si>
    <t>TRANSFER - SOLD DLE</t>
  </si>
  <si>
    <t>L Gattis</t>
  </si>
  <si>
    <t xml:space="preserve">Stock -Becker Farms </t>
  </si>
  <si>
    <t>Pederson</t>
  </si>
  <si>
    <t xml:space="preserve">Pederson -- </t>
  </si>
  <si>
    <t>Paulsrud</t>
  </si>
  <si>
    <t xml:space="preserve">Paulsrud -- </t>
  </si>
  <si>
    <t>Swenson</t>
  </si>
  <si>
    <t>Swenson -- Boom Mount</t>
  </si>
  <si>
    <t xml:space="preserve">Stock -- 132 ft Boom Mount </t>
  </si>
  <si>
    <t>Terry Weiting</t>
  </si>
  <si>
    <t xml:space="preserve">Stock -- Weiting </t>
  </si>
  <si>
    <t>Dave Gross</t>
  </si>
  <si>
    <t xml:space="preserve">Dave Gross -- </t>
  </si>
  <si>
    <t>Retailed (Ryan)</t>
  </si>
  <si>
    <t>Zerbe Transfer</t>
  </si>
  <si>
    <t>Unit 3</t>
  </si>
  <si>
    <t xml:space="preserve">Unit 3 Loren Haus </t>
  </si>
  <si>
    <t xml:space="preserve">1 -- </t>
  </si>
  <si>
    <t xml:space="preserve">2 -- </t>
  </si>
  <si>
    <t>Unit 4</t>
  </si>
  <si>
    <t xml:space="preserve">Unit 4 -- </t>
  </si>
  <si>
    <t>Unit 5</t>
  </si>
  <si>
    <t xml:space="preserve">Unit 5 -- </t>
  </si>
  <si>
    <t>Unit 6</t>
  </si>
  <si>
    <t xml:space="preserve">Unit 6 -- </t>
  </si>
  <si>
    <t>Unit 7 --</t>
  </si>
  <si>
    <t>Ringer</t>
  </si>
  <si>
    <t>rep2009</t>
  </si>
  <si>
    <t>Dealer Request Date2009</t>
  </si>
  <si>
    <t>PO Date2009</t>
  </si>
  <si>
    <t>Sold to2009</t>
  </si>
  <si>
    <t>Serial #2009</t>
  </si>
  <si>
    <t>Series2009</t>
  </si>
  <si>
    <t>Customer PO #2009</t>
  </si>
  <si>
    <t>Location2009</t>
  </si>
  <si>
    <t>Committed For2009</t>
  </si>
  <si>
    <t>Date Committed2009</t>
  </si>
  <si>
    <t>Retailed2009</t>
  </si>
  <si>
    <t>Date Retailed2009</t>
  </si>
  <si>
    <t>Paid For (Date)2009</t>
  </si>
  <si>
    <t>Hours on Demo</t>
  </si>
  <si>
    <t>Sold to: Kamuf Bros</t>
  </si>
  <si>
    <t>Dec,2009</t>
  </si>
  <si>
    <t>Sold to: Heppler Farms</t>
  </si>
  <si>
    <t>Sold to: Gill Brothers</t>
  </si>
  <si>
    <t>Sold to: Triple H Farms</t>
  </si>
  <si>
    <t>Sold to: T&amp;H Feed</t>
  </si>
  <si>
    <t>Sold to: Larry Schwiresch</t>
  </si>
  <si>
    <t>Feb, 2010</t>
  </si>
  <si>
    <t>Sold to: Larry Powell</t>
  </si>
  <si>
    <t>Kenmare</t>
  </si>
  <si>
    <t>#1 Demo</t>
  </si>
  <si>
    <t>#2 Demo</t>
  </si>
  <si>
    <t>Demo #1</t>
  </si>
  <si>
    <t>Demo #2</t>
  </si>
  <si>
    <t xml:space="preserve">#1 Demo </t>
  </si>
  <si>
    <t>Order #1 demo</t>
  </si>
  <si>
    <t>Order #2 demo</t>
  </si>
  <si>
    <t>M12325 Demo</t>
  </si>
  <si>
    <t>M12326 Demo</t>
  </si>
  <si>
    <t>M12327 Demo</t>
  </si>
  <si>
    <t>M12324 Demo</t>
  </si>
  <si>
    <t xml:space="preserve">#3 Demo </t>
  </si>
  <si>
    <t>#4 Demo</t>
  </si>
  <si>
    <t>AP10-3 Demo 1</t>
  </si>
  <si>
    <t>AP10-4 Demo 2</t>
  </si>
  <si>
    <t>120" 90ft Boom</t>
  </si>
  <si>
    <t>Sold to: Tosh Farms</t>
  </si>
  <si>
    <t>Sold to: Steve Lindauer</t>
  </si>
  <si>
    <t>Sold to: Jimmy Herndon</t>
  </si>
  <si>
    <t>Sold to: CPS Henderson</t>
  </si>
  <si>
    <t>Sold to: CPS Waverly</t>
  </si>
  <si>
    <t>Cornwallis Farms</t>
  </si>
  <si>
    <t>Bryan Von Holten - del.</t>
  </si>
  <si>
    <t>Brokaw Supply</t>
  </si>
  <si>
    <t>Thompson</t>
  </si>
  <si>
    <t>Metcalf Farms</t>
  </si>
  <si>
    <t>Hays</t>
  </si>
  <si>
    <t>Bob Wagner</t>
  </si>
  <si>
    <t>Steve Frank</t>
  </si>
  <si>
    <t>Sold - Peters</t>
  </si>
  <si>
    <t>Mosher</t>
  </si>
  <si>
    <t>Sold to: Ronnie Flowers</t>
  </si>
  <si>
    <t>Sold to: Randy Hagan</t>
  </si>
  <si>
    <t>Ft. Dodge</t>
  </si>
  <si>
    <t>Delta NH</t>
  </si>
  <si>
    <t>At demo site</t>
  </si>
  <si>
    <t>Cecilia Farm Service</t>
  </si>
  <si>
    <t>SAM</t>
  </si>
  <si>
    <t>Sold to: Security Seed</t>
  </si>
  <si>
    <t>Inventory</t>
  </si>
  <si>
    <t>Denert - del.</t>
  </si>
  <si>
    <t xml:space="preserve"> Graff - del.</t>
  </si>
  <si>
    <t>Weidner - del.</t>
  </si>
  <si>
    <t>Siefkes - del.</t>
  </si>
  <si>
    <t>Woodward -del.</t>
  </si>
  <si>
    <t>Freese/Rickers - del.</t>
  </si>
  <si>
    <t>Kreig/Claytop - del.</t>
  </si>
  <si>
    <t>Phelps - del.</t>
  </si>
  <si>
    <t>Anderson</t>
  </si>
  <si>
    <t>David Banks</t>
  </si>
  <si>
    <t>Als Farm</t>
  </si>
  <si>
    <t>Devin Hutchins</t>
  </si>
  <si>
    <t>Kiowa Roark Farms</t>
  </si>
  <si>
    <t>Kent Kurtz</t>
  </si>
  <si>
    <t>Amako</t>
  </si>
  <si>
    <t>Dewight Hartman</t>
  </si>
  <si>
    <t>Sulavin</t>
  </si>
  <si>
    <t>Swift Current - Sold Wilson</t>
  </si>
  <si>
    <t>Sold - Indian Springs</t>
  </si>
  <si>
    <t>Brett Stallings</t>
  </si>
  <si>
    <t>Jim Hebve</t>
  </si>
  <si>
    <t>Jack Becker</t>
  </si>
  <si>
    <t>OPEN</t>
  </si>
  <si>
    <t>Gross Brothers</t>
  </si>
  <si>
    <t>Gerald Lix Ransom</t>
  </si>
  <si>
    <t>Mike McClellan Hays</t>
  </si>
  <si>
    <t>Marshal Thompson Hays</t>
  </si>
  <si>
    <t>Greg Seaman</t>
  </si>
  <si>
    <t>Ron Jacques</t>
  </si>
  <si>
    <t>Douglas Lake</t>
  </si>
  <si>
    <t>Sold to: Jeff Blandford</t>
  </si>
  <si>
    <t xml:space="preserve"> Paris</t>
  </si>
  <si>
    <t>ET</t>
  </si>
  <si>
    <t>Cleveland</t>
  </si>
  <si>
    <t>Kevin Sides</t>
  </si>
  <si>
    <t>Deines</t>
  </si>
  <si>
    <t>Suppes</t>
  </si>
  <si>
    <t>Richmier</t>
  </si>
  <si>
    <t>Sterling</t>
  </si>
  <si>
    <t>Gillespe</t>
  </si>
  <si>
    <t>Carson Bros.</t>
  </si>
  <si>
    <t>Chase</t>
  </si>
  <si>
    <t>Heeke</t>
  </si>
  <si>
    <t>Schwartz</t>
  </si>
  <si>
    <t>Pardue</t>
  </si>
  <si>
    <t>Carlise</t>
  </si>
  <si>
    <t>Zerr</t>
  </si>
  <si>
    <t>Champaugh</t>
  </si>
  <si>
    <t>Jeff Knight</t>
  </si>
  <si>
    <t>Sold to: John Arnold</t>
  </si>
  <si>
    <t>Sold Leon Rogers</t>
  </si>
  <si>
    <t>Leon Rogers</t>
  </si>
  <si>
    <t>Lohrenz</t>
  </si>
  <si>
    <t>Weibke</t>
  </si>
  <si>
    <t>Durler</t>
  </si>
  <si>
    <t>Dale Jessup</t>
  </si>
  <si>
    <t>Coberly</t>
  </si>
  <si>
    <t>Dix</t>
  </si>
  <si>
    <t>Cullum</t>
  </si>
  <si>
    <t>Sutherland Farms</t>
  </si>
  <si>
    <t>Larry Wyrick</t>
  </si>
  <si>
    <t>Canny</t>
  </si>
  <si>
    <t>Summervill</t>
  </si>
  <si>
    <t>Rose</t>
  </si>
  <si>
    <t>Helfrich</t>
  </si>
  <si>
    <t>Ralph Kepley</t>
  </si>
  <si>
    <t>Barry Wright</t>
  </si>
  <si>
    <t>Dewayne Fueger</t>
  </si>
  <si>
    <t>Committed</t>
  </si>
  <si>
    <t>Brokaw</t>
  </si>
  <si>
    <t>Moodys Alberta</t>
  </si>
  <si>
    <t>Waitt Indiana</t>
  </si>
  <si>
    <t>Status</t>
  </si>
  <si>
    <t>Ordered</t>
  </si>
  <si>
    <t>Kelly Volchanko</t>
  </si>
  <si>
    <t>132 ft Demo-Wald Farms</t>
  </si>
  <si>
    <t>Jon Petree</t>
  </si>
  <si>
    <t>Jay Jarrett</t>
  </si>
  <si>
    <t>SOLD MIKE HOFFER</t>
  </si>
  <si>
    <t>Jed</t>
  </si>
  <si>
    <t>Don Parker</t>
  </si>
  <si>
    <t>Sold to: Don Parker</t>
  </si>
  <si>
    <t>Mark Meyer</t>
  </si>
  <si>
    <t>S0805091</t>
  </si>
  <si>
    <t>S0805092</t>
  </si>
  <si>
    <t>J1-03 Demo</t>
  </si>
  <si>
    <t>J1-04</t>
  </si>
  <si>
    <t>J1-01 Demo</t>
  </si>
  <si>
    <t>J1-02</t>
  </si>
  <si>
    <t>J1-05</t>
  </si>
  <si>
    <t>J1-06</t>
  </si>
  <si>
    <t>J1-07</t>
  </si>
  <si>
    <t>J1-08</t>
  </si>
  <si>
    <t>J1-10</t>
  </si>
  <si>
    <t>J1-11</t>
  </si>
  <si>
    <t>J1-09</t>
  </si>
  <si>
    <t>J1-12</t>
  </si>
  <si>
    <t>J1-14</t>
  </si>
  <si>
    <t>J1-13</t>
  </si>
  <si>
    <t>J10-15 Als Farms</t>
  </si>
  <si>
    <t>J10-16 Tice</t>
  </si>
  <si>
    <t>J10-17 Seeman</t>
  </si>
  <si>
    <t>J10-18 Hutchins</t>
  </si>
  <si>
    <t>J10-19 Deines</t>
  </si>
  <si>
    <t>J10-20 Jacques</t>
  </si>
  <si>
    <t>J10-21 Pavlu</t>
  </si>
  <si>
    <t>J10-22 Shaw</t>
  </si>
  <si>
    <t>J10-23 Schneider</t>
  </si>
  <si>
    <t>J10-24 Canny</t>
  </si>
  <si>
    <t>J10-25 Richmeier</t>
  </si>
  <si>
    <t>J10-26 Sterling</t>
  </si>
  <si>
    <t>J10-27</t>
  </si>
  <si>
    <t>J10-28</t>
  </si>
  <si>
    <t>J10-29</t>
  </si>
  <si>
    <t>J10-30</t>
  </si>
  <si>
    <t>J10-31</t>
  </si>
  <si>
    <t>J10-32</t>
  </si>
  <si>
    <t>J10-33</t>
  </si>
  <si>
    <t>Verbal sold</t>
  </si>
  <si>
    <t>John Weibke</t>
  </si>
  <si>
    <t>Tim Summervill</t>
  </si>
  <si>
    <t>Kevin Dimler</t>
  </si>
  <si>
    <t>Terry Rose</t>
  </si>
  <si>
    <t>J10-43</t>
  </si>
  <si>
    <t>J10-44</t>
  </si>
  <si>
    <t>J10-45 sold</t>
  </si>
  <si>
    <t>J10-46</t>
  </si>
  <si>
    <t>Steve Minter</t>
  </si>
  <si>
    <t>J10-47</t>
  </si>
  <si>
    <t>J10-49</t>
  </si>
  <si>
    <t>J10-48</t>
  </si>
  <si>
    <t>J10-50</t>
  </si>
  <si>
    <t>J10-51</t>
  </si>
  <si>
    <t>1 of 3 retailed</t>
  </si>
  <si>
    <t>2 of 3</t>
  </si>
  <si>
    <t>Kessenich Livestock&amp; Grain</t>
  </si>
  <si>
    <t xml:space="preserve">3 of 3 </t>
  </si>
  <si>
    <t>stock</t>
  </si>
  <si>
    <t>Bryan Hollinger</t>
  </si>
  <si>
    <t>Dennis Bauer</t>
  </si>
  <si>
    <t>P3 for Farm Progress</t>
  </si>
  <si>
    <t>1 of 9</t>
  </si>
  <si>
    <t>2 of 9</t>
  </si>
  <si>
    <t>3 of 9</t>
  </si>
  <si>
    <t>4 of 9 David Wray</t>
  </si>
  <si>
    <t>5 of 9 Wotten Farms</t>
  </si>
  <si>
    <t>6 of 9</t>
  </si>
  <si>
    <t>7 of 9</t>
  </si>
  <si>
    <t>8 of 9</t>
  </si>
  <si>
    <t>9 of 9</t>
  </si>
  <si>
    <t>1 of 5</t>
  </si>
  <si>
    <t>McMahan</t>
  </si>
  <si>
    <t>Dave Novlk</t>
  </si>
  <si>
    <t>Klitzke</t>
  </si>
  <si>
    <t>Worley</t>
  </si>
  <si>
    <t>Dale Hurst</t>
  </si>
  <si>
    <t>Steve Lindauer</t>
  </si>
  <si>
    <t>Medicine Hat - Sold Hauge</t>
  </si>
  <si>
    <t>2 of 5</t>
  </si>
  <si>
    <t>3 of 5</t>
  </si>
  <si>
    <t>4 of 5</t>
  </si>
  <si>
    <t>5 of 5</t>
  </si>
  <si>
    <t>1 of 6</t>
  </si>
  <si>
    <t>2 of 6</t>
  </si>
  <si>
    <t>3 of 6</t>
  </si>
  <si>
    <t>4 of 6</t>
  </si>
  <si>
    <t>5 of 6</t>
  </si>
  <si>
    <t>6 of 6</t>
  </si>
  <si>
    <t>Purchased from JMS</t>
  </si>
  <si>
    <t>Jim Riggs</t>
  </si>
  <si>
    <t>Mike Homolka</t>
  </si>
  <si>
    <t>1 of 14</t>
  </si>
  <si>
    <t>2 of 14</t>
  </si>
  <si>
    <t>3 of 14</t>
  </si>
  <si>
    <t>4 of 14</t>
  </si>
  <si>
    <t>6 of 14</t>
  </si>
  <si>
    <t>7 of 14</t>
  </si>
  <si>
    <t>8 of 14</t>
  </si>
  <si>
    <t>9 of 14</t>
  </si>
  <si>
    <t>10 of 14</t>
  </si>
  <si>
    <t>11 of 14</t>
  </si>
  <si>
    <t>12 of 14</t>
  </si>
  <si>
    <t>13 of 14</t>
  </si>
  <si>
    <t>14 of 14</t>
  </si>
  <si>
    <t>Michael Fast</t>
  </si>
  <si>
    <t>Wetaskiwin - Sold Hoar</t>
  </si>
  <si>
    <t>Johnson Farms</t>
  </si>
  <si>
    <t>Keith Harvey</t>
  </si>
  <si>
    <t>Federated Coop</t>
  </si>
  <si>
    <t>Vision Ag</t>
  </si>
  <si>
    <t>Micky Doll</t>
  </si>
  <si>
    <t>Schardin</t>
  </si>
  <si>
    <t>Order #6</t>
  </si>
  <si>
    <t>Kamuf Bros</t>
  </si>
  <si>
    <t>1009 Security Seed</t>
  </si>
  <si>
    <t>1014 Heppler Farms</t>
  </si>
  <si>
    <t>1015 Tosh Farms</t>
  </si>
  <si>
    <t>1016-Gill Bros.</t>
  </si>
  <si>
    <t>1005-Triple H</t>
  </si>
  <si>
    <t>1013 T&amp;H Feed</t>
  </si>
  <si>
    <t>1010-Ellis Bros.</t>
  </si>
  <si>
    <t>Terry Mann</t>
  </si>
  <si>
    <t>Korte Bros.</t>
  </si>
  <si>
    <t>Keven Wegner</t>
  </si>
  <si>
    <t>Dell Schmitt</t>
  </si>
  <si>
    <t>Barnett Farms</t>
  </si>
  <si>
    <t>J12-1 Devin Treaster</t>
  </si>
  <si>
    <t>1002 Schwiresch</t>
  </si>
  <si>
    <t>1006 Hart Farms</t>
  </si>
  <si>
    <t>1008-Mike Carter</t>
  </si>
  <si>
    <t>1011-Powell</t>
  </si>
  <si>
    <t>1017-Boswell</t>
  </si>
  <si>
    <t>1018 Steve Lindauer</t>
  </si>
  <si>
    <t>1004 Jimmy Herndon</t>
  </si>
  <si>
    <t>Dave Schippers</t>
  </si>
  <si>
    <t>Matt Mai</t>
  </si>
  <si>
    <t>Gary Axman</t>
  </si>
  <si>
    <t>Ross Boone</t>
  </si>
  <si>
    <t>Retailed Thilmomy</t>
  </si>
  <si>
    <t>Oregon</t>
  </si>
  <si>
    <t xml:space="preserve"> Kent Marsten</t>
  </si>
  <si>
    <t>Cole Sims</t>
  </si>
  <si>
    <t>Wetaskiwin - Sold Vanderberg</t>
  </si>
  <si>
    <t>1007-CPS Henderson</t>
  </si>
  <si>
    <t>1012-CPS Waverly</t>
  </si>
  <si>
    <t>PO 1023</t>
  </si>
  <si>
    <t>PO 1022</t>
  </si>
  <si>
    <t>271505-Dan</t>
  </si>
  <si>
    <t>271506-Dan</t>
  </si>
  <si>
    <t>DLE #3</t>
  </si>
  <si>
    <t>DLE #4</t>
  </si>
  <si>
    <t>Order #3 Cee Farms</t>
  </si>
  <si>
    <t>Order #4 Tracey</t>
  </si>
  <si>
    <t>Order #5-Hofer</t>
  </si>
  <si>
    <t>M12630</t>
  </si>
  <si>
    <t>M12631</t>
  </si>
  <si>
    <t>M12632</t>
  </si>
  <si>
    <t>Order #11</t>
  </si>
  <si>
    <t>PO 13050</t>
  </si>
  <si>
    <t>PO 13051</t>
  </si>
  <si>
    <t>p2/3</t>
  </si>
  <si>
    <t>p3/3</t>
  </si>
  <si>
    <t>Hart Farms</t>
  </si>
  <si>
    <t>Todd Thomas</t>
  </si>
  <si>
    <t>PO 44016</t>
  </si>
  <si>
    <t>PO 44017</t>
  </si>
  <si>
    <t>PO 44018</t>
  </si>
  <si>
    <t>PO 44019</t>
  </si>
  <si>
    <t>PO 44020</t>
  </si>
  <si>
    <t>PO 44021</t>
  </si>
  <si>
    <t>PO 44022</t>
  </si>
  <si>
    <t>PO 44023</t>
  </si>
  <si>
    <t>PO 44024</t>
  </si>
  <si>
    <t>PO 44025</t>
  </si>
  <si>
    <t>demo</t>
  </si>
  <si>
    <t>AP10-1 MAGIE 1-retailed</t>
  </si>
  <si>
    <t>AP10-2 MAGIE 2</t>
  </si>
  <si>
    <t>AP10-21 Odem</t>
  </si>
  <si>
    <t>AP10-7 Paul Rich</t>
  </si>
  <si>
    <t>AP10-22 Janssen Farms</t>
  </si>
  <si>
    <t>AP10-8 Richard Simpson</t>
  </si>
  <si>
    <t>AP10-9 Ross Farms</t>
  </si>
  <si>
    <t>AP10-10 John Peters</t>
  </si>
  <si>
    <t>Raymore - Sold Amendt</t>
  </si>
  <si>
    <t>Dawson Creek - Sold Hingley</t>
  </si>
  <si>
    <t>Dawson Creek - Lot</t>
  </si>
  <si>
    <t xml:space="preserve">  Bill Ruhland &amp; Dan Ryan</t>
  </si>
  <si>
    <t>Jencks</t>
  </si>
  <si>
    <t>Schmitz Spraying Service</t>
  </si>
  <si>
    <t>Pasco WA.Bolin farms</t>
  </si>
  <si>
    <t>AP10-11 Raymond Porter</t>
  </si>
  <si>
    <t>AP10-12 Allard</t>
  </si>
  <si>
    <t>AP10-13 E&amp;E Farms</t>
  </si>
  <si>
    <t>AP10-15 Rector</t>
  </si>
  <si>
    <t>Medicine Hat - Sold Staples</t>
  </si>
  <si>
    <t>AP10-16 Schwarz</t>
  </si>
  <si>
    <t>AP10-17 Mayer Farms</t>
  </si>
  <si>
    <t>AP10-18 Meese</t>
  </si>
  <si>
    <t>AP10-19 Hileman</t>
  </si>
  <si>
    <t>AP10-20 King</t>
  </si>
  <si>
    <t>AP10-5 Streitmatter</t>
  </si>
  <si>
    <t>AP10-6</t>
  </si>
  <si>
    <t>AP10-23 Vorhees</t>
  </si>
  <si>
    <t>AP10-24</t>
  </si>
  <si>
    <t>AP10-25</t>
  </si>
  <si>
    <t>AP10-26 McCleary</t>
  </si>
  <si>
    <t>AP10-27</t>
  </si>
  <si>
    <t>AP10-28</t>
  </si>
  <si>
    <t>AP10-29</t>
  </si>
  <si>
    <t>AP10-30</t>
  </si>
  <si>
    <t>AP10-31 Sweeden</t>
  </si>
  <si>
    <t>MUU81-294ET</t>
  </si>
  <si>
    <t>Cornwallis Farms LTD</t>
  </si>
  <si>
    <t>Heidel Hollow Farms</t>
  </si>
  <si>
    <t>Dennis Star</t>
  </si>
  <si>
    <t>PO 05258</t>
  </si>
  <si>
    <t>retailed</t>
  </si>
  <si>
    <t>12210-1 Thrush</t>
  </si>
  <si>
    <t>Smith Farms</t>
  </si>
  <si>
    <t>12210-2</t>
  </si>
  <si>
    <t>12210-3</t>
  </si>
  <si>
    <t>12210-4</t>
  </si>
  <si>
    <t>2/18/009</t>
  </si>
  <si>
    <t>ZF Prorotype</t>
  </si>
  <si>
    <t>P9094470</t>
  </si>
  <si>
    <t>P9094471</t>
  </si>
  <si>
    <t>P9094472</t>
  </si>
  <si>
    <t>P9094473</t>
  </si>
  <si>
    <t>Proj36</t>
  </si>
  <si>
    <t>Proj37</t>
  </si>
  <si>
    <t>PODATE</t>
  </si>
  <si>
    <t>Sold to: Mike Stratton</t>
  </si>
  <si>
    <t>Brorman</t>
  </si>
  <si>
    <t>Johnny Vaughn</t>
  </si>
  <si>
    <t>Dennis Rhodes</t>
  </si>
  <si>
    <t>Jesko</t>
  </si>
  <si>
    <t>Archer</t>
  </si>
  <si>
    <t>Vogel</t>
  </si>
  <si>
    <t>Hartshorn</t>
  </si>
  <si>
    <t>Daniels</t>
  </si>
  <si>
    <t>Moodys SK</t>
  </si>
  <si>
    <t>Schlauderaff</t>
  </si>
  <si>
    <t>Apache Australia</t>
  </si>
  <si>
    <t>M&amp;T- Melfort</t>
  </si>
  <si>
    <t>Flanagan - del.</t>
  </si>
  <si>
    <t>Johnson - del.</t>
  </si>
  <si>
    <t>Engle -del.</t>
  </si>
  <si>
    <t xml:space="preserve"> Bittner -del.</t>
  </si>
  <si>
    <t>Kasten - del.</t>
  </si>
  <si>
    <t>Montieth - del.</t>
  </si>
  <si>
    <t>Archer Farms</t>
  </si>
  <si>
    <t>Storrer Lot</t>
  </si>
  <si>
    <t>Keith Gongaware</t>
  </si>
  <si>
    <t>Nowakowski Direct</t>
  </si>
  <si>
    <t>Schroeder</t>
  </si>
  <si>
    <t xml:space="preserve">Jeanen </t>
  </si>
  <si>
    <t>Sold to: Marty Chandler</t>
  </si>
  <si>
    <t>Vad Farms</t>
  </si>
  <si>
    <t>Apple Farm</t>
  </si>
  <si>
    <t>Lieb Farms</t>
  </si>
  <si>
    <t>Raile</t>
  </si>
  <si>
    <t>ASAP</t>
  </si>
  <si>
    <t>PO 1 of 2</t>
  </si>
  <si>
    <t>PO 2 of 2</t>
  </si>
  <si>
    <t>ETW</t>
  </si>
  <si>
    <t>J10-56</t>
  </si>
  <si>
    <t>J10-57</t>
  </si>
  <si>
    <t>J10-52</t>
  </si>
  <si>
    <t>J10-53</t>
  </si>
  <si>
    <t>J10-54</t>
  </si>
  <si>
    <t>J10-55</t>
  </si>
  <si>
    <t>Salem</t>
  </si>
  <si>
    <t>Winholtz</t>
  </si>
  <si>
    <t>Delburne</t>
  </si>
  <si>
    <t>Fredrick Pick</t>
  </si>
  <si>
    <t>AP10-32</t>
  </si>
  <si>
    <t>AP10-33</t>
  </si>
  <si>
    <t>Zink</t>
  </si>
  <si>
    <t>Water</t>
  </si>
  <si>
    <t>Sold</t>
  </si>
  <si>
    <t>Sold to Ed Baumgart</t>
  </si>
  <si>
    <t>Ed Pullen</t>
  </si>
  <si>
    <t>Costanza - del.</t>
  </si>
  <si>
    <t>Rochester NH</t>
  </si>
  <si>
    <t>Don Myers</t>
  </si>
  <si>
    <t>Doeschot</t>
  </si>
  <si>
    <t>Sold T&amp;H</t>
  </si>
  <si>
    <t>Sold to: TH Feed</t>
  </si>
  <si>
    <t>Mountain View</t>
  </si>
  <si>
    <t>Jeff Proffit</t>
  </si>
  <si>
    <t>Mickelson - del.</t>
  </si>
  <si>
    <t>Lloydminster Lot</t>
  </si>
  <si>
    <t>Merrill Nielsen</t>
  </si>
  <si>
    <t>Lowey</t>
  </si>
  <si>
    <t xml:space="preserve">1 of 3 </t>
  </si>
  <si>
    <t>Dale Taul</t>
  </si>
  <si>
    <t>Sold to: Dale Taul</t>
  </si>
  <si>
    <t>Hatley</t>
  </si>
  <si>
    <t>Sunny Side</t>
  </si>
  <si>
    <t>Jerome</t>
  </si>
  <si>
    <t>Mike Lee</t>
  </si>
  <si>
    <t>Sprayer 1</t>
  </si>
  <si>
    <t>P2011-429</t>
  </si>
  <si>
    <t>P2011-430</t>
  </si>
  <si>
    <t>P2011-431</t>
  </si>
  <si>
    <t>P2011-432</t>
  </si>
  <si>
    <t>P2011-433</t>
  </si>
  <si>
    <t>P2011-434</t>
  </si>
  <si>
    <t>P2011-435</t>
  </si>
  <si>
    <t>P2011-436</t>
  </si>
  <si>
    <t>P2011-437</t>
  </si>
  <si>
    <t>Owensboro/Bob Wade</t>
  </si>
  <si>
    <t>P2011-438</t>
  </si>
  <si>
    <t>P2011-439</t>
  </si>
  <si>
    <t>Vanderloop</t>
  </si>
  <si>
    <t>P2011-440</t>
  </si>
  <si>
    <t>P2011-441</t>
  </si>
  <si>
    <t>P2011-442</t>
  </si>
  <si>
    <t>P2011-443</t>
  </si>
  <si>
    <t>P2011-444</t>
  </si>
  <si>
    <t>P2011-445</t>
  </si>
  <si>
    <t>P2011-446</t>
  </si>
  <si>
    <t>P2011-447</t>
  </si>
  <si>
    <t>P2011-448</t>
  </si>
  <si>
    <t>P2011-449</t>
  </si>
  <si>
    <t>P2011-450</t>
  </si>
  <si>
    <t>P2011-451</t>
  </si>
  <si>
    <t>P2011-452</t>
  </si>
  <si>
    <t>P2011-453</t>
  </si>
  <si>
    <t>P2011-454</t>
  </si>
  <si>
    <t>P2011-455</t>
  </si>
  <si>
    <t>P2011-456</t>
  </si>
  <si>
    <t>P2011-457</t>
  </si>
  <si>
    <t>P2011-458</t>
  </si>
  <si>
    <t>P2011-459</t>
  </si>
  <si>
    <t>Terry Heller</t>
  </si>
  <si>
    <t>Darren Riddly</t>
  </si>
  <si>
    <t>Albert Erlbeck</t>
  </si>
  <si>
    <t>Harlen Stoss</t>
  </si>
  <si>
    <t>Buckeye</t>
  </si>
  <si>
    <t>Marvin Blada</t>
  </si>
  <si>
    <t>Useldinger Farms</t>
  </si>
  <si>
    <t>Berborosa Farms</t>
  </si>
  <si>
    <t>Brian Keiner</t>
  </si>
  <si>
    <t>Pederson Farms LLC</t>
  </si>
  <si>
    <t>KC Farms</t>
  </si>
  <si>
    <t>Christ Farms</t>
  </si>
  <si>
    <t>Fred Pick</t>
  </si>
  <si>
    <t>Warkenthian</t>
  </si>
  <si>
    <t>John Anderson</t>
  </si>
  <si>
    <t>Gunderson Farms</t>
  </si>
  <si>
    <t>Olson's Ag-Frontier, ND</t>
  </si>
  <si>
    <t>George &amp; Greg Kish</t>
  </si>
  <si>
    <t>Joey Schneider</t>
  </si>
  <si>
    <t>to Cox Ag/John Carroll</t>
  </si>
  <si>
    <t>Kenny Hahn</t>
  </si>
  <si>
    <t>Kevin Wagner</t>
  </si>
  <si>
    <t>Keith Doane</t>
  </si>
  <si>
    <t xml:space="preserve">Phil Vetter </t>
  </si>
  <si>
    <t>Polen</t>
  </si>
  <si>
    <t>Monthly Projections 2011</t>
  </si>
  <si>
    <t>Fill 2011</t>
  </si>
  <si>
    <t>count 2011</t>
  </si>
  <si>
    <t>Production Completion date 2011</t>
  </si>
  <si>
    <t>Brokaw MN</t>
  </si>
  <si>
    <t>Status 2011</t>
  </si>
  <si>
    <t>Date out of QC 2011</t>
  </si>
  <si>
    <t>Unit 2011</t>
  </si>
  <si>
    <t>build month 2011</t>
  </si>
  <si>
    <t>rep 2011</t>
  </si>
  <si>
    <t>Dealer Request Date 2011</t>
  </si>
  <si>
    <t>PO Date 2011</t>
  </si>
  <si>
    <t>Sold to 2011</t>
  </si>
  <si>
    <t>James Kanciruk</t>
  </si>
  <si>
    <t>Dave Bergstrom</t>
  </si>
  <si>
    <t>Reed Tinkham</t>
  </si>
  <si>
    <t>Ron Kuennen</t>
  </si>
  <si>
    <t>Mark Boyl</t>
  </si>
  <si>
    <t>Scott Johnson</t>
  </si>
  <si>
    <t>Brooks - SOLD</t>
  </si>
  <si>
    <t>Lloydminster - SOLD Happy Acres</t>
  </si>
  <si>
    <t>Assiniboia - Sold Gerde</t>
  </si>
  <si>
    <t>John Lofgreen</t>
  </si>
  <si>
    <t>Steve Sterling</t>
  </si>
  <si>
    <t>Serial # 2011</t>
  </si>
  <si>
    <t>Series 2011</t>
  </si>
  <si>
    <t>Customer PO # 2011</t>
  </si>
  <si>
    <t>Location 2011</t>
  </si>
  <si>
    <t>Committed For 2011</t>
  </si>
  <si>
    <t>Date Committed 2011</t>
  </si>
  <si>
    <t>Brooks- Sold Jakobson</t>
  </si>
  <si>
    <t>D. and Will Jones</t>
  </si>
  <si>
    <t>JBM Farms</t>
  </si>
  <si>
    <t>Tice Farms</t>
  </si>
  <si>
    <t>Jnoggler</t>
  </si>
  <si>
    <t>Retailed 2011</t>
  </si>
  <si>
    <t>Running in Agronomy Dept.</t>
  </si>
  <si>
    <t>Demo</t>
  </si>
  <si>
    <t xml:space="preserve">Mickey Doll </t>
  </si>
  <si>
    <t>A&amp;C Huberdeau Frams Ltd.</t>
  </si>
  <si>
    <t>Braun</t>
  </si>
  <si>
    <t>Steve Nearmyer</t>
  </si>
  <si>
    <t>Benda Bros</t>
  </si>
  <si>
    <t>Brett Clark</t>
  </si>
  <si>
    <t>Jim Yount</t>
  </si>
  <si>
    <t>Mark Sebert by Delta NH</t>
  </si>
  <si>
    <t>Dalton</t>
  </si>
  <si>
    <t>Date Retailed 2011</t>
  </si>
  <si>
    <t>Hours on Demo 2011</t>
  </si>
  <si>
    <t>Paid For (Date) 2011</t>
  </si>
  <si>
    <t>Date of last Physical Inspection by Rep 2011</t>
  </si>
  <si>
    <t>Rick Schied</t>
  </si>
  <si>
    <t>Transfer - SOLD DLE</t>
  </si>
  <si>
    <t>Ma &amp; Pa Farms</t>
  </si>
  <si>
    <t>TStatus 2011</t>
  </si>
  <si>
    <t>HPA</t>
  </si>
  <si>
    <t>Salesman</t>
  </si>
  <si>
    <t>Projected Retail Date</t>
  </si>
  <si>
    <t>Due Date</t>
  </si>
  <si>
    <t>Hoerr</t>
  </si>
  <si>
    <t>Petree</t>
  </si>
  <si>
    <t>MY 2011 Start</t>
  </si>
  <si>
    <t>Rodney Jones</t>
  </si>
  <si>
    <t>Noggler Farm</t>
  </si>
  <si>
    <t>Pshigoda</t>
  </si>
  <si>
    <t>?</t>
  </si>
  <si>
    <t>Brooks - Sold Schlots</t>
  </si>
  <si>
    <t>Raedmacher</t>
  </si>
  <si>
    <t>Kraemer</t>
  </si>
  <si>
    <t>Weimers</t>
  </si>
  <si>
    <t>T. Trimmer-MO</t>
  </si>
  <si>
    <t>Justin Noggler</t>
  </si>
  <si>
    <t>Larry Hoffman</t>
  </si>
  <si>
    <t>Wood</t>
  </si>
  <si>
    <t>Jason Pavlu</t>
  </si>
  <si>
    <t>Crist</t>
  </si>
  <si>
    <t>Bazine Co-Op</t>
  </si>
  <si>
    <t>Tice</t>
  </si>
  <si>
    <t>Hutchins</t>
  </si>
  <si>
    <t>Jacques</t>
  </si>
  <si>
    <t>Shaw</t>
  </si>
  <si>
    <t>Steve Dashenbrock</t>
  </si>
  <si>
    <t>Lee Juneman</t>
  </si>
  <si>
    <t>Sold to: CPS Madisonville</t>
  </si>
  <si>
    <t>Sold to: Pond River Farms</t>
  </si>
  <si>
    <t>Keith Freeze</t>
  </si>
  <si>
    <t>Korth</t>
  </si>
  <si>
    <t>Mike Escue Dec 2011</t>
  </si>
  <si>
    <t>Tosh Farms Jan 2011</t>
  </si>
  <si>
    <t>Royster Farms Jan 2011</t>
  </si>
  <si>
    <t>Hancock Farms Jan 2011</t>
  </si>
  <si>
    <t>Roger Mauch</t>
  </si>
  <si>
    <t>Mac Farm's</t>
  </si>
  <si>
    <t>Wayne Shoeling</t>
  </si>
  <si>
    <t>Roger Kuntz</t>
  </si>
  <si>
    <t>Wes Cambell</t>
  </si>
  <si>
    <t>Jesse Dole</t>
  </si>
  <si>
    <t>Darren Grauerholtz</t>
  </si>
  <si>
    <t>Joe Salem</t>
  </si>
  <si>
    <t>Ed Geotz</t>
  </si>
  <si>
    <t>Kneifl/Curry</t>
  </si>
  <si>
    <t>Kelly</t>
  </si>
  <si>
    <t>HJV</t>
  </si>
  <si>
    <t>Retailed Ed Pullen</t>
  </si>
  <si>
    <t>Retailed Dan Kersten</t>
  </si>
  <si>
    <t>Frisch</t>
  </si>
  <si>
    <t>Klassen</t>
  </si>
  <si>
    <t>Carter Farms</t>
  </si>
  <si>
    <t>Triple T Frams</t>
  </si>
  <si>
    <t>Sold to Whitledge</t>
  </si>
  <si>
    <t>Steve Spain</t>
  </si>
  <si>
    <t>Bill Barker</t>
  </si>
  <si>
    <t>Steve Brim</t>
  </si>
  <si>
    <t>Jerry Gillian</t>
  </si>
  <si>
    <t>Timmons</t>
  </si>
  <si>
    <t>Retailed Driscoll Farms</t>
  </si>
  <si>
    <t>Joe Swanson</t>
  </si>
  <si>
    <t>Dave Albers</t>
  </si>
  <si>
    <t>Larry Richmier</t>
  </si>
  <si>
    <t>Scott Littler</t>
  </si>
  <si>
    <t>Watt Bros.</t>
  </si>
  <si>
    <t>Mordhurst</t>
  </si>
  <si>
    <t>Olson</t>
  </si>
  <si>
    <t>Schmitz</t>
  </si>
  <si>
    <t>Gastler</t>
  </si>
  <si>
    <t>Retailed Brad Jaeger</t>
  </si>
  <si>
    <t>Retailed C&amp;M Shantz Farms</t>
  </si>
  <si>
    <t>JTI</t>
  </si>
  <si>
    <t>Sold to: CPS Hodgensville</t>
  </si>
  <si>
    <t>Y</t>
    <phoneticPr fontId="0" type="noConversion"/>
  </si>
  <si>
    <t>Cox Ag</t>
  </si>
  <si>
    <t>James Leonard</t>
  </si>
  <si>
    <t xml:space="preserve">Joe Walker </t>
  </si>
  <si>
    <t>Retailed Kenny Schaun</t>
  </si>
  <si>
    <t>Retailed Paul Hagel</t>
  </si>
  <si>
    <t>Samuel Jones</t>
  </si>
  <si>
    <t>Hrbache</t>
  </si>
  <si>
    <t>Tod Horchem</t>
  </si>
  <si>
    <t>BGB Farms INC</t>
  </si>
  <si>
    <t>new order 2011 by Month</t>
  </si>
  <si>
    <t>Sold: Wallis Farms</t>
  </si>
  <si>
    <t>Albert Johnson</t>
  </si>
  <si>
    <t>Paul Armstrong</t>
  </si>
  <si>
    <t>Buckenmyer Farms</t>
  </si>
  <si>
    <t>Kimerer Farms</t>
  </si>
  <si>
    <t>Lichtensteiger Farms</t>
  </si>
  <si>
    <t>Robert Rettig</t>
  </si>
  <si>
    <t>Darrell Blew</t>
  </si>
  <si>
    <t>Retailed AW Farms Inc.</t>
  </si>
  <si>
    <t>Retailed Fritz Inc.</t>
  </si>
  <si>
    <t>Retailed Dennis Mayer</t>
  </si>
  <si>
    <t>Retailed Williamson</t>
  </si>
  <si>
    <t>Retailed to Olson Farms</t>
  </si>
  <si>
    <t>Retailed to Pete Satrom</t>
  </si>
  <si>
    <t>Nihsen</t>
  </si>
  <si>
    <t>Scott Brothers</t>
  </si>
  <si>
    <t>Jim Honeman</t>
  </si>
  <si>
    <t>CW Antholtz</t>
  </si>
  <si>
    <t>Tyler Camp</t>
  </si>
  <si>
    <t>Howard Boese</t>
  </si>
  <si>
    <t>KJ Johnson</t>
  </si>
  <si>
    <t>Rodger Janzen</t>
  </si>
  <si>
    <t>Howard Heath</t>
  </si>
  <si>
    <t>Joe Cuson</t>
  </si>
  <si>
    <t>Galloway Farms</t>
  </si>
  <si>
    <t>Dan Wendall</t>
  </si>
  <si>
    <t xml:space="preserve">Reche </t>
  </si>
  <si>
    <t>Bill Hoffman</t>
  </si>
  <si>
    <t>August</t>
  </si>
  <si>
    <t>September</t>
  </si>
  <si>
    <t>October</t>
  </si>
  <si>
    <t xml:space="preserve">  Transfer Greensburg</t>
  </si>
  <si>
    <t>141B Transfer OWB</t>
  </si>
  <si>
    <t>Mike Stratton</t>
  </si>
  <si>
    <t>November</t>
  </si>
  <si>
    <t>December</t>
  </si>
  <si>
    <t>January</t>
  </si>
  <si>
    <t>February</t>
  </si>
  <si>
    <t>March</t>
  </si>
  <si>
    <t>April</t>
  </si>
  <si>
    <t>May</t>
  </si>
  <si>
    <t>June</t>
  </si>
  <si>
    <t>Retailed Nathan Boll</t>
  </si>
  <si>
    <t>Retailed Denton Overton</t>
  </si>
  <si>
    <t>Retailed Wildman Farms</t>
  </si>
  <si>
    <t>Retailed Nelson Farms</t>
  </si>
  <si>
    <t>California</t>
  </si>
  <si>
    <t>Steve Raymond</t>
  </si>
  <si>
    <t>Gary Jansen</t>
  </si>
  <si>
    <t>Brady Coen</t>
  </si>
  <si>
    <t>Darrell Miller</t>
  </si>
  <si>
    <t>Douglas Thiessen</t>
  </si>
  <si>
    <t>Kerry Steffen</t>
  </si>
  <si>
    <t>Leeland Bray</t>
  </si>
  <si>
    <t>HillTop Farms</t>
  </si>
  <si>
    <t>Galen Hoffman</t>
  </si>
  <si>
    <t>Lynn Hansen</t>
  </si>
  <si>
    <t>Paul Miller</t>
  </si>
  <si>
    <t>Triple H Farms</t>
  </si>
  <si>
    <t>David George</t>
  </si>
  <si>
    <t>Retailed Perrliman</t>
  </si>
  <si>
    <t>Assiniboia - Sold Volke</t>
  </si>
  <si>
    <t>Stebbin</t>
  </si>
  <si>
    <t>Mac Farms</t>
  </si>
  <si>
    <t>Mike McClellan</t>
  </si>
  <si>
    <t>Darrel Schaffer</t>
  </si>
  <si>
    <t>Brad Lindblom</t>
  </si>
  <si>
    <t>Christianson Farms</t>
  </si>
  <si>
    <t>Keith Harvey - Delivered</t>
  </si>
  <si>
    <t>Clint Rasmussen</t>
  </si>
  <si>
    <t>Len Jones</t>
  </si>
  <si>
    <t>Aaron Krauter</t>
  </si>
  <si>
    <t>Rock Kittleson</t>
  </si>
  <si>
    <t>Dave Haurahman</t>
  </si>
  <si>
    <t>Terry Chmelka</t>
  </si>
  <si>
    <t>Dennis Mcnich</t>
  </si>
  <si>
    <t>Randy Worth</t>
  </si>
  <si>
    <t>Ken Castle</t>
  </si>
  <si>
    <t>Overland Farms</t>
  </si>
  <si>
    <t>Woollen</t>
  </si>
  <si>
    <t>Frankford</t>
  </si>
  <si>
    <t>Sold to Simpson 12-10</t>
  </si>
  <si>
    <t>Schwartskopf</t>
  </si>
  <si>
    <t>Mark Duckworth</t>
  </si>
  <si>
    <t>Boulds Farms</t>
  </si>
  <si>
    <t>Alan Simmons</t>
  </si>
  <si>
    <t xml:space="preserve">Walton Ezell Farms </t>
  </si>
  <si>
    <t>Ben Moore</t>
  </si>
  <si>
    <t>Mike Bryant - south</t>
  </si>
  <si>
    <t>Mike Bryant - north</t>
  </si>
  <si>
    <t>Jason Dixon</t>
  </si>
  <si>
    <t>Billy Ray</t>
  </si>
  <si>
    <t>Kelly Vandoorne</t>
  </si>
  <si>
    <t>Heisner Enterprises</t>
  </si>
  <si>
    <t>George McGregor</t>
  </si>
  <si>
    <t>Cutsforth</t>
  </si>
  <si>
    <t>Kevin Haguewod</t>
  </si>
  <si>
    <t>Southern Idaho</t>
  </si>
  <si>
    <t>Grande Prairie - Sold Wells</t>
  </si>
  <si>
    <t>Jim Coberly</t>
  </si>
  <si>
    <t>Scott Schnieder</t>
  </si>
  <si>
    <t>Tim Raile</t>
  </si>
  <si>
    <t>Kenny Nau</t>
  </si>
  <si>
    <t>Stamper</t>
  </si>
  <si>
    <t>Bellerivie</t>
  </si>
  <si>
    <t>Erker</t>
  </si>
  <si>
    <t>Chris Esplund</t>
  </si>
  <si>
    <t>DevinHutchins</t>
  </si>
  <si>
    <t>Chad Fax</t>
  </si>
  <si>
    <t>Schnieder Farms</t>
  </si>
  <si>
    <t xml:space="preserve">Red Inc. </t>
  </si>
  <si>
    <t>Jeff Prichard</t>
  </si>
  <si>
    <t>Rick Nolte</t>
  </si>
  <si>
    <t>Bill Quade</t>
  </si>
  <si>
    <t>Wagner</t>
  </si>
  <si>
    <t>11/30/2010</t>
  </si>
  <si>
    <t>Wayne Rastede</t>
  </si>
  <si>
    <t>Swift Current - Sold Lightfoot</t>
  </si>
  <si>
    <t>Sold Hermus</t>
  </si>
  <si>
    <t>Dawson Creek - Sold Drzewicki</t>
  </si>
  <si>
    <t>Gary Zumbaugh</t>
  </si>
  <si>
    <t>Mike Flannagan</t>
  </si>
  <si>
    <t>Dean Hearther</t>
  </si>
  <si>
    <t>Ivan Kenny</t>
  </si>
  <si>
    <t>Stevens</t>
  </si>
  <si>
    <t>Waymire</t>
  </si>
  <si>
    <t>Richard Wilson</t>
  </si>
  <si>
    <t>Butch Minium</t>
  </si>
  <si>
    <t>Rick and Eric Jessee</t>
  </si>
  <si>
    <t>Craig Hough</t>
  </si>
  <si>
    <t>Retailed Brian Hollinger</t>
  </si>
  <si>
    <t>Retailed Dennis Bauer</t>
  </si>
  <si>
    <t>Retailed Randy Carignan</t>
  </si>
  <si>
    <t>Retailed Ed Kofoid</t>
  </si>
  <si>
    <t xml:space="preserve"> Michael Younger </t>
  </si>
  <si>
    <t>Jay Welden</t>
  </si>
  <si>
    <t>Ben Dossett</t>
  </si>
  <si>
    <t>Leon Green</t>
  </si>
  <si>
    <t>Mccaw</t>
  </si>
  <si>
    <t>y</t>
  </si>
  <si>
    <t>Hatley Direct- Dave Brandt (Sheridan OR)</t>
  </si>
  <si>
    <t>Mark Nelson</t>
  </si>
  <si>
    <t>WOODWARD FARMS</t>
  </si>
  <si>
    <t>Retailed Chad Williams</t>
  </si>
  <si>
    <t>Sold to Bischoff</t>
  </si>
  <si>
    <t>Browning Farms</t>
  </si>
  <si>
    <t>Brandon Quirer</t>
  </si>
  <si>
    <t>Gary Nelson</t>
  </si>
  <si>
    <t>Kauchar</t>
  </si>
  <si>
    <t>Jakub</t>
  </si>
  <si>
    <t>Sullivan Farms</t>
  </si>
  <si>
    <t>JMS Store</t>
  </si>
  <si>
    <t>Ed White</t>
  </si>
  <si>
    <t>Bill Crane</t>
  </si>
  <si>
    <t>Xfer from Waitt IN</t>
  </si>
  <si>
    <t>Toelle</t>
  </si>
  <si>
    <t>Landmark Farms</t>
  </si>
  <si>
    <t>Noker</t>
  </si>
  <si>
    <t>Rutherford Coop</t>
  </si>
  <si>
    <t>Mike Taylor</t>
  </si>
  <si>
    <t>Perry Ireland</t>
  </si>
  <si>
    <t>Greg Bellamy</t>
  </si>
  <si>
    <t>Rod Alberts</t>
  </si>
  <si>
    <t>Retailed BLT Farms</t>
  </si>
  <si>
    <t>Retailed Lipinski Bros.</t>
  </si>
  <si>
    <t>Retailed Flannery Farms</t>
  </si>
  <si>
    <t>Rech</t>
  </si>
  <si>
    <t xml:space="preserve">Rech </t>
  </si>
  <si>
    <t xml:space="preserve">Retailed </t>
  </si>
  <si>
    <t>Frank Bradshaw</t>
  </si>
  <si>
    <t>Beanland Farms</t>
  </si>
  <si>
    <t>Hale Farms</t>
  </si>
  <si>
    <t>Retailed Dennis Sinkey</t>
  </si>
  <si>
    <t>Lonnie Bachand</t>
  </si>
  <si>
    <t>Chapman</t>
  </si>
  <si>
    <t>Sold to: Jim Book</t>
  </si>
  <si>
    <t>Total2009</t>
  </si>
  <si>
    <t>Prototype-sold</t>
  </si>
  <si>
    <t>Seibert Bros</t>
  </si>
  <si>
    <t>Joe Murphy-OVA-IN</t>
  </si>
  <si>
    <t>Jim Keasler</t>
  </si>
  <si>
    <t>Danny Jones-OVA-IN</t>
  </si>
  <si>
    <t>S&amp;A Schoettmer Inc-OVA-IN</t>
  </si>
  <si>
    <t>Holdover</t>
  </si>
  <si>
    <t>Holdover Dealer2009</t>
  </si>
  <si>
    <t>Gary Cheney</t>
  </si>
  <si>
    <t>Clearance 2011</t>
  </si>
  <si>
    <t>Robbie Hunt</t>
  </si>
  <si>
    <t>Bruce Muncy</t>
  </si>
  <si>
    <t>12-1-110</t>
  </si>
  <si>
    <t>Greg Ringler</t>
  </si>
  <si>
    <t>To be used as loaner until 2011 arrives</t>
  </si>
  <si>
    <t>Beaver Creek Farms</t>
  </si>
  <si>
    <t>Black Pipe Farms</t>
  </si>
  <si>
    <t>Brian Pickard</t>
  </si>
  <si>
    <t>Morton Reser</t>
  </si>
  <si>
    <t>Roy Hansmeyer</t>
  </si>
  <si>
    <t>Chris Henry</t>
  </si>
  <si>
    <t>Gary Shelton</t>
  </si>
  <si>
    <t>Mark Ault</t>
  </si>
  <si>
    <t xml:space="preserve">Magnolia Stock &amp; Grain </t>
  </si>
  <si>
    <t>Rich Rister</t>
  </si>
  <si>
    <t>x</t>
  </si>
  <si>
    <t>Monthly Projections 2013</t>
  </si>
  <si>
    <t>Fill 2013</t>
  </si>
  <si>
    <t>count 2013</t>
  </si>
  <si>
    <t>Tisthammer Farms</t>
  </si>
  <si>
    <t>Carl Johnson</t>
  </si>
  <si>
    <t>Kenneth Westrich</t>
  </si>
  <si>
    <t>Production Completion date 2013</t>
  </si>
  <si>
    <t>Status 2013</t>
  </si>
  <si>
    <t>Date out of QC 2013</t>
  </si>
  <si>
    <t>Unit 2013</t>
  </si>
  <si>
    <t>build month 2013</t>
  </si>
  <si>
    <t>4232 Justin Noggler</t>
  </si>
  <si>
    <t>J13-1  Farm Show PU 7/9/12</t>
  </si>
  <si>
    <t>J13-2 Treaster Farms</t>
  </si>
  <si>
    <t>J13-3  Farm Show PU 7/9/12</t>
  </si>
  <si>
    <t>J13-4</t>
  </si>
  <si>
    <t>J13-5</t>
  </si>
  <si>
    <t>J13-6</t>
  </si>
  <si>
    <t>J13-7 Bruce Giessel</t>
  </si>
  <si>
    <t>J13-8 retailed</t>
  </si>
  <si>
    <t>J13-9 retailed</t>
  </si>
  <si>
    <t>J13-10 retailed</t>
  </si>
  <si>
    <t>J13-11 WS Ranch</t>
  </si>
  <si>
    <t>J13-12</t>
  </si>
  <si>
    <t>J13-13</t>
  </si>
  <si>
    <t>J13-14</t>
  </si>
  <si>
    <t>J13-16</t>
  </si>
  <si>
    <t>J13-17</t>
  </si>
  <si>
    <t>J13-18</t>
  </si>
  <si>
    <t>J13-19</t>
  </si>
  <si>
    <t>J13-20 John Haas</t>
  </si>
  <si>
    <t>J13-21 Jim Selfridge</t>
  </si>
  <si>
    <t>J13-22</t>
  </si>
  <si>
    <t>J13-23</t>
  </si>
  <si>
    <t>J13-24</t>
  </si>
  <si>
    <t>J13-25</t>
  </si>
  <si>
    <t>J13-26</t>
  </si>
  <si>
    <t>J13-27</t>
  </si>
  <si>
    <t>J13-28</t>
  </si>
  <si>
    <t>J13-29 Rod Albert</t>
  </si>
  <si>
    <t>J13-30</t>
  </si>
  <si>
    <t>J13-31 Steve Durham</t>
  </si>
  <si>
    <t>J13-32</t>
  </si>
  <si>
    <t>J13-33</t>
  </si>
  <si>
    <t>J13-34</t>
  </si>
  <si>
    <t>J13-35</t>
  </si>
  <si>
    <t>J13-36-Doug Thiessen</t>
  </si>
  <si>
    <t>J13-37-Phil Vetter</t>
  </si>
  <si>
    <t>J13-38 retailed</t>
  </si>
  <si>
    <t>J13-39 Dale Koch</t>
  </si>
  <si>
    <t>J13-40 Merrill Nielsen</t>
  </si>
  <si>
    <t>J13-41 retailed</t>
  </si>
  <si>
    <t>J13-42</t>
  </si>
  <si>
    <t>J13-43</t>
  </si>
  <si>
    <t>J13-44</t>
  </si>
  <si>
    <t>J13-45</t>
  </si>
  <si>
    <t>J13-46</t>
  </si>
  <si>
    <t>J13-47</t>
  </si>
  <si>
    <t>J13-48</t>
  </si>
  <si>
    <t>J13-49</t>
  </si>
  <si>
    <t>J13-50</t>
  </si>
  <si>
    <t>J13-51</t>
  </si>
  <si>
    <t>J13-52</t>
  </si>
  <si>
    <t>J13-53</t>
  </si>
  <si>
    <t>J13-54</t>
  </si>
  <si>
    <t>J13-55 Don Nelson</t>
  </si>
  <si>
    <t>J13-56</t>
  </si>
  <si>
    <t>J13-57</t>
  </si>
  <si>
    <t>J13-58</t>
  </si>
  <si>
    <t>J13-59 Marty McPeak</t>
  </si>
  <si>
    <t>J13-60 Mike Brzon</t>
  </si>
  <si>
    <t>J13-61</t>
  </si>
  <si>
    <t>J13-62</t>
  </si>
  <si>
    <t>J13-63 Lonnie Bachand</t>
  </si>
  <si>
    <t>J13-64</t>
  </si>
  <si>
    <t>J13-65</t>
  </si>
  <si>
    <t>J13-66</t>
  </si>
  <si>
    <t>J13-67</t>
  </si>
  <si>
    <t>J13-68</t>
  </si>
  <si>
    <t>J13-69</t>
  </si>
  <si>
    <t>J13-70</t>
  </si>
  <si>
    <t>J13-71</t>
  </si>
  <si>
    <t>J13-72</t>
  </si>
  <si>
    <t>J13-73</t>
  </si>
  <si>
    <t>J13-74 Ron Suppes</t>
  </si>
  <si>
    <t>J13-75</t>
  </si>
  <si>
    <t>J13-76</t>
  </si>
  <si>
    <t>J13-77</t>
  </si>
  <si>
    <t>7/20/12 Farm Show</t>
  </si>
  <si>
    <t>3-Donald Sutherland</t>
  </si>
  <si>
    <t>4-Jesse Ferris</t>
  </si>
  <si>
    <t>1220+</t>
  </si>
  <si>
    <t>3-Bobby Moon</t>
  </si>
  <si>
    <t>4 Bland Holdings</t>
  </si>
  <si>
    <t>UF00293-MN FPS</t>
  </si>
  <si>
    <t>UF00294-MN</t>
  </si>
  <si>
    <t>UF00301-MN</t>
  </si>
  <si>
    <t>UF00302-MN</t>
  </si>
  <si>
    <t>UF00307-MN</t>
  </si>
  <si>
    <t>UF00308-MN</t>
  </si>
  <si>
    <t>UF00317-MN</t>
  </si>
  <si>
    <t>UF00318-MN</t>
  </si>
  <si>
    <t>UF00331-MN</t>
  </si>
  <si>
    <t>UF00332-MN</t>
  </si>
  <si>
    <t>UF00290-FPS</t>
  </si>
  <si>
    <t>UF00291-FPS</t>
  </si>
  <si>
    <t>UF00292-FPS</t>
  </si>
  <si>
    <t>9/1012</t>
  </si>
  <si>
    <t>UF00289-IA</t>
  </si>
  <si>
    <t>UF00297-IA</t>
  </si>
  <si>
    <t>UF00310-IA</t>
  </si>
  <si>
    <t>UF00312-IA</t>
  </si>
  <si>
    <t>UF00313-IA</t>
  </si>
  <si>
    <t>UF00314-IA Benda Ag</t>
  </si>
  <si>
    <t>UF00315-IA</t>
  </si>
  <si>
    <t>UF00316-IA</t>
  </si>
  <si>
    <t>UF00322-IA</t>
  </si>
  <si>
    <t>UF00323-IA</t>
  </si>
  <si>
    <t>UF00325-IA</t>
  </si>
  <si>
    <t>UF00326-IA</t>
  </si>
  <si>
    <t>UF00327-IA</t>
  </si>
  <si>
    <t>UF00328-IA</t>
  </si>
  <si>
    <t>UF00329-IA</t>
  </si>
  <si>
    <t>UF00330-IA</t>
  </si>
  <si>
    <t>UF00333-IA</t>
  </si>
  <si>
    <t>UF00335-IA</t>
  </si>
  <si>
    <t>UF00336-IA</t>
  </si>
  <si>
    <t>UF00337-IA</t>
  </si>
  <si>
    <t>UF00303-IA</t>
  </si>
  <si>
    <t>UF00319-IA</t>
  </si>
  <si>
    <t>UF00304</t>
  </si>
  <si>
    <t>UF00295</t>
  </si>
  <si>
    <t>UF00311</t>
  </si>
  <si>
    <t>UF00321</t>
  </si>
  <si>
    <t>UF00334</t>
  </si>
  <si>
    <t>UF00338</t>
  </si>
  <si>
    <t>UF00339</t>
  </si>
  <si>
    <t>UF00340</t>
  </si>
  <si>
    <t>UF00341</t>
  </si>
  <si>
    <t>UF00342</t>
  </si>
  <si>
    <t>UF00299</t>
  </si>
  <si>
    <t>UF00300</t>
  </si>
  <si>
    <t>UF00320</t>
  </si>
  <si>
    <t>UF00324</t>
  </si>
  <si>
    <t>54240-show machine</t>
  </si>
  <si>
    <t>54241-show machine</t>
  </si>
  <si>
    <t>1020+</t>
  </si>
  <si>
    <t>54384-Husker Harvest</t>
  </si>
  <si>
    <t>54390 retailed</t>
  </si>
  <si>
    <t>54392 Cornelius</t>
  </si>
  <si>
    <t>QC-Parts</t>
  </si>
  <si>
    <t>54415 - Husker Harvest</t>
  </si>
  <si>
    <t>54385-Husker Harvest</t>
  </si>
  <si>
    <t>54391 - Husker Harvest</t>
  </si>
  <si>
    <t>1 of 3 Volochanko</t>
  </si>
  <si>
    <t>3 of 3</t>
  </si>
  <si>
    <t>1 of 5 retailed</t>
  </si>
  <si>
    <t xml:space="preserve">2 of 5 </t>
  </si>
  <si>
    <t>1 of 10</t>
  </si>
  <si>
    <t>2 of 10</t>
  </si>
  <si>
    <t>3 of 10</t>
  </si>
  <si>
    <t>4 of 10</t>
  </si>
  <si>
    <t>5 of 10</t>
  </si>
  <si>
    <t>6 of 10</t>
  </si>
  <si>
    <t>7 of 10</t>
  </si>
  <si>
    <t>8 of 10 Johnson Farms</t>
  </si>
  <si>
    <t>9 of 10</t>
  </si>
  <si>
    <t>10 of 10</t>
  </si>
  <si>
    <t>8 of 10</t>
  </si>
  <si>
    <t>1 of 3</t>
  </si>
  <si>
    <t>3 of 7</t>
  </si>
  <si>
    <t>4 of 7</t>
  </si>
  <si>
    <t>1 of 7</t>
  </si>
  <si>
    <t>6 of 7</t>
  </si>
  <si>
    <t>7 of 7</t>
  </si>
  <si>
    <t>2 of 7</t>
  </si>
  <si>
    <t>5 of 7</t>
  </si>
  <si>
    <t>4 of 9</t>
  </si>
  <si>
    <t>5 of 9</t>
  </si>
  <si>
    <t>1 of 12</t>
  </si>
  <si>
    <t>2 of 12</t>
  </si>
  <si>
    <t>3 of 12</t>
  </si>
  <si>
    <t>4 of 12</t>
  </si>
  <si>
    <t>5 of 12</t>
  </si>
  <si>
    <t>6 of 12</t>
  </si>
  <si>
    <t>7 of 12</t>
  </si>
  <si>
    <t>8 of 12</t>
  </si>
  <si>
    <t>9 of 12</t>
  </si>
  <si>
    <t>10 of 12</t>
  </si>
  <si>
    <t>11 of 12</t>
  </si>
  <si>
    <t>12 of 12</t>
  </si>
  <si>
    <t>O-700</t>
  </si>
  <si>
    <t>O-701</t>
  </si>
  <si>
    <t>O-702</t>
  </si>
  <si>
    <t>O-703</t>
  </si>
  <si>
    <t>O-704</t>
  </si>
  <si>
    <t>O-705 Pervis Ellis</t>
  </si>
  <si>
    <t>O-706 retailed</t>
  </si>
  <si>
    <t>O-707</t>
  </si>
  <si>
    <t>O-708</t>
  </si>
  <si>
    <t>O-709</t>
  </si>
  <si>
    <t>OVA-710 Bob Wade</t>
  </si>
  <si>
    <t>OVA-711 retailed</t>
  </si>
  <si>
    <t>OVA-712</t>
  </si>
  <si>
    <t>OVA-713 retailed</t>
  </si>
  <si>
    <t>OVA-714 retailed</t>
  </si>
  <si>
    <t>OVA-715  retailed</t>
  </si>
  <si>
    <t>OVA-716</t>
  </si>
  <si>
    <t>OVA-717</t>
  </si>
  <si>
    <t>OVA-718</t>
  </si>
  <si>
    <t>OVA-719 retailed</t>
  </si>
  <si>
    <t>OVA-720</t>
  </si>
  <si>
    <t>OVA-721</t>
  </si>
  <si>
    <t>OVA-722</t>
  </si>
  <si>
    <t>OVA-723</t>
  </si>
  <si>
    <t>OVA-724</t>
  </si>
  <si>
    <t>OVA-725</t>
  </si>
  <si>
    <t>OVA-726</t>
  </si>
  <si>
    <t>OVA-727</t>
  </si>
  <si>
    <t>OVA-728</t>
  </si>
  <si>
    <t>OVA-729</t>
  </si>
  <si>
    <t>PO #751</t>
  </si>
  <si>
    <t>PO #752</t>
  </si>
  <si>
    <t>PO #753</t>
  </si>
  <si>
    <t>PO #754</t>
  </si>
  <si>
    <t>PO #756</t>
  </si>
  <si>
    <t>PO #757</t>
  </si>
  <si>
    <t>PO #758</t>
  </si>
  <si>
    <t>PO #759</t>
  </si>
  <si>
    <t>PO #760</t>
  </si>
  <si>
    <t>IN-606</t>
  </si>
  <si>
    <t>PO #755 Fairholme Farms</t>
  </si>
  <si>
    <t>IN-600</t>
  </si>
  <si>
    <t>IN-601</t>
  </si>
  <si>
    <t>IN-602</t>
  </si>
  <si>
    <t>IN-603</t>
  </si>
  <si>
    <t>IN-604</t>
  </si>
  <si>
    <t>IN-605</t>
  </si>
  <si>
    <t>IN-607</t>
  </si>
  <si>
    <t>IN-608</t>
  </si>
  <si>
    <t>IN-609</t>
  </si>
  <si>
    <t>PO# IN 911</t>
  </si>
  <si>
    <t>PO# IN 913</t>
  </si>
  <si>
    <t>PO# IN 914</t>
  </si>
  <si>
    <t>PO# IN 909</t>
  </si>
  <si>
    <t>PO# IN 910</t>
  </si>
  <si>
    <t>GP</t>
  </si>
  <si>
    <t>DC</t>
  </si>
  <si>
    <t>Kevin Peters</t>
  </si>
  <si>
    <t>PA #1-13</t>
  </si>
  <si>
    <t>Melfort #1-13</t>
  </si>
  <si>
    <t>PA #2-13</t>
  </si>
  <si>
    <t>Melfort #2-13</t>
  </si>
  <si>
    <t>Order #6-retailed</t>
  </si>
  <si>
    <t>Order #12</t>
  </si>
  <si>
    <t>Order #14</t>
  </si>
  <si>
    <t>Order #15</t>
  </si>
  <si>
    <t>1-2013</t>
  </si>
  <si>
    <t>2-2013</t>
  </si>
  <si>
    <t>#3</t>
  </si>
  <si>
    <t>#4</t>
  </si>
  <si>
    <t>3-2013 Jay Jarrett</t>
  </si>
  <si>
    <t>1 Brent Clark</t>
  </si>
  <si>
    <t>Need Final Specs</t>
  </si>
  <si>
    <t>Training #1</t>
  </si>
  <si>
    <t>Training #2</t>
  </si>
  <si>
    <t>Training #3</t>
  </si>
  <si>
    <t>Training #4</t>
  </si>
  <si>
    <t>Brought Land Co.</t>
  </si>
  <si>
    <t>MCGG112</t>
  </si>
  <si>
    <t>MCGG212</t>
  </si>
  <si>
    <t>MCGG312</t>
  </si>
  <si>
    <t>MCGG412</t>
  </si>
  <si>
    <t>MCGG512</t>
  </si>
  <si>
    <t>Unit #1 Tony Gunderman</t>
  </si>
  <si>
    <t>Unit #2</t>
  </si>
  <si>
    <t>Wants by 2/15/13</t>
  </si>
  <si>
    <t>AP13-1</t>
  </si>
  <si>
    <t>AP13-2</t>
  </si>
  <si>
    <t>AP13-3</t>
  </si>
  <si>
    <t>AP13-4</t>
  </si>
  <si>
    <t>AP13-5</t>
  </si>
  <si>
    <t>AP13-6</t>
  </si>
  <si>
    <t>AP13-7</t>
  </si>
  <si>
    <t>AP13-8</t>
  </si>
  <si>
    <t>AP13-9</t>
  </si>
  <si>
    <t>AP13-10</t>
  </si>
  <si>
    <t>AP13-11</t>
  </si>
  <si>
    <t>AP13-12</t>
  </si>
  <si>
    <t>AP13-13</t>
  </si>
  <si>
    <t>AP13-14-need specs</t>
  </si>
  <si>
    <t>AP13-15-need specs</t>
  </si>
  <si>
    <t>AP13-16-need specs</t>
  </si>
  <si>
    <t>AP13-17-need specs</t>
  </si>
  <si>
    <t>AP13-18-need specs</t>
  </si>
  <si>
    <t>AP13-19-need specs</t>
  </si>
  <si>
    <t>AP13-20-need specs</t>
  </si>
  <si>
    <t>AP13-21-need specs</t>
  </si>
  <si>
    <t>AP13-22-need specs</t>
  </si>
  <si>
    <t>AP13-23-need specs</t>
  </si>
  <si>
    <t>AP13-24-need specs</t>
  </si>
  <si>
    <t>AP13-25-need specs</t>
  </si>
  <si>
    <t>AP13-26-need specs</t>
  </si>
  <si>
    <t>AP13-27-need specs</t>
  </si>
  <si>
    <t>AP13-28-need specs</t>
  </si>
  <si>
    <t>AP13-29-need specs</t>
  </si>
  <si>
    <t>AP13-30-need specs</t>
  </si>
  <si>
    <t>AP13-31-need specs</t>
  </si>
  <si>
    <t>AP13-32-need specs</t>
  </si>
  <si>
    <t>AP13-33-need specs</t>
  </si>
  <si>
    <t>AP13-34-need specs</t>
  </si>
  <si>
    <t>AP13-35-need specs</t>
  </si>
  <si>
    <t>AP13-36-need specs</t>
  </si>
  <si>
    <t>AP13-37-need specs</t>
  </si>
  <si>
    <t>AP13-38-need specs</t>
  </si>
  <si>
    <t>AP13-39-need specs</t>
  </si>
  <si>
    <t>AP13-40-need specs</t>
  </si>
  <si>
    <t>MUU81-889AP</t>
  </si>
  <si>
    <t>MUU81-922AP</t>
  </si>
  <si>
    <t>Kevin Matthews</t>
  </si>
  <si>
    <t>2-Kevin Henry</t>
  </si>
  <si>
    <t>15 Charles Utter</t>
  </si>
  <si>
    <t>16 Obermeyer</t>
  </si>
  <si>
    <t>262505 Ingleside Farms</t>
  </si>
  <si>
    <t>Foxanna Farms, LLC</t>
  </si>
  <si>
    <t>1/11/13-Farm Show</t>
  </si>
  <si>
    <t>#1-McMann</t>
  </si>
  <si>
    <t>#2-Anderson</t>
  </si>
  <si>
    <t>J12-11</t>
  </si>
  <si>
    <t>J12-12</t>
  </si>
  <si>
    <t>J12-2</t>
  </si>
  <si>
    <t>J12-3 Morganstern</t>
  </si>
  <si>
    <t>J12-4 Husker Harvest</t>
  </si>
  <si>
    <t>J12-13 Husker Harvest</t>
  </si>
  <si>
    <t>J12-14</t>
  </si>
  <si>
    <t>J12-21</t>
  </si>
  <si>
    <t>J12-22</t>
  </si>
  <si>
    <t>J12-43</t>
  </si>
  <si>
    <t>J12-44</t>
  </si>
  <si>
    <t>J12-5</t>
  </si>
  <si>
    <t>J12-6</t>
  </si>
  <si>
    <t>J12-7</t>
  </si>
  <si>
    <t>J12-8 Matt Mai</t>
  </si>
  <si>
    <t>J12-9</t>
  </si>
  <si>
    <t>J12-10</t>
  </si>
  <si>
    <t>J12-15</t>
  </si>
  <si>
    <t>J12-16</t>
  </si>
  <si>
    <t>J12-17</t>
  </si>
  <si>
    <t>J12-18</t>
  </si>
  <si>
    <t>J12-19</t>
  </si>
  <si>
    <t>J12-20</t>
  </si>
  <si>
    <t>J12-23</t>
  </si>
  <si>
    <t>J12-42</t>
  </si>
  <si>
    <t>J12-24</t>
  </si>
  <si>
    <t>J12-25</t>
  </si>
  <si>
    <t>J12-26-Claude Durler</t>
  </si>
  <si>
    <t>J12-27</t>
  </si>
  <si>
    <t>J12-28</t>
  </si>
  <si>
    <t>J12-29</t>
  </si>
  <si>
    <t>J12-30</t>
  </si>
  <si>
    <t>J12-31 Gary Axman</t>
  </si>
  <si>
    <t>J12-32 Tice Farms</t>
  </si>
  <si>
    <t>J12-33 Marvin Wagner</t>
  </si>
  <si>
    <t>J12-34</t>
  </si>
  <si>
    <t>J12-35 Ron Suppes</t>
  </si>
  <si>
    <t>J12-36 Brian McKinney</t>
  </si>
  <si>
    <t>J12-37</t>
  </si>
  <si>
    <t>J12-38</t>
  </si>
  <si>
    <t>J12-39</t>
  </si>
  <si>
    <t>J12-40</t>
  </si>
  <si>
    <t>J12-41 Pardue Farms</t>
  </si>
  <si>
    <t>J12-45 Ross Boone</t>
  </si>
  <si>
    <t>J12-46 Ron Jacques</t>
  </si>
  <si>
    <t>J12-47 Jason Pavlu</t>
  </si>
  <si>
    <t>J12-48 Steve Sterling</t>
  </si>
  <si>
    <t>J12-49 McAma Oil</t>
  </si>
  <si>
    <t>J12-50 Larry Stamper</t>
  </si>
  <si>
    <t>J12-51 Joey Bellerive</t>
  </si>
  <si>
    <t>J12-52 Erker</t>
  </si>
  <si>
    <t>J12-53</t>
  </si>
  <si>
    <t>J12-54</t>
  </si>
  <si>
    <t>J12-55</t>
  </si>
  <si>
    <t>J12-56</t>
  </si>
  <si>
    <t>J12-57</t>
  </si>
  <si>
    <t>J12-58</t>
  </si>
  <si>
    <t>J12-59</t>
  </si>
  <si>
    <t>J12-60</t>
  </si>
  <si>
    <t>J12-61</t>
  </si>
  <si>
    <t>J12-62</t>
  </si>
  <si>
    <t>J12-63</t>
  </si>
  <si>
    <t>J12-64</t>
  </si>
  <si>
    <t>J12-65</t>
  </si>
  <si>
    <t>J12-66</t>
  </si>
  <si>
    <t>J12-67 Steve Dechant</t>
  </si>
  <si>
    <t>J12-68 Randy Werth</t>
  </si>
  <si>
    <t xml:space="preserve">J12-69 </t>
  </si>
  <si>
    <t>J12-70</t>
  </si>
  <si>
    <t>J12-71</t>
  </si>
  <si>
    <t>J12-72</t>
  </si>
  <si>
    <t>J12-73</t>
  </si>
  <si>
    <t>J12-74</t>
  </si>
  <si>
    <t>J12-75</t>
  </si>
  <si>
    <t>J12-76</t>
  </si>
  <si>
    <t>J12-77</t>
  </si>
  <si>
    <t>J12-78</t>
  </si>
  <si>
    <t>J12-79</t>
  </si>
  <si>
    <t>AP12-23</t>
  </si>
  <si>
    <t>J12-82</t>
  </si>
  <si>
    <t>J12-83</t>
  </si>
  <si>
    <t>J12-84</t>
  </si>
  <si>
    <t>J12-85</t>
  </si>
  <si>
    <t>J12-86</t>
  </si>
  <si>
    <t>J12-87</t>
  </si>
  <si>
    <t>J12-88 Vetter</t>
  </si>
  <si>
    <t>J12-89 Pribble Farms</t>
  </si>
  <si>
    <t>J12-90 Brenner</t>
  </si>
  <si>
    <t>J12-91 Huxman</t>
  </si>
  <si>
    <t>J12-92</t>
  </si>
  <si>
    <t>J12-93</t>
  </si>
  <si>
    <t>J12-94</t>
  </si>
  <si>
    <t>J12-96</t>
  </si>
  <si>
    <t>J12-97</t>
  </si>
  <si>
    <t>J12-98</t>
  </si>
  <si>
    <t>J12-99</t>
  </si>
  <si>
    <t>J12-100</t>
  </si>
  <si>
    <t>1 of 4</t>
  </si>
  <si>
    <t>2 of 4</t>
  </si>
  <si>
    <t>3 of 4</t>
  </si>
  <si>
    <t>4 of 4</t>
  </si>
  <si>
    <t>4396-Kevin Wenger</t>
  </si>
  <si>
    <t>4426-Jeremy Johnson</t>
  </si>
  <si>
    <t>4397-Terry Mann</t>
  </si>
  <si>
    <t>4400-retailed</t>
  </si>
  <si>
    <t>4401-Kordy Bros</t>
  </si>
  <si>
    <t>4408-Paul Winter</t>
  </si>
  <si>
    <t>4409-Dan Langel</t>
  </si>
  <si>
    <t>4410-Mike Flannigan</t>
  </si>
  <si>
    <t>4411-Andover Grain</t>
  </si>
  <si>
    <t>4412-Dennis Price</t>
  </si>
  <si>
    <t>4413-Collins Production</t>
  </si>
  <si>
    <t>4414-Nelson Farmily Farms</t>
  </si>
  <si>
    <t>4415-Daly Farm Partnership</t>
  </si>
  <si>
    <t>4416- Sheppard Farms</t>
  </si>
  <si>
    <t>4417-Charles McCullough</t>
  </si>
  <si>
    <t>4421-Kessenich Livestock</t>
  </si>
  <si>
    <t>4394 Husker Harvest</t>
  </si>
  <si>
    <t>5361-R.E.D. Inc</t>
  </si>
  <si>
    <t>111712-6</t>
  </si>
  <si>
    <t>111712-7</t>
  </si>
  <si>
    <t>UF00064</t>
  </si>
  <si>
    <t>UF00105</t>
  </si>
  <si>
    <t>UF00222</t>
  </si>
  <si>
    <t>UF00223</t>
  </si>
  <si>
    <t>49338-stock</t>
  </si>
  <si>
    <t>49339-demo</t>
  </si>
  <si>
    <t>50353-J&amp;J Samson</t>
  </si>
  <si>
    <t>50355-Dennis Kurzweil</t>
  </si>
  <si>
    <t>50358 Overland Farm</t>
  </si>
  <si>
    <t>50341-Lammert Farms</t>
  </si>
  <si>
    <t>50342-Marsden Farms</t>
  </si>
  <si>
    <t>50328-Milton Wemhoff</t>
  </si>
  <si>
    <t>50329-Justin Armstrong</t>
  </si>
  <si>
    <t>50330-Moore Farms</t>
  </si>
  <si>
    <t>50331 Schmidt Ag</t>
  </si>
  <si>
    <t>50332-Chad Imler</t>
  </si>
  <si>
    <t>50333-Jerry Engle</t>
  </si>
  <si>
    <t>50337-Leon Dorn</t>
  </si>
  <si>
    <t>50339-Craig Hough</t>
  </si>
  <si>
    <t>50345-Frankford Farm Supply</t>
  </si>
  <si>
    <t>50346-Mike Spilker</t>
  </si>
  <si>
    <t>50352-Craig Bolz</t>
  </si>
  <si>
    <t>12 Bockman</t>
  </si>
  <si>
    <t>2/1012</t>
  </si>
  <si>
    <t>Brad Thompson</t>
  </si>
  <si>
    <t>Pherson Farms</t>
  </si>
  <si>
    <t>Chrisianson Farms</t>
  </si>
  <si>
    <t>Mark Melius</t>
  </si>
  <si>
    <t>Brian Kiner</t>
  </si>
  <si>
    <t>Pederson Farms</t>
  </si>
  <si>
    <t>Keith Harvey-Raven</t>
  </si>
  <si>
    <t>Mickey Doll</t>
  </si>
  <si>
    <t>Fred Pick -set HP @215hp</t>
  </si>
  <si>
    <t>Jeff Wissbrood</t>
  </si>
  <si>
    <t>Dwight Warkenthian</t>
  </si>
  <si>
    <t>1 of 6 John Anderson</t>
  </si>
  <si>
    <t>2 of 6 Gunderson Farms</t>
  </si>
  <si>
    <t>5 of 6 Hendricson Farms</t>
  </si>
  <si>
    <t>6 of 6 Ray Arneson</t>
  </si>
  <si>
    <t>VO1763</t>
  </si>
  <si>
    <t>Bosovich</t>
  </si>
  <si>
    <t>KO1286</t>
  </si>
  <si>
    <t>107A</t>
  </si>
  <si>
    <t>108A</t>
  </si>
  <si>
    <t>124A</t>
  </si>
  <si>
    <t>119A</t>
  </si>
  <si>
    <t>120A</t>
  </si>
  <si>
    <t>142A</t>
  </si>
  <si>
    <t>102A</t>
  </si>
  <si>
    <t>103A</t>
  </si>
  <si>
    <t>104A</t>
  </si>
  <si>
    <t>122A</t>
  </si>
  <si>
    <t>101A-Tosh Farms</t>
  </si>
  <si>
    <t>127A</t>
  </si>
  <si>
    <t>128A-Tosh Farms</t>
  </si>
  <si>
    <t>141A-Mike Reynolds</t>
  </si>
  <si>
    <t>117A</t>
  </si>
  <si>
    <t>118A-Steve Lindauer</t>
  </si>
  <si>
    <t>125A</t>
  </si>
  <si>
    <t>126A</t>
  </si>
  <si>
    <t>115A</t>
  </si>
  <si>
    <t>116A</t>
  </si>
  <si>
    <t>121A-Gill Bros</t>
  </si>
  <si>
    <t>123A</t>
  </si>
  <si>
    <t>111A-Cecil Farms</t>
  </si>
  <si>
    <t>113A Darrell Hagan</t>
  </si>
  <si>
    <t>114A</t>
  </si>
  <si>
    <t>105A</t>
  </si>
  <si>
    <t>106A</t>
  </si>
  <si>
    <t>109A</t>
  </si>
  <si>
    <t>139A</t>
  </si>
  <si>
    <t>140A</t>
  </si>
  <si>
    <t>143A</t>
  </si>
  <si>
    <t>144A</t>
  </si>
  <si>
    <t>136B</t>
  </si>
  <si>
    <t>PO 051412 Jim Keasler</t>
  </si>
  <si>
    <t>112A-Krieger Farms</t>
  </si>
  <si>
    <t>138B</t>
  </si>
  <si>
    <t>140B</t>
  </si>
  <si>
    <t>137B</t>
  </si>
  <si>
    <t>143B Schoettmer</t>
  </si>
  <si>
    <t>144B</t>
  </si>
  <si>
    <t>42986AM-Order #1</t>
  </si>
  <si>
    <t>42986AM-Order #2</t>
  </si>
  <si>
    <t>01486AM-Order #3</t>
  </si>
  <si>
    <t>01486AM-Order #4</t>
  </si>
  <si>
    <t>PA1020#1</t>
  </si>
  <si>
    <t>PA1220#1</t>
  </si>
  <si>
    <t>Order #2-Hermus</t>
  </si>
  <si>
    <t>Order #2-sold</t>
  </si>
  <si>
    <t>Order #18</t>
  </si>
  <si>
    <t>M050606</t>
  </si>
  <si>
    <t>M050607</t>
  </si>
  <si>
    <t>M050601</t>
  </si>
  <si>
    <t>M050604</t>
  </si>
  <si>
    <t>M050602</t>
  </si>
  <si>
    <t>M050603</t>
  </si>
  <si>
    <t>M050605</t>
  </si>
  <si>
    <t>John McClendon</t>
  </si>
  <si>
    <t>5/21/12 #16</t>
  </si>
  <si>
    <t>5/21/12 #17</t>
  </si>
  <si>
    <t>Prototype</t>
  </si>
  <si>
    <t>AP12-22</t>
  </si>
  <si>
    <t>AP12-30</t>
  </si>
  <si>
    <t>2012-1</t>
  </si>
  <si>
    <t>2012-2</t>
  </si>
  <si>
    <t>2012-3</t>
  </si>
  <si>
    <t>2012-4</t>
  </si>
  <si>
    <t>2012-5</t>
  </si>
  <si>
    <t>2012-6</t>
  </si>
  <si>
    <t>2012-7 Wagner</t>
  </si>
  <si>
    <t>2012-8</t>
  </si>
  <si>
    <t>2012-9</t>
  </si>
  <si>
    <t>2012-6 Cutsforth</t>
  </si>
  <si>
    <t>2012-5 WG8794</t>
  </si>
  <si>
    <t>Haguewod</t>
  </si>
  <si>
    <t>Martin Bros</t>
  </si>
  <si>
    <t>Unit #1</t>
  </si>
  <si>
    <t>Unit #3</t>
  </si>
  <si>
    <t>Unit #4</t>
  </si>
  <si>
    <t>AP12-1</t>
  </si>
  <si>
    <t>AP12-2</t>
  </si>
  <si>
    <t>AP12-3</t>
  </si>
  <si>
    <t>AP12-4</t>
  </si>
  <si>
    <t>AP12-5</t>
  </si>
  <si>
    <t>AP12-6</t>
  </si>
  <si>
    <t>AP12-7 Richard Borgsmiller</t>
  </si>
  <si>
    <t>AP12-8</t>
  </si>
  <si>
    <t>AP12-9</t>
  </si>
  <si>
    <t>AP12-10</t>
  </si>
  <si>
    <t>AP12-11</t>
  </si>
  <si>
    <t>AP12-12</t>
  </si>
  <si>
    <t>AP12-13</t>
  </si>
  <si>
    <t>AP12-40</t>
  </si>
  <si>
    <t>AP12-14</t>
  </si>
  <si>
    <t>AP12-15</t>
  </si>
  <si>
    <t>AP12-16</t>
  </si>
  <si>
    <t>AP12-17</t>
  </si>
  <si>
    <t>AP12-18</t>
  </si>
  <si>
    <t>AP12-19</t>
  </si>
  <si>
    <t>AP12-20</t>
  </si>
  <si>
    <t>AP12-21</t>
  </si>
  <si>
    <t>AP12-24</t>
  </si>
  <si>
    <t>AP12-25</t>
  </si>
  <si>
    <t>AP12-26</t>
  </si>
  <si>
    <t>AP12-28</t>
  </si>
  <si>
    <t>AP12-29 Rock Grain</t>
  </si>
  <si>
    <t>AP12-31</t>
  </si>
  <si>
    <t>AP12-32</t>
  </si>
  <si>
    <t>AP12-33</t>
  </si>
  <si>
    <t>AP12-34</t>
  </si>
  <si>
    <t>AP12-35 Burton Grain</t>
  </si>
  <si>
    <t>AP12-36 Briney</t>
  </si>
  <si>
    <t>AP12-37 Shelby</t>
  </si>
  <si>
    <t>AP12-38</t>
  </si>
  <si>
    <t>AP12-39</t>
  </si>
  <si>
    <t>AP12-41</t>
  </si>
  <si>
    <t>AP12-42</t>
  </si>
  <si>
    <t>MUU81-654ET</t>
  </si>
  <si>
    <t>MUU81-735ET</t>
  </si>
  <si>
    <t>548059 retailed</t>
  </si>
  <si>
    <t>PO# 463995 Robert Adamic</t>
  </si>
  <si>
    <t>Gordon Farms</t>
  </si>
  <si>
    <t>Butts Farms</t>
  </si>
  <si>
    <t>Clifton &amp; Quigg</t>
  </si>
  <si>
    <t>Dean Wendell</t>
  </si>
  <si>
    <t>Batke Farms Inc</t>
  </si>
  <si>
    <t>Bollinger &amp; Michael</t>
  </si>
  <si>
    <t>Snow-1</t>
  </si>
  <si>
    <t>Snow-2</t>
  </si>
  <si>
    <t>January or later</t>
  </si>
  <si>
    <t>February or later</t>
  </si>
  <si>
    <t>Early Sept</t>
  </si>
  <si>
    <t>Sept-Oct</t>
  </si>
  <si>
    <t>PO 1801</t>
  </si>
  <si>
    <t>PO 1802-Farm Progress</t>
  </si>
  <si>
    <t>Late Fall</t>
  </si>
  <si>
    <t>PO 1800</t>
  </si>
  <si>
    <t>PO 1803</t>
  </si>
  <si>
    <t>PO 1798-Richard Rademacher</t>
  </si>
  <si>
    <t>Winter 2011</t>
  </si>
  <si>
    <t>PO 1808 Terry Gast</t>
  </si>
  <si>
    <t>PO 1804</t>
  </si>
  <si>
    <t>PO 1805 Haerther</t>
  </si>
  <si>
    <t xml:space="preserve">PO 1806 </t>
  </si>
  <si>
    <t>PO 1807-retailed</t>
  </si>
  <si>
    <t>Prototype-340 hours</t>
  </si>
  <si>
    <t>PO 147-from OVA</t>
  </si>
  <si>
    <t>PO 47446 Schnitz</t>
  </si>
  <si>
    <t>PO 47447 Gastler Bros</t>
  </si>
  <si>
    <t>PO 47448</t>
  </si>
  <si>
    <t xml:space="preserve">PO 47449 </t>
  </si>
  <si>
    <t xml:space="preserve">PO 47450 </t>
  </si>
  <si>
    <t>PO 47451</t>
  </si>
  <si>
    <t>PO 120</t>
  </si>
  <si>
    <t>PO 145-from OVA</t>
  </si>
  <si>
    <t>Husker Harvest #1</t>
  </si>
  <si>
    <t>PO 47445</t>
  </si>
  <si>
    <t>PO 47452</t>
  </si>
  <si>
    <t>PO 47453 sold</t>
  </si>
  <si>
    <t>PO 47454 Chris Henry</t>
  </si>
  <si>
    <t>PO 122-from OVA</t>
  </si>
  <si>
    <t>Husker Harvest #2</t>
  </si>
  <si>
    <t>PO 47457 Frisch</t>
  </si>
  <si>
    <t>PO 47464 Klassen</t>
  </si>
  <si>
    <t>PO 47469 Kneif/Curry</t>
  </si>
  <si>
    <t>PO 47455 Lynn Olson</t>
  </si>
  <si>
    <t>PO 47463</t>
  </si>
  <si>
    <t>PO 47456 Kelly Farms</t>
  </si>
  <si>
    <t>PO 47458 Freeze</t>
  </si>
  <si>
    <t>PO 47468 Korth</t>
  </si>
  <si>
    <t>PO 47473 Ron Nihsen</t>
  </si>
  <si>
    <t>PO 47460 Jacobs</t>
  </si>
  <si>
    <t>PO 47461 Rastede</t>
  </si>
  <si>
    <t>PO 47470 Toelle</t>
  </si>
  <si>
    <t>PO 47474 Hough</t>
  </si>
  <si>
    <t>PO 47459 Landmark Farms</t>
  </si>
  <si>
    <t>PO 47479 Kramer</t>
  </si>
  <si>
    <t>PO 47466 Cheney</t>
  </si>
  <si>
    <t>PO 47471 Kuchar</t>
  </si>
  <si>
    <t>Mid March</t>
  </si>
  <si>
    <t>Kenny Schaan</t>
  </si>
  <si>
    <t>Dan Kersten</t>
  </si>
  <si>
    <t>Mid Feb</t>
  </si>
  <si>
    <t>Steve Erdmann</t>
  </si>
  <si>
    <t>Nathan Boll</t>
  </si>
  <si>
    <t>Denton Overton</t>
  </si>
  <si>
    <t>Big Iron #3</t>
  </si>
  <si>
    <t>Big Iron #1</t>
  </si>
  <si>
    <t>Big Iron #2</t>
  </si>
  <si>
    <t>Schantz</t>
  </si>
  <si>
    <t>Driscoll</t>
  </si>
  <si>
    <t>Hagel</t>
  </si>
  <si>
    <t>Dennis Mayer</t>
  </si>
  <si>
    <t>Nelson Farms</t>
  </si>
  <si>
    <t>Chad Williams</t>
  </si>
  <si>
    <t>Olson Farms</t>
  </si>
  <si>
    <t>Pete Satrom</t>
  </si>
  <si>
    <t>Dennis Sinkey</t>
  </si>
  <si>
    <t>Lyons Farms</t>
  </si>
  <si>
    <t>Geral Meuchel</t>
  </si>
  <si>
    <t>Dave Kraenzel</t>
  </si>
  <si>
    <t>Tim Oech</t>
  </si>
  <si>
    <t>Greenway Farms</t>
  </si>
  <si>
    <t>April 1st</t>
  </si>
  <si>
    <t>Joe Gorski</t>
  </si>
  <si>
    <t>PO 132</t>
  </si>
  <si>
    <t>Terry Blerot</t>
  </si>
  <si>
    <t>Flannery Farms</t>
  </si>
  <si>
    <t>#1-Brown EQ. Inc</t>
  </si>
  <si>
    <t>#2-Sold to Duane Nasner</t>
  </si>
  <si>
    <t>PO 101</t>
  </si>
  <si>
    <t>PO 102</t>
  </si>
  <si>
    <t>PO 123</t>
  </si>
  <si>
    <t>PO 124 Mike Escue</t>
  </si>
  <si>
    <t>PO 103</t>
  </si>
  <si>
    <t>PO 104 Carter Farms</t>
  </si>
  <si>
    <t>PO 125 James Leonard</t>
  </si>
  <si>
    <t>PO 126 Triple T Farms</t>
  </si>
  <si>
    <t>PO 105 Samuel Jones</t>
  </si>
  <si>
    <t>PO 106 retailed</t>
  </si>
  <si>
    <t>PO 127 Tosh Farms</t>
  </si>
  <si>
    <t>PO 131 Boulds Farms</t>
  </si>
  <si>
    <t>PO 128 Royster Farms</t>
  </si>
  <si>
    <t>PO 143 Johnson</t>
  </si>
  <si>
    <t>PO 133 Alan Simmons</t>
  </si>
  <si>
    <t>PO 134 Pasture Belt Farms</t>
  </si>
  <si>
    <t>PO 107 Walton Ezell Farms</t>
  </si>
  <si>
    <t>PO 108</t>
  </si>
  <si>
    <t>PO 140 Hancock Farms</t>
  </si>
  <si>
    <t>PO 129 BGB</t>
  </si>
  <si>
    <t>PO 130 Weldon Farms</t>
  </si>
  <si>
    <t>PO 141 Ben Moore</t>
  </si>
  <si>
    <t>PO 144 Dwayne Fueger</t>
  </si>
  <si>
    <t>PO 150 Brandon Quire</t>
  </si>
  <si>
    <t>PO 109</t>
  </si>
  <si>
    <t>Louisville FS</t>
  </si>
  <si>
    <t>PO 110</t>
  </si>
  <si>
    <t>PO 111 Sullivan Farms</t>
  </si>
  <si>
    <t>PO 112 CPS Henderson</t>
  </si>
  <si>
    <t>PO 142</t>
  </si>
  <si>
    <t>37/11</t>
  </si>
  <si>
    <t>PO 113 Perry Ireland</t>
  </si>
  <si>
    <t>PO 135 Tim Shipley</t>
  </si>
  <si>
    <t>PO 115 Magnolia Stock Farms</t>
  </si>
  <si>
    <t>PO 116</t>
  </si>
  <si>
    <t>PO 136</t>
  </si>
  <si>
    <t>PO 137</t>
  </si>
  <si>
    <t>PO 117</t>
  </si>
  <si>
    <t>PO 118</t>
  </si>
  <si>
    <t>PO 119</t>
  </si>
  <si>
    <t>PO 139</t>
  </si>
  <si>
    <t>PO 121</t>
  </si>
  <si>
    <t>PO 148</t>
  </si>
  <si>
    <t>PO 114 Buis</t>
  </si>
  <si>
    <t>PO 146</t>
  </si>
  <si>
    <t>PO 138</t>
  </si>
  <si>
    <t>Immediate</t>
  </si>
  <si>
    <t>PA #1</t>
  </si>
  <si>
    <t>M13959-AB</t>
  </si>
  <si>
    <t>M13962-AB</t>
  </si>
  <si>
    <t>M13960-AB</t>
  </si>
  <si>
    <t>M13961-AB</t>
  </si>
  <si>
    <t>M13963-AB</t>
  </si>
  <si>
    <t>M13964-AB</t>
  </si>
  <si>
    <t>M14232</t>
  </si>
  <si>
    <t>Order #7 retailed</t>
  </si>
  <si>
    <t>Order #3 Varty</t>
  </si>
  <si>
    <t>TRANSFER from Youngs - SOLD DLE</t>
  </si>
  <si>
    <t>early Feb</t>
  </si>
  <si>
    <t>M0120APA</t>
  </si>
  <si>
    <t>M0220APA</t>
  </si>
  <si>
    <t>M0320APA</t>
  </si>
  <si>
    <t>M0420APA</t>
  </si>
  <si>
    <t>Earl Braun</t>
  </si>
  <si>
    <t>demo-Delta Expo</t>
  </si>
  <si>
    <t>Order #5 Gary Shelton</t>
  </si>
  <si>
    <t>end of April</t>
  </si>
  <si>
    <t>Broughton Land</t>
  </si>
  <si>
    <t>Jon McCaw</t>
  </si>
  <si>
    <t>May #2</t>
  </si>
  <si>
    <t>Meridian</t>
  </si>
  <si>
    <t>Sunnyside</t>
  </si>
  <si>
    <t>PO 149</t>
  </si>
  <si>
    <t>AP11-1</t>
  </si>
  <si>
    <t>AP11-2</t>
  </si>
  <si>
    <t>AP11-3</t>
  </si>
  <si>
    <t>June/July</t>
  </si>
  <si>
    <t>AP11-4 White</t>
  </si>
  <si>
    <t>AP11-6 Martin</t>
  </si>
  <si>
    <t>AP11-5 Bunker Hill</t>
  </si>
  <si>
    <t>AP11-7 Bunker Hill</t>
  </si>
  <si>
    <t>AP11-8 Larimore</t>
  </si>
  <si>
    <t>AP11-9 Odem</t>
  </si>
  <si>
    <t>AP11-10 Sweeden</t>
  </si>
  <si>
    <t>AP11-11 Sebolt</t>
  </si>
  <si>
    <t>AP11-12 Voorhees</t>
  </si>
  <si>
    <t>AP11-13 Hileman</t>
  </si>
  <si>
    <t>AP11-14 Mayer</t>
  </si>
  <si>
    <t>AP11-15 E&amp;E Farms</t>
  </si>
  <si>
    <t>AP11-16</t>
  </si>
  <si>
    <t>AP11-17 Richard Simpson</t>
  </si>
  <si>
    <t>AP11-18 Bergeson</t>
  </si>
  <si>
    <t>AP11-19 Robbins</t>
  </si>
  <si>
    <t>AP11-20 Barnickle</t>
  </si>
  <si>
    <t>AP11-21 Johnston</t>
  </si>
  <si>
    <t>AP11-22 Friend</t>
  </si>
  <si>
    <t>AP11-23 Cameron</t>
  </si>
  <si>
    <t>AP11-24 Central Sod</t>
  </si>
  <si>
    <t>AP11-25 Johnson Family Farms</t>
  </si>
  <si>
    <t>AP11-26</t>
  </si>
  <si>
    <t>AP11-27</t>
  </si>
  <si>
    <t>AP11-29 Clinton Phillips</t>
  </si>
  <si>
    <t>AP11-30 Endress</t>
  </si>
  <si>
    <t>AP11-31 JB Equipment</t>
  </si>
  <si>
    <t>AP11-32 Walter Farms</t>
  </si>
  <si>
    <t>AP11-33 McCleary</t>
  </si>
  <si>
    <t>AP11-34 Ross Farms</t>
  </si>
  <si>
    <t>AP11-35</t>
  </si>
  <si>
    <t>AP11-36</t>
  </si>
  <si>
    <t>AP11-37</t>
  </si>
  <si>
    <t>AP11-38</t>
  </si>
  <si>
    <t xml:space="preserve">January </t>
  </si>
  <si>
    <t>MUU81-459ET</t>
  </si>
  <si>
    <t>End of February</t>
  </si>
  <si>
    <t>MUU81-490ET</t>
  </si>
  <si>
    <t>#1 Robert Knox</t>
  </si>
  <si>
    <t>1-720</t>
  </si>
  <si>
    <t>1-1020 Retailed</t>
  </si>
  <si>
    <t>Fralick</t>
  </si>
  <si>
    <t>Order #1 PO 579986</t>
  </si>
  <si>
    <t>Order #2 PO 579987</t>
  </si>
  <si>
    <t>579993 Gerald Van Wyk</t>
  </si>
  <si>
    <t>Farm Show</t>
  </si>
  <si>
    <t>Farm Show-Retailed</t>
  </si>
  <si>
    <t>Prototype-275 hours</t>
  </si>
  <si>
    <t>Reed Family Farms</t>
  </si>
  <si>
    <t>Dan Stalbaum</t>
  </si>
  <si>
    <t>DEMO UNIT</t>
  </si>
  <si>
    <t>Dennis Bess sold</t>
  </si>
  <si>
    <t>Was Willber Ellis is now Greg Mc Carthy</t>
  </si>
  <si>
    <t>Richard Walsh</t>
  </si>
  <si>
    <t>Eggersman Brothers</t>
  </si>
  <si>
    <t>Arron Smith</t>
  </si>
  <si>
    <t>Bateman Farms</t>
  </si>
  <si>
    <t>J &amp; B Precision</t>
  </si>
  <si>
    <t>John Artman</t>
  </si>
  <si>
    <t>Fiat leasing</t>
  </si>
  <si>
    <t>A &amp; K Keiffer</t>
  </si>
  <si>
    <t>Oreana</t>
  </si>
  <si>
    <t>XFER to ISC</t>
  </si>
  <si>
    <t>Nelson - del.</t>
  </si>
  <si>
    <t xml:space="preserve"> Brown -del.</t>
  </si>
  <si>
    <t>Sold - ID</t>
  </si>
  <si>
    <t xml:space="preserve"> Madson - del.</t>
  </si>
  <si>
    <t>Sampson - del.</t>
  </si>
  <si>
    <t>Frisch - del.</t>
  </si>
  <si>
    <t>Koster - del.</t>
  </si>
  <si>
    <t>Howe Bros.- del</t>
  </si>
  <si>
    <t>Schwaninger</t>
  </si>
  <si>
    <t xml:space="preserve">Pelfter - del. </t>
  </si>
  <si>
    <t>Meyer - del.</t>
  </si>
  <si>
    <t>Dan Theunissen - del.</t>
  </si>
  <si>
    <t xml:space="preserve">Steve &amp; Mike Meyers </t>
  </si>
  <si>
    <t>Poole - ZF Prototype</t>
  </si>
  <si>
    <t xml:space="preserve">John Stephens  </t>
  </si>
  <si>
    <t>Olds</t>
  </si>
  <si>
    <t xml:space="preserve">Calgary - Sold Bearth </t>
  </si>
  <si>
    <t>Prince Albert - Sold Olympia Farms</t>
  </si>
  <si>
    <t xml:space="preserve">Lloydminster - Sold Haduik </t>
  </si>
  <si>
    <t>Lloydminster - Sold Carlos</t>
  </si>
  <si>
    <t>Saskatoon - Sold Thiessen</t>
  </si>
  <si>
    <t xml:space="preserve">Unity - Sold Whinny </t>
  </si>
  <si>
    <t xml:space="preserve">Unity - Sold Moen </t>
  </si>
  <si>
    <t>Open</t>
  </si>
  <si>
    <t>apo9-22</t>
  </si>
  <si>
    <t>apo9-24</t>
  </si>
  <si>
    <t>apo9-31</t>
  </si>
  <si>
    <t>apo9-27</t>
  </si>
  <si>
    <t>apo9-20</t>
  </si>
  <si>
    <t>Pending</t>
  </si>
  <si>
    <t>SOLD</t>
  </si>
  <si>
    <t>Sold: Greg Obert &amp; Joe Silva</t>
  </si>
  <si>
    <t>Denny Hardesty</t>
  </si>
  <si>
    <t>Joe Pat Hughes</t>
  </si>
  <si>
    <t>Ashley Bibb</t>
  </si>
  <si>
    <t>Randall Anderson</t>
  </si>
  <si>
    <t>Hancock Bros</t>
  </si>
  <si>
    <t>Order #4 of 14 -- Boissvaine DEMO</t>
  </si>
  <si>
    <t>Order #9 of 14 -- Brandon DEMO</t>
  </si>
  <si>
    <t>Order #11 of 14 -- Dauphin DEMO</t>
  </si>
  <si>
    <t>Enid</t>
  </si>
  <si>
    <t>Arnett</t>
  </si>
  <si>
    <t>John Noggler</t>
  </si>
  <si>
    <t>Don Curry</t>
  </si>
  <si>
    <t>JMS store</t>
  </si>
  <si>
    <t>Perryton Aviation</t>
  </si>
  <si>
    <t>Tribble Farms</t>
  </si>
  <si>
    <t>Starns Farms</t>
  </si>
  <si>
    <t xml:space="preserve">John Lofgreen </t>
  </si>
  <si>
    <t>Rick Settlemyer</t>
  </si>
  <si>
    <t xml:space="preserve">Storrer yard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</si>
</sst>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mm/dd/yy"/>
    <numFmt numFmtId="165" formatCode="_(* #,##0_);_(* \(#,##0\);_(* &quot;-&quot;??_);_(@_)"/>
    <numFmt numFmtId="166" formatCode="[$-409]mmm\-yy;@"/>
    <numFmt numFmtId="167" formatCode="mm/dd/yy;@"/>
    <numFmt numFmtId="168" formatCode="m/d/yy;@"/>
    <numFmt numFmtId="169" formatCode="&quot;Moodys.Alberta&quot;"/>
    <numFmt numFmtId="170" formatCode="m/d/yyyy;@"/>
  </numFmts>
  <fonts count="18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14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16"/>
      <name val="Arial"/>
      <family val="2"/>
    </font>
    <font>
      <sz val="10"/>
      <color indexed="9"/>
      <name val="Arial"/>
      <family val="2"/>
    </font>
    <font>
      <b/>
      <sz val="10"/>
      <color indexed="8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rgb="FF000000"/>
      <name val="Arial"/>
      <family val="2"/>
    </font>
    <font>
      <u/>
      <sz val="10"/>
      <color indexed="12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4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7" fillId="0" borderId="0" applyNumberFormat="0" applyFill="0" applyBorder="0" applyAlignment="0" applyProtection="0">
      <alignment vertical="top"/>
      <protection locked="0"/>
    </xf>
  </cellStyleXfs>
  <cellXfs count="212">
    <xf numFmtId="0" fontId="0" fillId="0" borderId="0" xfId="0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7" fontId="2" fillId="0" borderId="0" xfId="0" applyNumberFormat="1" applyFont="1" applyFill="1" applyAlignment="1">
      <alignment horizontal="center"/>
    </xf>
    <xf numFmtId="0" fontId="0" fillId="4" borderId="0" xfId="0" applyFill="1" applyAlignment="1">
      <alignment horizontal="center" wrapText="1"/>
    </xf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 wrapText="1"/>
    </xf>
    <xf numFmtId="14" fontId="0" fillId="0" borderId="0" xfId="0" applyNumberFormat="1"/>
    <xf numFmtId="14" fontId="0" fillId="4" borderId="0" xfId="0" applyNumberFormat="1" applyFill="1"/>
    <xf numFmtId="0" fontId="0" fillId="2" borderId="0" xfId="0" applyFill="1" applyAlignment="1">
      <alignment horizontal="center" wrapText="1"/>
    </xf>
    <xf numFmtId="0" fontId="0" fillId="2" borderId="0" xfId="0" applyFill="1" applyAlignment="1">
      <alignment horizontal="center"/>
    </xf>
    <xf numFmtId="0" fontId="0" fillId="3" borderId="0" xfId="0" applyFill="1"/>
    <xf numFmtId="0" fontId="3" fillId="3" borderId="0" xfId="0" applyFont="1" applyFill="1"/>
    <xf numFmtId="0" fontId="0" fillId="0" borderId="1" xfId="0" applyFill="1" applyBorder="1" applyAlignment="1">
      <alignment horizontal="center" vertical="top" wrapText="1"/>
    </xf>
    <xf numFmtId="165" fontId="0" fillId="0" borderId="0" xfId="1" applyNumberFormat="1" applyFont="1" applyFill="1" applyAlignment="1">
      <alignment horizontal="center"/>
    </xf>
    <xf numFmtId="165" fontId="0" fillId="0" borderId="0" xfId="1" applyNumberFormat="1" applyFont="1" applyFill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 vertical="top" wrapText="1"/>
      <protection locked="0"/>
    </xf>
    <xf numFmtId="166" fontId="0" fillId="0" borderId="2" xfId="0" applyNumberFormat="1" applyFill="1" applyBorder="1" applyAlignment="1" applyProtection="1">
      <alignment horizontal="center" vertical="top" wrapText="1"/>
      <protection locked="0"/>
    </xf>
    <xf numFmtId="167" fontId="0" fillId="0" borderId="2" xfId="0" applyNumberFormat="1" applyFill="1" applyBorder="1" applyAlignment="1" applyProtection="1">
      <alignment horizontal="center" vertical="top" wrapText="1"/>
      <protection locked="0"/>
    </xf>
    <xf numFmtId="164" fontId="3" fillId="2" borderId="3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 wrapText="1"/>
    </xf>
    <xf numFmtId="167" fontId="0" fillId="2" borderId="0" xfId="0" applyNumberFormat="1" applyFill="1" applyAlignment="1">
      <alignment horizontal="center"/>
    </xf>
    <xf numFmtId="167" fontId="0" fillId="0" borderId="0" xfId="0" applyNumberFormat="1" applyFill="1" applyAlignment="1">
      <alignment horizontal="center"/>
    </xf>
    <xf numFmtId="167" fontId="5" fillId="0" borderId="0" xfId="0" applyNumberFormat="1" applyFont="1" applyFill="1" applyAlignment="1">
      <alignment horizontal="center"/>
    </xf>
    <xf numFmtId="167" fontId="4" fillId="0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167" fontId="0" fillId="0" borderId="0" xfId="0" applyNumberFormat="1" applyFill="1" applyAlignment="1" applyProtection="1">
      <alignment horizontal="center" vertical="top" wrapText="1"/>
      <protection locked="0"/>
    </xf>
    <xf numFmtId="0" fontId="2" fillId="0" borderId="2" xfId="0" applyFont="1" applyFill="1" applyBorder="1" applyAlignment="1">
      <alignment horizontal="center"/>
    </xf>
    <xf numFmtId="0" fontId="0" fillId="0" borderId="0" xfId="0" applyFill="1" applyAlignment="1" applyProtection="1">
      <alignment horizontal="center" vertical="top" wrapText="1"/>
      <protection locked="0"/>
    </xf>
    <xf numFmtId="166" fontId="0" fillId="0" borderId="0" xfId="0" applyNumberFormat="1" applyFill="1" applyAlignment="1" applyProtection="1">
      <alignment horizontal="center" vertical="top" wrapText="1"/>
      <protection locked="0"/>
    </xf>
    <xf numFmtId="164" fontId="0" fillId="0" borderId="2" xfId="0" applyNumberFormat="1" applyFill="1" applyBorder="1" applyAlignment="1">
      <alignment horizontal="center"/>
    </xf>
    <xf numFmtId="1" fontId="0" fillId="0" borderId="2" xfId="0" applyNumberFormat="1" applyFill="1" applyBorder="1" applyAlignment="1" applyProtection="1">
      <alignment horizontal="center" vertical="top" wrapText="1"/>
      <protection locked="0"/>
    </xf>
    <xf numFmtId="0" fontId="2" fillId="0" borderId="0" xfId="0" applyFont="1" applyAlignment="1">
      <alignment horizontal="center"/>
    </xf>
    <xf numFmtId="0" fontId="0" fillId="0" borderId="4" xfId="0" applyFill="1" applyBorder="1" applyAlignment="1">
      <alignment vertical="top" wrapText="1"/>
    </xf>
    <xf numFmtId="0" fontId="0" fillId="0" borderId="5" xfId="0" applyFill="1" applyBorder="1" applyAlignment="1">
      <alignment vertical="top" wrapText="1"/>
    </xf>
    <xf numFmtId="0" fontId="3" fillId="2" borderId="0" xfId="0" applyFont="1" applyFill="1" applyAlignment="1">
      <alignment horizontal="center" wrapText="1"/>
    </xf>
    <xf numFmtId="168" fontId="0" fillId="0" borderId="0" xfId="0" applyNumberFormat="1" applyFill="1" applyAlignment="1">
      <alignment horizontal="center"/>
    </xf>
    <xf numFmtId="14" fontId="0" fillId="0" borderId="0" xfId="0" applyNumberFormat="1" applyFill="1" applyAlignment="1">
      <alignment horizontal="center"/>
    </xf>
    <xf numFmtId="168" fontId="2" fillId="0" borderId="0" xfId="0" applyNumberFormat="1" applyFont="1" applyFill="1" applyAlignment="1">
      <alignment horizontal="center"/>
    </xf>
    <xf numFmtId="0" fontId="1" fillId="5" borderId="0" xfId="0" applyFont="1" applyFill="1" applyAlignment="1">
      <alignment horizontal="center"/>
    </xf>
    <xf numFmtId="14" fontId="1" fillId="5" borderId="0" xfId="0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6" fillId="5" borderId="0" xfId="0" applyFont="1" applyFill="1" applyBorder="1" applyAlignment="1">
      <alignment horizontal="center"/>
    </xf>
    <xf numFmtId="14" fontId="6" fillId="5" borderId="0" xfId="0" applyNumberFormat="1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14" fontId="6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14" fontId="2" fillId="0" borderId="0" xfId="0" applyNumberFormat="1" applyFont="1" applyFill="1" applyAlignment="1">
      <alignment horizontal="center"/>
    </xf>
    <xf numFmtId="17" fontId="2" fillId="0" borderId="0" xfId="0" applyNumberFormat="1" applyFont="1" applyFill="1" applyAlignment="1">
      <alignment horizontal="center"/>
    </xf>
    <xf numFmtId="16" fontId="2" fillId="0" borderId="0" xfId="0" applyNumberFormat="1" applyFont="1" applyFill="1" applyAlignment="1">
      <alignment horizontal="center"/>
    </xf>
    <xf numFmtId="168" fontId="2" fillId="0" borderId="0" xfId="0" applyNumberFormat="1" applyFont="1" applyAlignment="1">
      <alignment horizontal="center"/>
    </xf>
    <xf numFmtId="0" fontId="2" fillId="0" borderId="0" xfId="0" applyFont="1"/>
    <xf numFmtId="16" fontId="0" fillId="0" borderId="0" xfId="0" applyNumberFormat="1" applyFill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4" borderId="0" xfId="0" applyFill="1"/>
    <xf numFmtId="0" fontId="0" fillId="4" borderId="2" xfId="0" applyFill="1" applyBorder="1" applyAlignment="1" applyProtection="1">
      <alignment horizontal="center" vertical="top" wrapText="1"/>
      <protection locked="0"/>
    </xf>
    <xf numFmtId="167" fontId="0" fillId="4" borderId="2" xfId="0" applyNumberFormat="1" applyFill="1" applyBorder="1" applyAlignment="1" applyProtection="1">
      <alignment horizontal="center" vertical="top" wrapText="1"/>
      <protection locked="0"/>
    </xf>
    <xf numFmtId="166" fontId="0" fillId="4" borderId="2" xfId="0" applyNumberFormat="1" applyFill="1" applyBorder="1" applyAlignment="1" applyProtection="1">
      <alignment horizontal="center" vertical="top" wrapText="1"/>
      <protection locked="0"/>
    </xf>
    <xf numFmtId="1" fontId="0" fillId="4" borderId="2" xfId="0" applyNumberFormat="1" applyFill="1" applyBorder="1" applyAlignment="1" applyProtection="1">
      <alignment horizontal="center" vertical="top" wrapText="1"/>
      <protection locked="0"/>
    </xf>
    <xf numFmtId="0" fontId="0" fillId="4" borderId="0" xfId="0" applyFill="1" applyAlignment="1">
      <alignment horizontal="center"/>
    </xf>
    <xf numFmtId="14" fontId="0" fillId="0" borderId="0" xfId="0" applyNumberFormat="1" applyFill="1" applyBorder="1" applyAlignment="1">
      <alignment horizontal="center"/>
    </xf>
    <xf numFmtId="16" fontId="1" fillId="0" borderId="0" xfId="0" applyNumberFormat="1" applyFont="1" applyFill="1" applyAlignment="1">
      <alignment horizontal="center"/>
    </xf>
    <xf numFmtId="1" fontId="7" fillId="0" borderId="0" xfId="0" applyNumberFormat="1" applyFont="1" applyFill="1" applyAlignment="1">
      <alignment horizontal="center"/>
    </xf>
    <xf numFmtId="0" fontId="8" fillId="4" borderId="3" xfId="0" applyFont="1" applyFill="1" applyBorder="1" applyAlignment="1">
      <alignment horizontal="center" wrapText="1"/>
    </xf>
    <xf numFmtId="1" fontId="9" fillId="0" borderId="0" xfId="0" applyNumberFormat="1" applyFont="1" applyFill="1" applyAlignment="1">
      <alignment horizontal="center"/>
    </xf>
    <xf numFmtId="1" fontId="6" fillId="0" borderId="0" xfId="0" applyNumberFormat="1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0" fillId="5" borderId="2" xfId="0" applyFill="1" applyBorder="1" applyAlignment="1" applyProtection="1">
      <alignment horizontal="center" vertical="top" wrapText="1"/>
      <protection locked="0"/>
    </xf>
    <xf numFmtId="0" fontId="0" fillId="0" borderId="6" xfId="0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2" fillId="6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1" fontId="9" fillId="5" borderId="0" xfId="0" applyNumberFormat="1" applyFont="1" applyFill="1" applyAlignment="1">
      <alignment horizontal="center"/>
    </xf>
    <xf numFmtId="16" fontId="2" fillId="5" borderId="0" xfId="0" applyNumberFormat="1" applyFont="1" applyFill="1" applyAlignment="1">
      <alignment horizontal="center"/>
    </xf>
    <xf numFmtId="1" fontId="10" fillId="5" borderId="0" xfId="0" applyNumberFormat="1" applyFont="1" applyFill="1" applyAlignment="1">
      <alignment horizontal="center"/>
    </xf>
    <xf numFmtId="0" fontId="0" fillId="5" borderId="0" xfId="0" applyFill="1" applyAlignment="1">
      <alignment horizontal="center"/>
    </xf>
    <xf numFmtId="168" fontId="0" fillId="5" borderId="0" xfId="0" applyNumberFormat="1" applyFill="1" applyAlignment="1">
      <alignment horizontal="center"/>
    </xf>
    <xf numFmtId="167" fontId="0" fillId="5" borderId="0" xfId="0" applyNumberFormat="1" applyFill="1" applyAlignment="1">
      <alignment horizontal="center"/>
    </xf>
    <xf numFmtId="0" fontId="2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/>
    </xf>
    <xf numFmtId="167" fontId="1" fillId="0" borderId="0" xfId="0" applyNumberFormat="1" applyFont="1" applyFill="1" applyAlignment="1">
      <alignment horizontal="center"/>
    </xf>
    <xf numFmtId="14" fontId="1" fillId="0" borderId="0" xfId="0" applyNumberFormat="1" applyFont="1" applyFill="1" applyAlignment="1">
      <alignment horizontal="center"/>
    </xf>
    <xf numFmtId="168" fontId="1" fillId="0" borderId="0" xfId="0" applyNumberFormat="1" applyFont="1" applyFill="1" applyAlignment="1">
      <alignment horizontal="center"/>
    </xf>
    <xf numFmtId="17" fontId="1" fillId="0" borderId="0" xfId="0" applyNumberFormat="1" applyFont="1" applyFill="1" applyAlignment="1">
      <alignment horizontal="center"/>
    </xf>
    <xf numFmtId="16" fontId="6" fillId="0" borderId="0" xfId="0" applyNumberFormat="1" applyFont="1" applyFill="1" applyAlignment="1">
      <alignment horizontal="center"/>
    </xf>
    <xf numFmtId="164" fontId="0" fillId="0" borderId="2" xfId="0" applyNumberFormat="1" applyFill="1" applyBorder="1" applyAlignment="1" applyProtection="1">
      <alignment horizontal="center"/>
      <protection locked="0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14" fontId="0" fillId="4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1" fontId="6" fillId="4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14" fontId="0" fillId="0" borderId="6" xfId="0" applyNumberFormat="1" applyFill="1" applyBorder="1" applyAlignment="1">
      <alignment horizontal="center"/>
    </xf>
    <xf numFmtId="0" fontId="12" fillId="0" borderId="0" xfId="0" applyFont="1" applyAlignment="1">
      <alignment horizontal="center"/>
    </xf>
    <xf numFmtId="167" fontId="12" fillId="0" borderId="0" xfId="0" applyNumberFormat="1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11" fillId="4" borderId="0" xfId="0" applyFont="1" applyFill="1" applyAlignment="1">
      <alignment horizontal="center" wrapText="1"/>
    </xf>
    <xf numFmtId="0" fontId="2" fillId="0" borderId="0" xfId="0" applyFont="1" applyBorder="1" applyAlignment="1">
      <alignment horizontal="center"/>
    </xf>
    <xf numFmtId="164" fontId="2" fillId="0" borderId="0" xfId="0" applyNumberFormat="1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0" fillId="0" borderId="2" xfId="0" applyBorder="1" applyAlignment="1">
      <alignment horizontal="center"/>
    </xf>
    <xf numFmtId="167" fontId="0" fillId="4" borderId="0" xfId="0" applyNumberFormat="1" applyFill="1" applyAlignment="1" applyProtection="1">
      <alignment horizontal="center" vertical="top" wrapText="1"/>
      <protection locked="0"/>
    </xf>
    <xf numFmtId="164" fontId="2" fillId="0" borderId="2" xfId="0" applyNumberFormat="1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2" fillId="8" borderId="0" xfId="0" applyFont="1" applyFill="1" applyAlignment="1">
      <alignment horizontal="center"/>
    </xf>
    <xf numFmtId="168" fontId="2" fillId="8" borderId="0" xfId="0" applyNumberFormat="1" applyFont="1" applyFill="1" applyAlignment="1">
      <alignment horizontal="center"/>
    </xf>
    <xf numFmtId="0" fontId="2" fillId="9" borderId="0" xfId="0" applyFont="1" applyFill="1" applyAlignment="1">
      <alignment horizontal="center"/>
    </xf>
    <xf numFmtId="168" fontId="2" fillId="9" borderId="0" xfId="0" applyNumberFormat="1" applyFont="1" applyFill="1" applyAlignment="1">
      <alignment horizontal="center"/>
    </xf>
    <xf numFmtId="14" fontId="0" fillId="3" borderId="0" xfId="0" applyNumberForma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1" fontId="0" fillId="0" borderId="0" xfId="0" applyNumberFormat="1" applyFill="1" applyAlignment="1">
      <alignment horizontal="center"/>
    </xf>
    <xf numFmtId="168" fontId="2" fillId="4" borderId="0" xfId="0" applyNumberFormat="1" applyFont="1" applyFill="1" applyAlignment="1">
      <alignment horizontal="center"/>
    </xf>
    <xf numFmtId="0" fontId="0" fillId="0" borderId="2" xfId="0" applyBorder="1"/>
    <xf numFmtId="0" fontId="2" fillId="0" borderId="6" xfId="0" applyFont="1" applyFill="1" applyBorder="1" applyAlignment="1">
      <alignment horizontal="center"/>
    </xf>
    <xf numFmtId="168" fontId="2" fillId="0" borderId="6" xfId="0" applyNumberFormat="1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170" fontId="2" fillId="0" borderId="0" xfId="0" applyNumberFormat="1" applyFont="1" applyFill="1" applyAlignment="1">
      <alignment horizontal="center"/>
    </xf>
    <xf numFmtId="170" fontId="0" fillId="0" borderId="0" xfId="0" applyNumberFormat="1" applyFill="1" applyAlignment="1">
      <alignment horizont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/>
    <xf numFmtId="0" fontId="1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ill="1"/>
    <xf numFmtId="1" fontId="0" fillId="0" borderId="0" xfId="0" applyNumberFormat="1" applyFill="1" applyAlignment="1" applyProtection="1">
      <alignment horizontal="center" vertical="top" wrapText="1"/>
      <protection locked="0"/>
    </xf>
    <xf numFmtId="167" fontId="0" fillId="0" borderId="0" xfId="0" applyNumberFormat="1" applyAlignment="1">
      <alignment horizontal="center"/>
    </xf>
    <xf numFmtId="167" fontId="0" fillId="0" borderId="0" xfId="0" applyNumberFormat="1" applyFont="1" applyFill="1" applyAlignment="1">
      <alignment horizontal="center"/>
    </xf>
    <xf numFmtId="165" fontId="1" fillId="0" borderId="0" xfId="1" applyNumberFormat="1" applyFont="1" applyFill="1" applyAlignment="1" applyProtection="1">
      <alignment horizontal="center"/>
      <protection locked="0"/>
    </xf>
    <xf numFmtId="16" fontId="2" fillId="5" borderId="6" xfId="0" applyNumberFormat="1" applyFont="1" applyFill="1" applyBorder="1" applyAlignment="1">
      <alignment horizontal="center"/>
    </xf>
    <xf numFmtId="0" fontId="0" fillId="0" borderId="7" xfId="0" applyFill="1" applyBorder="1" applyAlignment="1" applyProtection="1">
      <alignment horizontal="center" vertical="top" wrapText="1"/>
      <protection locked="0"/>
    </xf>
    <xf numFmtId="14" fontId="2" fillId="0" borderId="6" xfId="0" applyNumberFormat="1" applyFont="1" applyFill="1" applyBorder="1" applyAlignment="1">
      <alignment horizontal="center"/>
    </xf>
    <xf numFmtId="16" fontId="2" fillId="0" borderId="6" xfId="0" applyNumberFormat="1" applyFont="1" applyFill="1" applyBorder="1" applyAlignment="1">
      <alignment horizontal="center"/>
    </xf>
    <xf numFmtId="1" fontId="9" fillId="0" borderId="6" xfId="0" applyNumberFormat="1" applyFont="1" applyFill="1" applyBorder="1" applyAlignment="1">
      <alignment horizontal="center"/>
    </xf>
    <xf numFmtId="168" fontId="0" fillId="0" borderId="0" xfId="0" applyNumberFormat="1" applyFont="1" applyFill="1" applyAlignment="1">
      <alignment horizontal="center"/>
    </xf>
    <xf numFmtId="14" fontId="2" fillId="5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" fontId="10" fillId="0" borderId="0" xfId="0" applyNumberFormat="1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167" fontId="0" fillId="4" borderId="0" xfId="0" applyNumberFormat="1" applyFill="1" applyAlignment="1">
      <alignment horizontal="center"/>
    </xf>
    <xf numFmtId="168" fontId="1" fillId="0" borderId="0" xfId="0" applyNumberFormat="1" applyFont="1" applyAlignment="1">
      <alignment horizontal="center"/>
    </xf>
    <xf numFmtId="0" fontId="1" fillId="10" borderId="0" xfId="0" applyFont="1" applyFill="1" applyAlignment="1">
      <alignment horizontal="center"/>
    </xf>
    <xf numFmtId="167" fontId="1" fillId="10" borderId="0" xfId="0" applyNumberFormat="1" applyFont="1" applyFill="1" applyAlignment="1">
      <alignment horizontal="center"/>
    </xf>
    <xf numFmtId="168" fontId="1" fillId="4" borderId="0" xfId="0" applyNumberFormat="1" applyFont="1" applyFill="1" applyAlignment="1">
      <alignment horizontal="center"/>
    </xf>
    <xf numFmtId="0" fontId="1" fillId="0" borderId="2" xfId="0" applyFont="1" applyFill="1" applyBorder="1" applyAlignment="1">
      <alignment horizontal="center"/>
    </xf>
    <xf numFmtId="14" fontId="1" fillId="10" borderId="0" xfId="0" applyNumberFormat="1" applyFont="1" applyFill="1" applyAlignment="1">
      <alignment horizontal="center"/>
    </xf>
    <xf numFmtId="170" fontId="1" fillId="0" borderId="0" xfId="0" applyNumberFormat="1" applyFont="1" applyFill="1" applyAlignment="1">
      <alignment horizontal="center"/>
    </xf>
    <xf numFmtId="0" fontId="0" fillId="10" borderId="0" xfId="0" applyFont="1" applyFill="1" applyAlignment="1">
      <alignment horizontal="center"/>
    </xf>
    <xf numFmtId="0" fontId="0" fillId="0" borderId="0" xfId="0" applyFont="1"/>
    <xf numFmtId="0" fontId="2" fillId="4" borderId="2" xfId="0" applyFont="1" applyFill="1" applyBorder="1" applyAlignment="1" applyProtection="1">
      <alignment horizontal="center" vertical="top" wrapText="1"/>
      <protection locked="0"/>
    </xf>
    <xf numFmtId="0" fontId="1" fillId="4" borderId="0" xfId="0" applyFont="1" applyFill="1" applyAlignment="1">
      <alignment horizontal="center"/>
    </xf>
    <xf numFmtId="14" fontId="1" fillId="0" borderId="0" xfId="0" applyNumberFormat="1" applyFont="1" applyAlignment="1">
      <alignment horizontal="center"/>
    </xf>
    <xf numFmtId="0" fontId="2" fillId="0" borderId="8" xfId="0" applyFont="1" applyFill="1" applyBorder="1" applyAlignment="1">
      <alignment horizontal="center"/>
    </xf>
    <xf numFmtId="168" fontId="0" fillId="0" borderId="0" xfId="0" applyNumberFormat="1" applyAlignment="1">
      <alignment horizontal="center"/>
    </xf>
    <xf numFmtId="168" fontId="2" fillId="5" borderId="0" xfId="0" applyNumberFormat="1" applyFont="1" applyFill="1" applyAlignment="1">
      <alignment horizontal="center"/>
    </xf>
    <xf numFmtId="168" fontId="0" fillId="4" borderId="0" xfId="0" applyNumberFormat="1" applyFill="1" applyAlignment="1">
      <alignment horizontal="center"/>
    </xf>
    <xf numFmtId="168" fontId="0" fillId="0" borderId="0" xfId="0" applyNumberFormat="1" applyAlignment="1">
      <alignment horizontal="center" vertical="center"/>
    </xf>
    <xf numFmtId="168" fontId="6" fillId="0" borderId="0" xfId="0" applyNumberFormat="1" applyFont="1" applyFill="1" applyAlignment="1">
      <alignment horizontal="center"/>
    </xf>
    <xf numFmtId="167" fontId="1" fillId="5" borderId="0" xfId="0" applyNumberFormat="1" applyFont="1" applyFill="1" applyAlignment="1">
      <alignment horizontal="center"/>
    </xf>
    <xf numFmtId="1" fontId="2" fillId="5" borderId="0" xfId="0" applyNumberFormat="1" applyFont="1" applyFill="1" applyAlignment="1">
      <alignment horizontal="center"/>
    </xf>
    <xf numFmtId="0" fontId="4" fillId="0" borderId="2" xfId="0" applyFont="1" applyFill="1" applyBorder="1" applyAlignment="1" applyProtection="1">
      <alignment horizontal="center" vertical="top" wrapText="1"/>
      <protection locked="0"/>
    </xf>
    <xf numFmtId="170" fontId="2" fillId="0" borderId="8" xfId="0" applyNumberFormat="1" applyFont="1" applyFill="1" applyBorder="1" applyAlignment="1">
      <alignment horizontal="center"/>
    </xf>
    <xf numFmtId="0" fontId="15" fillId="0" borderId="2" xfId="0" applyFont="1" applyFill="1" applyBorder="1" applyAlignment="1" applyProtection="1">
      <alignment horizontal="center" vertical="top" wrapText="1"/>
      <protection locked="0"/>
    </xf>
    <xf numFmtId="14" fontId="4" fillId="0" borderId="0" xfId="0" applyNumberFormat="1" applyFont="1" applyFill="1" applyAlignment="1">
      <alignment horizontal="center"/>
    </xf>
    <xf numFmtId="1" fontId="2" fillId="0" borderId="0" xfId="0" applyNumberFormat="1" applyFont="1" applyFill="1" applyAlignment="1">
      <alignment horizontal="center"/>
    </xf>
    <xf numFmtId="0" fontId="0" fillId="5" borderId="0" xfId="0" applyFill="1"/>
    <xf numFmtId="167" fontId="1" fillId="0" borderId="8" xfId="0" applyNumberFormat="1" applyFont="1" applyFill="1" applyBorder="1" applyAlignment="1">
      <alignment horizontal="center"/>
    </xf>
    <xf numFmtId="14" fontId="2" fillId="0" borderId="8" xfId="0" applyNumberFormat="1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168" fontId="1" fillId="0" borderId="8" xfId="0" applyNumberFormat="1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6" fillId="0" borderId="0" xfId="0" applyFont="1" applyAlignment="1">
      <alignment horizontal="center"/>
    </xf>
    <xf numFmtId="168" fontId="6" fillId="0" borderId="0" xfId="0" applyNumberFormat="1" applyFont="1" applyAlignment="1">
      <alignment horizontal="center"/>
    </xf>
    <xf numFmtId="0" fontId="6" fillId="0" borderId="0" xfId="0" applyFont="1" applyFill="1" applyAlignment="1">
      <alignment horizontal="center"/>
    </xf>
    <xf numFmtId="168" fontId="6" fillId="0" borderId="0" xfId="0" applyNumberFormat="1" applyFont="1" applyFill="1" applyAlignment="1">
      <alignment horizontal="center"/>
    </xf>
    <xf numFmtId="0" fontId="4" fillId="5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168" fontId="4" fillId="5" borderId="0" xfId="0" applyNumberFormat="1" applyFont="1" applyFill="1" applyAlignment="1">
      <alignment horizontal="center"/>
    </xf>
    <xf numFmtId="168" fontId="2" fillId="0" borderId="0" xfId="0" applyNumberFormat="1" applyFont="1" applyAlignment="1">
      <alignment horizontal="center" vertical="center"/>
    </xf>
    <xf numFmtId="0" fontId="0" fillId="0" borderId="8" xfId="0" applyBorder="1" applyAlignment="1">
      <alignment horizontal="center"/>
    </xf>
    <xf numFmtId="167" fontId="0" fillId="0" borderId="8" xfId="0" applyNumberForma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168" fontId="0" fillId="0" borderId="8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11" borderId="0" xfId="0" applyFill="1" applyAlignment="1">
      <alignment horizontal="center" wrapText="1"/>
    </xf>
    <xf numFmtId="0" fontId="0" fillId="12" borderId="0" xfId="0" applyFill="1" applyAlignment="1">
      <alignment horizontal="center"/>
    </xf>
    <xf numFmtId="169" fontId="3" fillId="0" borderId="0" xfId="0" applyNumberFormat="1" applyFont="1" applyAlignment="1">
      <alignment horizontal="center"/>
    </xf>
    <xf numFmtId="14" fontId="17" fillId="0" borderId="0" xfId="9" applyNumberFormat="1" applyFill="1" applyAlignment="1" applyProtection="1">
      <alignment horizontal="center"/>
    </xf>
    <xf numFmtId="0" fontId="3" fillId="8" borderId="2" xfId="0" applyFont="1" applyFill="1" applyBorder="1" applyAlignment="1" applyProtection="1">
      <alignment horizontal="center" vertical="top" wrapText="1"/>
      <protection locked="0"/>
    </xf>
    <xf numFmtId="0" fontId="1" fillId="8" borderId="0" xfId="0" applyFont="1" applyFill="1" applyAlignment="1">
      <alignment horizontal="center"/>
    </xf>
    <xf numFmtId="168" fontId="1" fillId="8" borderId="0" xfId="0" applyNumberFormat="1" applyFont="1" applyFill="1" applyAlignment="1">
      <alignment horizontal="center"/>
    </xf>
    <xf numFmtId="167" fontId="1" fillId="8" borderId="0" xfId="0" applyNumberFormat="1" applyFont="1" applyFill="1" applyAlignment="1">
      <alignment horizontal="center"/>
    </xf>
    <xf numFmtId="167" fontId="1" fillId="13" borderId="0" xfId="0" applyNumberFormat="1" applyFont="1" applyFill="1" applyAlignment="1">
      <alignment horizontal="center"/>
    </xf>
    <xf numFmtId="0" fontId="0" fillId="9" borderId="2" xfId="0" applyFill="1" applyBorder="1" applyAlignment="1" applyProtection="1">
      <alignment horizontal="center" vertical="top" wrapText="1"/>
      <protection locked="0"/>
    </xf>
    <xf numFmtId="0" fontId="1" fillId="9" borderId="0" xfId="0" applyFont="1" applyFill="1" applyAlignment="1">
      <alignment horizontal="center"/>
    </xf>
    <xf numFmtId="168" fontId="1" fillId="9" borderId="0" xfId="0" applyNumberFormat="1" applyFont="1" applyFill="1" applyAlignment="1">
      <alignment horizontal="center"/>
    </xf>
    <xf numFmtId="167" fontId="1" fillId="9" borderId="0" xfId="0" applyNumberFormat="1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16" fontId="0" fillId="0" borderId="0" xfId="0" applyNumberForma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1" fontId="0" fillId="0" borderId="0" xfId="0" applyNumberFormat="1" applyAlignment="1">
      <alignment horizontal="center"/>
    </xf>
  </cellXfs>
  <cellStyles count="10">
    <cellStyle name="Comma" xfId="1" builtinId="3"/>
    <cellStyle name="Comma 2" xfId="2" xr:uid="{00000000-0005-0000-0000-000001000000}"/>
    <cellStyle name="Comma 2 2" xfId="3" xr:uid="{00000000-0005-0000-0000-000002000000}"/>
    <cellStyle name="Comma 3" xfId="4" xr:uid="{00000000-0005-0000-0000-000003000000}"/>
    <cellStyle name="Comma 3 2" xfId="5" xr:uid="{00000000-0005-0000-0000-000004000000}"/>
    <cellStyle name="Comma 4" xfId="6" xr:uid="{00000000-0005-0000-0000-000005000000}"/>
    <cellStyle name="Hyperlink" xfId="9" builtinId="8"/>
    <cellStyle name="Normal" xfId="0" builtinId="0"/>
    <cellStyle name="Percent 2" xfId="7" xr:uid="{00000000-0005-0000-0000-000008000000}"/>
    <cellStyle name="Percent 2 2" xfId="8" xr:uid="{00000000-0005-0000-0000-000009000000}"/>
  </cellStyles>
  <dxfs count="29">
    <dxf>
      <font>
        <b/>
        <i val="0"/>
        <condense val="0"/>
        <extend val="0"/>
        <color indexed="16"/>
      </font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6"/>
      </font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6"/>
      </font>
      <fill>
        <patternFill>
          <bgColor indexed="13"/>
        </patternFill>
      </fill>
    </dxf>
    <dxf>
      <font>
        <b/>
        <i val="0"/>
        <condense val="0"/>
        <extend val="0"/>
        <color indexed="16"/>
      </font>
      <fill>
        <patternFill>
          <bgColor indexed="41"/>
        </patternFill>
      </fill>
    </dxf>
    <dxf>
      <font>
        <b/>
        <i val="0"/>
        <condense val="0"/>
        <extend val="0"/>
        <color indexed="16"/>
      </font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6"/>
      </font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6"/>
      </font>
      <fill>
        <patternFill>
          <bgColor indexed="13"/>
        </patternFill>
      </fill>
    </dxf>
    <dxf>
      <font>
        <b/>
        <i val="0"/>
        <condense val="0"/>
        <extend val="0"/>
        <color indexed="16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6"/>
      </font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6"/>
      </font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6"/>
      </font>
      <fill>
        <patternFill>
          <bgColor indexed="13"/>
        </patternFill>
      </fill>
    </dxf>
    <dxf>
      <font>
        <b/>
        <i val="0"/>
        <condense val="0"/>
        <extend val="0"/>
        <color indexed="16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6"/>
      </font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6"/>
      </font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6"/>
      </font>
      <fill>
        <patternFill>
          <bgColor indexed="13"/>
        </patternFill>
      </fill>
    </dxf>
    <dxf>
      <font>
        <b/>
        <i val="0"/>
        <condense val="0"/>
        <extend val="0"/>
        <color indexed="16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443865</xdr:colOff>
      <xdr:row>1</xdr:row>
      <xdr:rowOff>38100</xdr:rowOff>
    </xdr:from>
    <xdr:to>
      <xdr:col>24</xdr:col>
      <xdr:colOff>215265</xdr:colOff>
      <xdr:row>4</xdr:row>
      <xdr:rowOff>38100</xdr:rowOff>
    </xdr:to>
    <xdr:sp macro="" textlink="">
      <xdr:nvSpPr>
        <xdr:cNvPr id="1628" name="Text Box 604">
          <a:extLst>
            <a:ext uri="{FF2B5EF4-FFF2-40B4-BE49-F238E27FC236}">
              <a16:creationId xmlns:a16="http://schemas.microsoft.com/office/drawing/2014/main" id="{00000000-0008-0000-0200-00005C060000}"/>
            </a:ext>
          </a:extLst>
        </xdr:cNvPr>
        <xdr:cNvSpPr txBox="1">
          <a:spLocks noChangeArrowheads="1"/>
        </xdr:cNvSpPr>
      </xdr:nvSpPr>
      <xdr:spPr bwMode="auto">
        <a:xfrm>
          <a:off x="17211675" y="533400"/>
          <a:ext cx="171450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Enter Date when "Y" was entered in "Retailed" column</a:t>
          </a:r>
        </a:p>
      </xdr:txBody>
    </xdr:sp>
    <xdr:clientData/>
  </xdr:twoCellAnchor>
  <xdr:twoCellAnchor>
    <xdr:from>
      <xdr:col>21</xdr:col>
      <xdr:colOff>152400</xdr:colOff>
      <xdr:row>3</xdr:row>
      <xdr:rowOff>0</xdr:rowOff>
    </xdr:from>
    <xdr:to>
      <xdr:col>21</xdr:col>
      <xdr:colOff>466725</xdr:colOff>
      <xdr:row>5</xdr:row>
      <xdr:rowOff>95250</xdr:rowOff>
    </xdr:to>
    <xdr:sp macro="" textlink="">
      <xdr:nvSpPr>
        <xdr:cNvPr id="21865" name="Line 605">
          <a:extLst>
            <a:ext uri="{FF2B5EF4-FFF2-40B4-BE49-F238E27FC236}">
              <a16:creationId xmlns:a16="http://schemas.microsoft.com/office/drawing/2014/main" id="{00000000-0008-0000-0200-000069550000}"/>
            </a:ext>
          </a:extLst>
        </xdr:cNvPr>
        <xdr:cNvSpPr>
          <a:spLocks noChangeShapeType="1"/>
        </xdr:cNvSpPr>
      </xdr:nvSpPr>
      <xdr:spPr bwMode="auto">
        <a:xfrm flipH="1">
          <a:off x="19431000" y="857250"/>
          <a:ext cx="31432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121920</xdr:colOff>
      <xdr:row>1</xdr:row>
      <xdr:rowOff>114300</xdr:rowOff>
    </xdr:from>
    <xdr:to>
      <xdr:col>19</xdr:col>
      <xdr:colOff>348631</xdr:colOff>
      <xdr:row>3</xdr:row>
      <xdr:rowOff>133350</xdr:rowOff>
    </xdr:to>
    <xdr:sp macro="" textlink="">
      <xdr:nvSpPr>
        <xdr:cNvPr id="1640" name="Text Box 616">
          <a:extLst>
            <a:ext uri="{FF2B5EF4-FFF2-40B4-BE49-F238E27FC236}">
              <a16:creationId xmlns:a16="http://schemas.microsoft.com/office/drawing/2014/main" id="{00000000-0008-0000-0200-000068060000}"/>
            </a:ext>
          </a:extLst>
        </xdr:cNvPr>
        <xdr:cNvSpPr txBox="1">
          <a:spLocks noChangeArrowheads="1"/>
        </xdr:cNvSpPr>
      </xdr:nvSpPr>
      <xdr:spPr bwMode="auto">
        <a:xfrm>
          <a:off x="13573125" y="609600"/>
          <a:ext cx="2047875" cy="381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Enter Date when "Y" was entered in "Committed For" column</a:t>
          </a:r>
        </a:p>
      </xdr:txBody>
    </xdr:sp>
    <xdr:clientData/>
  </xdr:twoCellAnchor>
  <xdr:twoCellAnchor>
    <xdr:from>
      <xdr:col>18</xdr:col>
      <xdr:colOff>561975</xdr:colOff>
      <xdr:row>3</xdr:row>
      <xdr:rowOff>28575</xdr:rowOff>
    </xdr:from>
    <xdr:to>
      <xdr:col>19</xdr:col>
      <xdr:colOff>219075</xdr:colOff>
      <xdr:row>5</xdr:row>
      <xdr:rowOff>76200</xdr:rowOff>
    </xdr:to>
    <xdr:sp macro="" textlink="">
      <xdr:nvSpPr>
        <xdr:cNvPr id="21867" name="Line 617">
          <a:extLst>
            <a:ext uri="{FF2B5EF4-FFF2-40B4-BE49-F238E27FC236}">
              <a16:creationId xmlns:a16="http://schemas.microsoft.com/office/drawing/2014/main" id="{00000000-0008-0000-0200-00006B550000}"/>
            </a:ext>
          </a:extLst>
        </xdr:cNvPr>
        <xdr:cNvSpPr>
          <a:spLocks noChangeShapeType="1"/>
        </xdr:cNvSpPr>
      </xdr:nvSpPr>
      <xdr:spPr bwMode="auto">
        <a:xfrm>
          <a:off x="17564100" y="885825"/>
          <a:ext cx="43815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163830</xdr:colOff>
          <xdr:row>0</xdr:row>
          <xdr:rowOff>87630</xdr:rowOff>
        </xdr:from>
        <xdr:to>
          <xdr:col>8</xdr:col>
          <xdr:colOff>419100</xdr:colOff>
          <xdr:row>3</xdr:row>
          <xdr:rowOff>49530</xdr:rowOff>
        </xdr:to>
        <xdr:sp macro="" textlink="">
          <xdr:nvSpPr>
            <xdr:cNvPr id="1532" name="Button 508" hidden="1">
              <a:extLst>
                <a:ext uri="{63B3BB69-23CF-44E3-9099-C40C66FF867C}">
                  <a14:compatExt spid="_x0000_s1532"/>
                </a:ext>
                <a:ext uri="{FF2B5EF4-FFF2-40B4-BE49-F238E27FC236}">
                  <a16:creationId xmlns:a16="http://schemas.microsoft.com/office/drawing/2014/main" id="{00000000-0008-0000-0200-0000F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List by Rep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</xdr:row>
          <xdr:rowOff>0</xdr:rowOff>
        </xdr:from>
        <xdr:to>
          <xdr:col>4</xdr:col>
          <xdr:colOff>259080</xdr:colOff>
          <xdr:row>3</xdr:row>
          <xdr:rowOff>144780</xdr:rowOff>
        </xdr:to>
        <xdr:sp macro="" textlink="">
          <xdr:nvSpPr>
            <xdr:cNvPr id="10560" name="Button 1344" hidden="1">
              <a:extLst>
                <a:ext uri="{63B3BB69-23CF-44E3-9099-C40C66FF867C}">
                  <a14:compatExt spid="_x0000_s10560"/>
                </a:ext>
                <a:ext uri="{FF2B5EF4-FFF2-40B4-BE49-F238E27FC236}">
                  <a16:creationId xmlns:a16="http://schemas.microsoft.com/office/drawing/2014/main" id="{00000000-0008-0000-0200-00004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443865</xdr:colOff>
      <xdr:row>0</xdr:row>
      <xdr:rowOff>476250</xdr:rowOff>
    </xdr:from>
    <xdr:to>
      <xdr:col>25</xdr:col>
      <xdr:colOff>215265</xdr:colOff>
      <xdr:row>3</xdr:row>
      <xdr:rowOff>161925</xdr:rowOff>
    </xdr:to>
    <xdr:sp macro="" textlink="">
      <xdr:nvSpPr>
        <xdr:cNvPr id="1628" name="Text Box 604">
          <a:extLst>
            <a:ext uri="{FF2B5EF4-FFF2-40B4-BE49-F238E27FC236}">
              <a16:creationId xmlns:a16="http://schemas.microsoft.com/office/drawing/2014/main" id="{00000000-0008-0000-0300-00005C060000}"/>
            </a:ext>
          </a:extLst>
        </xdr:cNvPr>
        <xdr:cNvSpPr txBox="1">
          <a:spLocks noChangeArrowheads="1"/>
        </xdr:cNvSpPr>
      </xdr:nvSpPr>
      <xdr:spPr bwMode="auto">
        <a:xfrm>
          <a:off x="17211675" y="533400"/>
          <a:ext cx="171450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Enter Date when "Y" was entered in "Retailed" column</a:t>
          </a:r>
        </a:p>
      </xdr:txBody>
    </xdr:sp>
    <xdr:clientData/>
  </xdr:twoCellAnchor>
  <xdr:twoCellAnchor>
    <xdr:from>
      <xdr:col>22</xdr:col>
      <xdr:colOff>152400</xdr:colOff>
      <xdr:row>3</xdr:row>
      <xdr:rowOff>0</xdr:rowOff>
    </xdr:from>
    <xdr:to>
      <xdr:col>22</xdr:col>
      <xdr:colOff>466725</xdr:colOff>
      <xdr:row>5</xdr:row>
      <xdr:rowOff>95250</xdr:rowOff>
    </xdr:to>
    <xdr:sp macro="" textlink="">
      <xdr:nvSpPr>
        <xdr:cNvPr id="22640" name="Line 605">
          <a:extLst>
            <a:ext uri="{FF2B5EF4-FFF2-40B4-BE49-F238E27FC236}">
              <a16:creationId xmlns:a16="http://schemas.microsoft.com/office/drawing/2014/main" id="{00000000-0008-0000-0300-000070580000}"/>
            </a:ext>
          </a:extLst>
        </xdr:cNvPr>
        <xdr:cNvSpPr>
          <a:spLocks noChangeShapeType="1"/>
        </xdr:cNvSpPr>
      </xdr:nvSpPr>
      <xdr:spPr bwMode="auto">
        <a:xfrm flipH="1">
          <a:off x="20097750" y="857250"/>
          <a:ext cx="31432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114300</xdr:colOff>
      <xdr:row>1</xdr:row>
      <xdr:rowOff>114300</xdr:rowOff>
    </xdr:from>
    <xdr:to>
      <xdr:col>20</xdr:col>
      <xdr:colOff>349410</xdr:colOff>
      <xdr:row>3</xdr:row>
      <xdr:rowOff>133350</xdr:rowOff>
    </xdr:to>
    <xdr:sp macro="" textlink="">
      <xdr:nvSpPr>
        <xdr:cNvPr id="1640" name="Text Box 616">
          <a:extLst>
            <a:ext uri="{FF2B5EF4-FFF2-40B4-BE49-F238E27FC236}">
              <a16:creationId xmlns:a16="http://schemas.microsoft.com/office/drawing/2014/main" id="{00000000-0008-0000-0300-000068060000}"/>
            </a:ext>
          </a:extLst>
        </xdr:cNvPr>
        <xdr:cNvSpPr txBox="1">
          <a:spLocks noChangeArrowheads="1"/>
        </xdr:cNvSpPr>
      </xdr:nvSpPr>
      <xdr:spPr bwMode="auto">
        <a:xfrm>
          <a:off x="13573125" y="609600"/>
          <a:ext cx="2047875" cy="381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Enter Date when "Y" was entered in "Committed For" column</a:t>
          </a:r>
        </a:p>
      </xdr:txBody>
    </xdr:sp>
    <xdr:clientData/>
  </xdr:twoCellAnchor>
  <xdr:twoCellAnchor>
    <xdr:from>
      <xdr:col>19</xdr:col>
      <xdr:colOff>561975</xdr:colOff>
      <xdr:row>3</xdr:row>
      <xdr:rowOff>28575</xdr:rowOff>
    </xdr:from>
    <xdr:to>
      <xdr:col>20</xdr:col>
      <xdr:colOff>219075</xdr:colOff>
      <xdr:row>5</xdr:row>
      <xdr:rowOff>76200</xdr:rowOff>
    </xdr:to>
    <xdr:sp macro="" textlink="">
      <xdr:nvSpPr>
        <xdr:cNvPr id="22642" name="Line 617">
          <a:extLst>
            <a:ext uri="{FF2B5EF4-FFF2-40B4-BE49-F238E27FC236}">
              <a16:creationId xmlns:a16="http://schemas.microsoft.com/office/drawing/2014/main" id="{00000000-0008-0000-0300-000072580000}"/>
            </a:ext>
          </a:extLst>
        </xdr:cNvPr>
        <xdr:cNvSpPr>
          <a:spLocks noChangeShapeType="1"/>
        </xdr:cNvSpPr>
      </xdr:nvSpPr>
      <xdr:spPr bwMode="auto">
        <a:xfrm>
          <a:off x="18230850" y="885825"/>
          <a:ext cx="43815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163830</xdr:colOff>
          <xdr:row>0</xdr:row>
          <xdr:rowOff>87630</xdr:rowOff>
        </xdr:from>
        <xdr:to>
          <xdr:col>8</xdr:col>
          <xdr:colOff>419100</xdr:colOff>
          <xdr:row>3</xdr:row>
          <xdr:rowOff>49530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3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List by Rep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</xdr:row>
          <xdr:rowOff>0</xdr:rowOff>
        </xdr:from>
        <xdr:to>
          <xdr:col>4</xdr:col>
          <xdr:colOff>259080</xdr:colOff>
          <xdr:row>3</xdr:row>
          <xdr:rowOff>144780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3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443865</xdr:colOff>
      <xdr:row>0</xdr:row>
      <xdr:rowOff>476250</xdr:rowOff>
    </xdr:from>
    <xdr:to>
      <xdr:col>25</xdr:col>
      <xdr:colOff>215265</xdr:colOff>
      <xdr:row>3</xdr:row>
      <xdr:rowOff>161925</xdr:rowOff>
    </xdr:to>
    <xdr:sp macro="" textlink="">
      <xdr:nvSpPr>
        <xdr:cNvPr id="1628" name="Text Box 604">
          <a:extLst>
            <a:ext uri="{FF2B5EF4-FFF2-40B4-BE49-F238E27FC236}">
              <a16:creationId xmlns:a16="http://schemas.microsoft.com/office/drawing/2014/main" id="{00000000-0008-0000-0400-00005C060000}"/>
            </a:ext>
          </a:extLst>
        </xdr:cNvPr>
        <xdr:cNvSpPr txBox="1">
          <a:spLocks noChangeArrowheads="1"/>
        </xdr:cNvSpPr>
      </xdr:nvSpPr>
      <xdr:spPr bwMode="auto">
        <a:xfrm>
          <a:off x="17211675" y="533400"/>
          <a:ext cx="171450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Enter Date when "Y" was entered in "Retailed" column</a:t>
          </a:r>
        </a:p>
      </xdr:txBody>
    </xdr:sp>
    <xdr:clientData/>
  </xdr:twoCellAnchor>
  <xdr:twoCellAnchor>
    <xdr:from>
      <xdr:col>22</xdr:col>
      <xdr:colOff>152400</xdr:colOff>
      <xdr:row>3</xdr:row>
      <xdr:rowOff>0</xdr:rowOff>
    </xdr:from>
    <xdr:to>
      <xdr:col>22</xdr:col>
      <xdr:colOff>466725</xdr:colOff>
      <xdr:row>5</xdr:row>
      <xdr:rowOff>95250</xdr:rowOff>
    </xdr:to>
    <xdr:sp macro="" textlink="">
      <xdr:nvSpPr>
        <xdr:cNvPr id="21356" name="Line 605">
          <a:extLst>
            <a:ext uri="{FF2B5EF4-FFF2-40B4-BE49-F238E27FC236}">
              <a16:creationId xmlns:a16="http://schemas.microsoft.com/office/drawing/2014/main" id="{00000000-0008-0000-0400-00006C530000}"/>
            </a:ext>
          </a:extLst>
        </xdr:cNvPr>
        <xdr:cNvSpPr>
          <a:spLocks noChangeShapeType="1"/>
        </xdr:cNvSpPr>
      </xdr:nvSpPr>
      <xdr:spPr bwMode="auto">
        <a:xfrm flipH="1">
          <a:off x="19897725" y="857250"/>
          <a:ext cx="31432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114300</xdr:colOff>
      <xdr:row>1</xdr:row>
      <xdr:rowOff>114300</xdr:rowOff>
    </xdr:from>
    <xdr:to>
      <xdr:col>20</xdr:col>
      <xdr:colOff>349410</xdr:colOff>
      <xdr:row>3</xdr:row>
      <xdr:rowOff>133350</xdr:rowOff>
    </xdr:to>
    <xdr:sp macro="" textlink="">
      <xdr:nvSpPr>
        <xdr:cNvPr id="1640" name="Text Box 616">
          <a:extLst>
            <a:ext uri="{FF2B5EF4-FFF2-40B4-BE49-F238E27FC236}">
              <a16:creationId xmlns:a16="http://schemas.microsoft.com/office/drawing/2014/main" id="{00000000-0008-0000-0400-000068060000}"/>
            </a:ext>
          </a:extLst>
        </xdr:cNvPr>
        <xdr:cNvSpPr txBox="1">
          <a:spLocks noChangeArrowheads="1"/>
        </xdr:cNvSpPr>
      </xdr:nvSpPr>
      <xdr:spPr bwMode="auto">
        <a:xfrm>
          <a:off x="13573125" y="609600"/>
          <a:ext cx="2047875" cy="381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Enter Date when "Y" was entered in "Committed For" column</a:t>
          </a:r>
        </a:p>
      </xdr:txBody>
    </xdr:sp>
    <xdr:clientData/>
  </xdr:twoCellAnchor>
  <xdr:twoCellAnchor>
    <xdr:from>
      <xdr:col>19</xdr:col>
      <xdr:colOff>561975</xdr:colOff>
      <xdr:row>3</xdr:row>
      <xdr:rowOff>28575</xdr:rowOff>
    </xdr:from>
    <xdr:to>
      <xdr:col>20</xdr:col>
      <xdr:colOff>219075</xdr:colOff>
      <xdr:row>5</xdr:row>
      <xdr:rowOff>76200</xdr:rowOff>
    </xdr:to>
    <xdr:sp macro="" textlink="">
      <xdr:nvSpPr>
        <xdr:cNvPr id="21358" name="Line 617">
          <a:extLst>
            <a:ext uri="{FF2B5EF4-FFF2-40B4-BE49-F238E27FC236}">
              <a16:creationId xmlns:a16="http://schemas.microsoft.com/office/drawing/2014/main" id="{00000000-0008-0000-0400-00006E530000}"/>
            </a:ext>
          </a:extLst>
        </xdr:cNvPr>
        <xdr:cNvSpPr>
          <a:spLocks noChangeShapeType="1"/>
        </xdr:cNvSpPr>
      </xdr:nvSpPr>
      <xdr:spPr bwMode="auto">
        <a:xfrm>
          <a:off x="18030825" y="885825"/>
          <a:ext cx="43815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163830</xdr:colOff>
          <xdr:row>0</xdr:row>
          <xdr:rowOff>87630</xdr:rowOff>
        </xdr:from>
        <xdr:to>
          <xdr:col>8</xdr:col>
          <xdr:colOff>419100</xdr:colOff>
          <xdr:row>3</xdr:row>
          <xdr:rowOff>49530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4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List by Rep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</xdr:row>
          <xdr:rowOff>0</xdr:rowOff>
        </xdr:from>
        <xdr:to>
          <xdr:col>4</xdr:col>
          <xdr:colOff>259080</xdr:colOff>
          <xdr:row>3</xdr:row>
          <xdr:rowOff>144780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4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443865</xdr:colOff>
      <xdr:row>0</xdr:row>
      <xdr:rowOff>476250</xdr:rowOff>
    </xdr:from>
    <xdr:to>
      <xdr:col>25</xdr:col>
      <xdr:colOff>215265</xdr:colOff>
      <xdr:row>3</xdr:row>
      <xdr:rowOff>161925</xdr:rowOff>
    </xdr:to>
    <xdr:sp macro="" textlink="">
      <xdr:nvSpPr>
        <xdr:cNvPr id="1628" name="Text Box 604">
          <a:extLst>
            <a:ext uri="{FF2B5EF4-FFF2-40B4-BE49-F238E27FC236}">
              <a16:creationId xmlns:a16="http://schemas.microsoft.com/office/drawing/2014/main" id="{00000000-0008-0000-0500-00005C060000}"/>
            </a:ext>
          </a:extLst>
        </xdr:cNvPr>
        <xdr:cNvSpPr txBox="1">
          <a:spLocks noChangeArrowheads="1"/>
        </xdr:cNvSpPr>
      </xdr:nvSpPr>
      <xdr:spPr bwMode="auto">
        <a:xfrm>
          <a:off x="17211675" y="533400"/>
          <a:ext cx="171450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Enter Date when "Y" was entered in "Retailed" column</a:t>
          </a:r>
        </a:p>
      </xdr:txBody>
    </xdr:sp>
    <xdr:clientData/>
  </xdr:twoCellAnchor>
  <xdr:twoCellAnchor>
    <xdr:from>
      <xdr:col>22</xdr:col>
      <xdr:colOff>152400</xdr:colOff>
      <xdr:row>3</xdr:row>
      <xdr:rowOff>0</xdr:rowOff>
    </xdr:from>
    <xdr:to>
      <xdr:col>22</xdr:col>
      <xdr:colOff>466725</xdr:colOff>
      <xdr:row>5</xdr:row>
      <xdr:rowOff>95250</xdr:rowOff>
    </xdr:to>
    <xdr:sp macro="" textlink="">
      <xdr:nvSpPr>
        <xdr:cNvPr id="24586" name="Line 605">
          <a:extLst>
            <a:ext uri="{FF2B5EF4-FFF2-40B4-BE49-F238E27FC236}">
              <a16:creationId xmlns:a16="http://schemas.microsoft.com/office/drawing/2014/main" id="{00000000-0008-0000-0500-00000A600000}"/>
            </a:ext>
          </a:extLst>
        </xdr:cNvPr>
        <xdr:cNvSpPr>
          <a:spLocks noChangeShapeType="1"/>
        </xdr:cNvSpPr>
      </xdr:nvSpPr>
      <xdr:spPr bwMode="auto">
        <a:xfrm flipH="1">
          <a:off x="19897725" y="857250"/>
          <a:ext cx="31432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114300</xdr:colOff>
      <xdr:row>1</xdr:row>
      <xdr:rowOff>114300</xdr:rowOff>
    </xdr:from>
    <xdr:to>
      <xdr:col>20</xdr:col>
      <xdr:colOff>349410</xdr:colOff>
      <xdr:row>3</xdr:row>
      <xdr:rowOff>133350</xdr:rowOff>
    </xdr:to>
    <xdr:sp macro="" textlink="">
      <xdr:nvSpPr>
        <xdr:cNvPr id="1640" name="Text Box 616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SpPr txBox="1">
          <a:spLocks noChangeArrowheads="1"/>
        </xdr:cNvSpPr>
      </xdr:nvSpPr>
      <xdr:spPr bwMode="auto">
        <a:xfrm>
          <a:off x="13573125" y="609600"/>
          <a:ext cx="2047875" cy="381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Enter Date when "Y" was entered in "Committed For" column</a:t>
          </a:r>
        </a:p>
      </xdr:txBody>
    </xdr:sp>
    <xdr:clientData/>
  </xdr:twoCellAnchor>
  <xdr:twoCellAnchor>
    <xdr:from>
      <xdr:col>19</xdr:col>
      <xdr:colOff>561975</xdr:colOff>
      <xdr:row>3</xdr:row>
      <xdr:rowOff>28575</xdr:rowOff>
    </xdr:from>
    <xdr:to>
      <xdr:col>20</xdr:col>
      <xdr:colOff>219075</xdr:colOff>
      <xdr:row>5</xdr:row>
      <xdr:rowOff>76200</xdr:rowOff>
    </xdr:to>
    <xdr:sp macro="" textlink="">
      <xdr:nvSpPr>
        <xdr:cNvPr id="24588" name="Line 617">
          <a:extLst>
            <a:ext uri="{FF2B5EF4-FFF2-40B4-BE49-F238E27FC236}">
              <a16:creationId xmlns:a16="http://schemas.microsoft.com/office/drawing/2014/main" id="{00000000-0008-0000-0500-00000C600000}"/>
            </a:ext>
          </a:extLst>
        </xdr:cNvPr>
        <xdr:cNvSpPr>
          <a:spLocks noChangeShapeType="1"/>
        </xdr:cNvSpPr>
      </xdr:nvSpPr>
      <xdr:spPr bwMode="auto">
        <a:xfrm>
          <a:off x="18030825" y="885825"/>
          <a:ext cx="43815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163830</xdr:colOff>
          <xdr:row>0</xdr:row>
          <xdr:rowOff>87630</xdr:rowOff>
        </xdr:from>
        <xdr:to>
          <xdr:col>8</xdr:col>
          <xdr:colOff>419100</xdr:colOff>
          <xdr:row>3</xdr:row>
          <xdr:rowOff>49530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5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List by Rep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</xdr:row>
          <xdr:rowOff>0</xdr:rowOff>
        </xdr:from>
        <xdr:to>
          <xdr:col>4</xdr:col>
          <xdr:colOff>259080</xdr:colOff>
          <xdr:row>3</xdr:row>
          <xdr:rowOff>144780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5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Model%20Year%202010%20Big%20Sheets\2010%20Models\Tractor_Statu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IU\Indiana%20University\X%20Files\Fall%202012\K327\Class%20Examples\More%20ET%20Files%2010-2-12\Sales%20Rep%20Log%20200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s"/>
      <sheetName val="Workdays"/>
      <sheetName val="Current"/>
      <sheetName val="month built"/>
      <sheetName val="Status Summary by dealer"/>
      <sheetName val="Proj"/>
      <sheetName val="Sheet2"/>
      <sheetName val="Jan 12 09 data deleted"/>
      <sheetName val="Bal of 05 Schedule"/>
      <sheetName val="Ser # Control"/>
      <sheetName val="Sheet1"/>
    </sheetNames>
    <sheetDataSet>
      <sheetData sheetId="0">
        <row r="15">
          <cell r="W15" t="str">
            <v>Amako</v>
          </cell>
        </row>
        <row r="16">
          <cell r="W16" t="str">
            <v>Apache Australia</v>
          </cell>
        </row>
        <row r="17">
          <cell r="W17" t="str">
            <v>Arnett NH</v>
          </cell>
        </row>
        <row r="18">
          <cell r="W18" t="str">
            <v>Bates Direct</v>
          </cell>
        </row>
        <row r="19">
          <cell r="W19" t="str">
            <v>Big Sky</v>
          </cell>
        </row>
        <row r="20">
          <cell r="W20" t="str">
            <v>Binkley &amp; Hurst</v>
          </cell>
        </row>
        <row r="21">
          <cell r="W21" t="str">
            <v>Black River</v>
          </cell>
        </row>
        <row r="22">
          <cell r="W22" t="str">
            <v>Brokaw Supply</v>
          </cell>
        </row>
        <row r="23">
          <cell r="W23" t="str">
            <v>Delta NH</v>
          </cell>
        </row>
        <row r="24">
          <cell r="W24" t="str">
            <v>Douglas Lake</v>
          </cell>
        </row>
        <row r="25">
          <cell r="W25" t="str">
            <v>ETW</v>
          </cell>
        </row>
        <row r="26">
          <cell r="W26" t="str">
            <v>Farmer's Union</v>
          </cell>
        </row>
        <row r="27">
          <cell r="W27" t="str">
            <v>Hi Line</v>
          </cell>
        </row>
        <row r="28">
          <cell r="W28" t="str">
            <v>ISC</v>
          </cell>
        </row>
        <row r="29">
          <cell r="W29" t="str">
            <v>Janson</v>
          </cell>
        </row>
        <row r="30">
          <cell r="W30" t="str">
            <v>JMS</v>
          </cell>
        </row>
        <row r="31">
          <cell r="W31" t="str">
            <v>Medicine Hat</v>
          </cell>
        </row>
        <row r="32">
          <cell r="W32" t="str">
            <v>Miller</v>
          </cell>
        </row>
        <row r="33">
          <cell r="W33" t="str">
            <v>M&amp;T- Melfort</v>
          </cell>
        </row>
        <row r="34">
          <cell r="W34" t="str">
            <v>Moodys Alberta</v>
          </cell>
        </row>
        <row r="35">
          <cell r="W35" t="str">
            <v>Moodys SK</v>
          </cell>
        </row>
        <row r="36">
          <cell r="W36" t="str">
            <v>Mountain View</v>
          </cell>
        </row>
        <row r="37">
          <cell r="W37" t="str">
            <v>OVA</v>
          </cell>
        </row>
        <row r="38">
          <cell r="W38" t="str">
            <v>P. Bradley</v>
          </cell>
        </row>
        <row r="39">
          <cell r="W39" t="str">
            <v>Panhandle</v>
          </cell>
        </row>
        <row r="40">
          <cell r="W40" t="str">
            <v>Park River</v>
          </cell>
        </row>
        <row r="41">
          <cell r="W41" t="str">
            <v>Pete Direct</v>
          </cell>
        </row>
        <row r="42">
          <cell r="W42" t="str">
            <v>Raymore/Yorkton</v>
          </cell>
        </row>
        <row r="43">
          <cell r="W43" t="str">
            <v>Riggins, MO</v>
          </cell>
        </row>
        <row r="44">
          <cell r="W44" t="str">
            <v>Riggins, NE</v>
          </cell>
        </row>
        <row r="45">
          <cell r="W45" t="str">
            <v>Robertson</v>
          </cell>
        </row>
        <row r="46">
          <cell r="W46" t="str">
            <v>SAM</v>
          </cell>
        </row>
        <row r="47">
          <cell r="W47" t="str">
            <v>Schlauderaff</v>
          </cell>
        </row>
        <row r="48">
          <cell r="W48" t="str">
            <v>Simpson</v>
          </cell>
        </row>
        <row r="49">
          <cell r="W49" t="str">
            <v>Storrer</v>
          </cell>
        </row>
        <row r="50">
          <cell r="W50" t="str">
            <v>TBA</v>
          </cell>
        </row>
        <row r="51">
          <cell r="W51" t="str">
            <v>Tri Ag</v>
          </cell>
        </row>
        <row r="52">
          <cell r="W52" t="str">
            <v>Waitt Indiana</v>
          </cell>
        </row>
        <row r="53">
          <cell r="W53" t="str">
            <v>Waitt Ohio</v>
          </cell>
        </row>
        <row r="54">
          <cell r="W54" t="str">
            <v>Young</v>
          </cell>
        </row>
      </sheetData>
      <sheetData sheetId="1"/>
      <sheetData sheetId="2">
        <row r="20">
          <cell r="C20" t="str">
            <v>x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s"/>
      <sheetName val="Workdays"/>
      <sheetName val="Sheet2"/>
      <sheetName val="PT- Retailed, no pay"/>
      <sheetName val="Dealer Status"/>
      <sheetName val="Committed and Paid by Date"/>
      <sheetName val="Current Retailed Report"/>
      <sheetName val="Current"/>
      <sheetName val="Database Update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2">
          <cell r="O2">
            <v>9094428</v>
          </cell>
        </row>
        <row r="3">
          <cell r="O3">
            <v>9094429</v>
          </cell>
        </row>
        <row r="4">
          <cell r="O4">
            <v>9094293</v>
          </cell>
        </row>
        <row r="5">
          <cell r="O5">
            <v>9094464</v>
          </cell>
        </row>
        <row r="6">
          <cell r="O6">
            <v>9094104</v>
          </cell>
        </row>
        <row r="7">
          <cell r="O7">
            <v>9094103</v>
          </cell>
        </row>
        <row r="8">
          <cell r="O8">
            <v>9094046</v>
          </cell>
        </row>
        <row r="9">
          <cell r="O9">
            <v>9094119</v>
          </cell>
        </row>
        <row r="10">
          <cell r="O10">
            <v>9094415</v>
          </cell>
        </row>
        <row r="11">
          <cell r="O11">
            <v>9094412</v>
          </cell>
        </row>
        <row r="12">
          <cell r="O12">
            <v>9094047</v>
          </cell>
        </row>
        <row r="13">
          <cell r="O13">
            <v>9094059</v>
          </cell>
        </row>
        <row r="14">
          <cell r="O14">
            <v>9094060</v>
          </cell>
        </row>
        <row r="15">
          <cell r="O15">
            <v>9094127</v>
          </cell>
        </row>
        <row r="16">
          <cell r="O16">
            <v>9094128</v>
          </cell>
        </row>
        <row r="17">
          <cell r="O17">
            <v>9094026</v>
          </cell>
        </row>
        <row r="18">
          <cell r="O18">
            <v>9094061</v>
          </cell>
        </row>
        <row r="19">
          <cell r="O19">
            <v>9094062</v>
          </cell>
        </row>
        <row r="20">
          <cell r="O20">
            <v>9094055</v>
          </cell>
        </row>
        <row r="21">
          <cell r="O21">
            <v>9094063</v>
          </cell>
        </row>
        <row r="22">
          <cell r="O22">
            <v>9094065</v>
          </cell>
        </row>
        <row r="23">
          <cell r="O23">
            <v>9094443</v>
          </cell>
        </row>
        <row r="24">
          <cell r="O24">
            <v>9094277</v>
          </cell>
        </row>
        <row r="25">
          <cell r="O25">
            <v>9094244</v>
          </cell>
        </row>
        <row r="26">
          <cell r="O26">
            <v>9094254</v>
          </cell>
        </row>
        <row r="27">
          <cell r="O27">
            <v>9094054</v>
          </cell>
        </row>
        <row r="28">
          <cell r="O28">
            <v>9094433</v>
          </cell>
        </row>
        <row r="29">
          <cell r="O29">
            <v>9094434</v>
          </cell>
        </row>
        <row r="30">
          <cell r="O30">
            <v>9094064</v>
          </cell>
        </row>
        <row r="31">
          <cell r="O31">
            <v>9094066</v>
          </cell>
        </row>
        <row r="32">
          <cell r="O32">
            <v>9094025</v>
          </cell>
        </row>
        <row r="33">
          <cell r="O33">
            <v>9094023</v>
          </cell>
        </row>
        <row r="34">
          <cell r="O34">
            <v>9094204</v>
          </cell>
        </row>
        <row r="35">
          <cell r="O35">
            <v>9094180</v>
          </cell>
        </row>
        <row r="36">
          <cell r="O36">
            <v>9094232</v>
          </cell>
        </row>
        <row r="37">
          <cell r="O37">
            <v>9094034</v>
          </cell>
        </row>
        <row r="38">
          <cell r="O38">
            <v>9094031</v>
          </cell>
        </row>
        <row r="39">
          <cell r="O39">
            <v>9094032</v>
          </cell>
        </row>
        <row r="40">
          <cell r="O40">
            <v>9094217</v>
          </cell>
        </row>
        <row r="41">
          <cell r="O41">
            <v>9094146</v>
          </cell>
        </row>
        <row r="42">
          <cell r="O42">
            <v>9094216</v>
          </cell>
        </row>
        <row r="43">
          <cell r="O43">
            <v>9094172</v>
          </cell>
        </row>
        <row r="44">
          <cell r="O44">
            <v>9094173</v>
          </cell>
        </row>
        <row r="45">
          <cell r="O45">
            <v>9094229</v>
          </cell>
        </row>
        <row r="46">
          <cell r="O46">
            <v>9094147</v>
          </cell>
        </row>
        <row r="47">
          <cell r="O47">
            <v>9094036</v>
          </cell>
        </row>
        <row r="48">
          <cell r="O48">
            <v>9094205</v>
          </cell>
        </row>
        <row r="49">
          <cell r="O49">
            <v>9094351</v>
          </cell>
        </row>
        <row r="50">
          <cell r="O50">
            <v>9094181</v>
          </cell>
        </row>
        <row r="51">
          <cell r="O51">
            <v>9094352</v>
          </cell>
        </row>
        <row r="52">
          <cell r="O52">
            <v>9094233</v>
          </cell>
        </row>
        <row r="53">
          <cell r="O53">
            <v>9094350</v>
          </cell>
        </row>
        <row r="54">
          <cell r="O54">
            <v>9094033</v>
          </cell>
        </row>
        <row r="55">
          <cell r="O55">
            <v>9094236</v>
          </cell>
        </row>
        <row r="56">
          <cell r="O56">
            <v>9094224</v>
          </cell>
        </row>
        <row r="57">
          <cell r="O57">
            <v>9094035</v>
          </cell>
        </row>
        <row r="58">
          <cell r="O58">
            <v>9094165</v>
          </cell>
        </row>
        <row r="59">
          <cell r="O59">
            <v>9094225</v>
          </cell>
        </row>
        <row r="60">
          <cell r="O60">
            <v>9094176</v>
          </cell>
        </row>
        <row r="61">
          <cell r="O61">
            <v>9094177</v>
          </cell>
        </row>
        <row r="62">
          <cell r="O62">
            <v>9094164</v>
          </cell>
        </row>
        <row r="63">
          <cell r="O63">
            <v>9094228</v>
          </cell>
        </row>
        <row r="64">
          <cell r="O64">
            <v>9094182</v>
          </cell>
        </row>
        <row r="65">
          <cell r="O65">
            <v>9094184</v>
          </cell>
        </row>
        <row r="66">
          <cell r="O66">
            <v>9094478</v>
          </cell>
        </row>
        <row r="67">
          <cell r="O67">
            <v>9094477</v>
          </cell>
        </row>
        <row r="68">
          <cell r="O68">
            <v>9094441</v>
          </cell>
        </row>
        <row r="69">
          <cell r="O69">
            <v>9094442</v>
          </cell>
        </row>
        <row r="70">
          <cell r="O70">
            <v>9094100</v>
          </cell>
        </row>
        <row r="71">
          <cell r="O71">
            <v>9094099</v>
          </cell>
        </row>
        <row r="72">
          <cell r="O72">
            <v>9094323</v>
          </cell>
        </row>
        <row r="73">
          <cell r="O73">
            <v>9094041</v>
          </cell>
        </row>
        <row r="74">
          <cell r="O74">
            <v>9094133</v>
          </cell>
        </row>
        <row r="75">
          <cell r="O75">
            <v>9094179</v>
          </cell>
        </row>
        <row r="76">
          <cell r="O76">
            <v>9094324</v>
          </cell>
        </row>
        <row r="77">
          <cell r="O77">
            <v>9094040</v>
          </cell>
        </row>
        <row r="78">
          <cell r="O78">
            <v>9094237</v>
          </cell>
        </row>
        <row r="79">
          <cell r="O79">
            <v>9094243</v>
          </cell>
        </row>
        <row r="80">
          <cell r="O80">
            <v>9094150</v>
          </cell>
        </row>
        <row r="81">
          <cell r="O81">
            <v>9094251</v>
          </cell>
        </row>
        <row r="82">
          <cell r="O82">
            <v>9094151</v>
          </cell>
        </row>
        <row r="83">
          <cell r="O83">
            <v>9094166</v>
          </cell>
        </row>
        <row r="84">
          <cell r="O84">
            <v>9094101</v>
          </cell>
        </row>
        <row r="85">
          <cell r="O85">
            <v>9094252</v>
          </cell>
        </row>
        <row r="86">
          <cell r="O86">
            <v>9094302</v>
          </cell>
        </row>
        <row r="87">
          <cell r="O87">
            <v>9094303</v>
          </cell>
        </row>
        <row r="88">
          <cell r="O88">
            <v>9094304</v>
          </cell>
        </row>
        <row r="89">
          <cell r="O89">
            <v>9094134</v>
          </cell>
        </row>
        <row r="90">
          <cell r="O90">
            <v>9094188</v>
          </cell>
        </row>
        <row r="91">
          <cell r="O91">
            <v>9094167</v>
          </cell>
        </row>
        <row r="92">
          <cell r="O92">
            <v>9094178</v>
          </cell>
        </row>
        <row r="93">
          <cell r="O93">
            <v>9094255</v>
          </cell>
        </row>
        <row r="94">
          <cell r="O94">
            <v>9094354</v>
          </cell>
        </row>
        <row r="95">
          <cell r="O95">
            <v>9094152</v>
          </cell>
        </row>
        <row r="96">
          <cell r="O96">
            <v>9094153</v>
          </cell>
        </row>
        <row r="97">
          <cell r="O97">
            <v>9094355</v>
          </cell>
        </row>
        <row r="98">
          <cell r="O98">
            <v>9094356</v>
          </cell>
        </row>
        <row r="99">
          <cell r="O99">
            <v>9094187</v>
          </cell>
        </row>
        <row r="100">
          <cell r="O100">
            <v>9094329</v>
          </cell>
        </row>
        <row r="101">
          <cell r="O101">
            <v>9094330</v>
          </cell>
        </row>
        <row r="102">
          <cell r="O102">
            <v>9094305</v>
          </cell>
        </row>
        <row r="103">
          <cell r="O103">
            <v>9094102</v>
          </cell>
        </row>
        <row r="104">
          <cell r="O104">
            <v>9094306</v>
          </cell>
        </row>
        <row r="105">
          <cell r="O105">
            <v>9094353</v>
          </cell>
        </row>
        <row r="106">
          <cell r="O106">
            <v>9094044</v>
          </cell>
        </row>
        <row r="107">
          <cell r="O107">
            <v>9094045</v>
          </cell>
        </row>
        <row r="108">
          <cell r="O108">
            <v>9094027</v>
          </cell>
        </row>
        <row r="109">
          <cell r="O109">
            <v>9094390</v>
          </cell>
        </row>
        <row r="110">
          <cell r="O110">
            <v>9094275</v>
          </cell>
        </row>
        <row r="111">
          <cell r="O111">
            <v>9094123</v>
          </cell>
        </row>
        <row r="112">
          <cell r="O112">
            <v>9094363</v>
          </cell>
        </row>
        <row r="113">
          <cell r="O113">
            <v>9094267</v>
          </cell>
        </row>
        <row r="114">
          <cell r="O114">
            <v>9094139</v>
          </cell>
        </row>
        <row r="115">
          <cell r="O115">
            <v>9094270</v>
          </cell>
        </row>
        <row r="116">
          <cell r="O116">
            <v>9094168</v>
          </cell>
        </row>
        <row r="117">
          <cell r="O117">
            <v>9094190</v>
          </cell>
        </row>
        <row r="118">
          <cell r="O118">
            <v>9094140</v>
          </cell>
        </row>
        <row r="119">
          <cell r="O119">
            <v>9094269</v>
          </cell>
        </row>
        <row r="120">
          <cell r="O120">
            <v>9094195</v>
          </cell>
        </row>
        <row r="121">
          <cell r="O121">
            <v>9094396</v>
          </cell>
        </row>
        <row r="122">
          <cell r="O122">
            <v>9094266</v>
          </cell>
        </row>
        <row r="123">
          <cell r="O123">
            <v>9094360</v>
          </cell>
        </row>
        <row r="124">
          <cell r="O124">
            <v>9094361</v>
          </cell>
        </row>
        <row r="125">
          <cell r="O125">
            <v>9094095</v>
          </cell>
        </row>
        <row r="126">
          <cell r="O126">
            <v>9094124</v>
          </cell>
        </row>
        <row r="127">
          <cell r="O127">
            <v>9094271</v>
          </cell>
        </row>
        <row r="128">
          <cell r="O128">
            <v>9094358</v>
          </cell>
        </row>
        <row r="129">
          <cell r="O129">
            <v>9094051</v>
          </cell>
        </row>
        <row r="130">
          <cell r="O130">
            <v>9094260</v>
          </cell>
        </row>
        <row r="131">
          <cell r="O131">
            <v>9094156</v>
          </cell>
        </row>
        <row r="132">
          <cell r="O132">
            <v>9094050</v>
          </cell>
        </row>
        <row r="133">
          <cell r="O133">
            <v>9094157</v>
          </cell>
        </row>
        <row r="134">
          <cell r="O134">
            <v>9094057</v>
          </cell>
        </row>
        <row r="135">
          <cell r="O135">
            <v>9094056</v>
          </cell>
        </row>
        <row r="136">
          <cell r="O136">
            <v>9094120</v>
          </cell>
        </row>
        <row r="137">
          <cell r="O137">
            <v>9094440</v>
          </cell>
        </row>
        <row r="138">
          <cell r="O138">
            <v>9094241</v>
          </cell>
        </row>
        <row r="139">
          <cell r="O139">
            <v>9094024</v>
          </cell>
        </row>
        <row r="140">
          <cell r="O140">
            <v>9094131</v>
          </cell>
        </row>
        <row r="141">
          <cell r="O141">
            <v>9094242</v>
          </cell>
        </row>
        <row r="142">
          <cell r="O142">
            <v>9094132</v>
          </cell>
        </row>
        <row r="143">
          <cell r="O143">
            <v>9094405</v>
          </cell>
        </row>
        <row r="144">
          <cell r="O144">
            <v>9094407</v>
          </cell>
        </row>
        <row r="145">
          <cell r="O145">
            <v>9094406</v>
          </cell>
        </row>
        <row r="146">
          <cell r="O146">
            <v>9094408</v>
          </cell>
        </row>
        <row r="147">
          <cell r="O147">
            <v>9094028</v>
          </cell>
        </row>
        <row r="148">
          <cell r="O148">
            <v>9094404</v>
          </cell>
        </row>
        <row r="149">
          <cell r="O149">
            <v>9094029</v>
          </cell>
        </row>
        <row r="150">
          <cell r="O150">
            <v>9094111</v>
          </cell>
        </row>
        <row r="151">
          <cell r="O151">
            <v>9094112</v>
          </cell>
        </row>
        <row r="152">
          <cell r="O152">
            <v>9094158</v>
          </cell>
        </row>
        <row r="153">
          <cell r="O153">
            <v>9094159</v>
          </cell>
        </row>
        <row r="154">
          <cell r="O154">
            <v>9094307</v>
          </cell>
        </row>
        <row r="155">
          <cell r="O155">
            <v>9094257</v>
          </cell>
        </row>
        <row r="156">
          <cell r="O156">
            <v>9094308</v>
          </cell>
        </row>
        <row r="157">
          <cell r="O157">
            <v>9094052</v>
          </cell>
        </row>
        <row r="158">
          <cell r="O158">
            <v>9094053</v>
          </cell>
        </row>
        <row r="159">
          <cell r="O159">
            <v>9094310</v>
          </cell>
        </row>
        <row r="160">
          <cell r="O160">
            <v>9094259</v>
          </cell>
        </row>
        <row r="161">
          <cell r="O161">
            <v>9094245</v>
          </cell>
        </row>
        <row r="162">
          <cell r="O162">
            <v>9094246</v>
          </cell>
        </row>
        <row r="163">
          <cell r="O163">
            <v>9094309</v>
          </cell>
        </row>
        <row r="164">
          <cell r="O164">
            <v>9094336</v>
          </cell>
        </row>
        <row r="165">
          <cell r="O165">
            <v>9094359</v>
          </cell>
        </row>
        <row r="166">
          <cell r="O166">
            <v>9094439</v>
          </cell>
        </row>
        <row r="167">
          <cell r="O167">
            <v>9094444</v>
          </cell>
        </row>
        <row r="168">
          <cell r="O168">
            <v>9094334</v>
          </cell>
        </row>
        <row r="169">
          <cell r="O169">
            <v>9094335</v>
          </cell>
        </row>
        <row r="170">
          <cell r="O170">
            <v>9094357</v>
          </cell>
        </row>
        <row r="171">
          <cell r="O171">
            <v>9094117</v>
          </cell>
        </row>
        <row r="172">
          <cell r="O172">
            <v>9094118</v>
          </cell>
        </row>
        <row r="173">
          <cell r="O173">
            <v>9094075</v>
          </cell>
        </row>
        <row r="174">
          <cell r="O174">
            <v>9094076</v>
          </cell>
        </row>
        <row r="175">
          <cell r="O175">
            <v>9094449</v>
          </cell>
        </row>
        <row r="176">
          <cell r="O176">
            <v>9094451</v>
          </cell>
        </row>
        <row r="177">
          <cell r="O177">
            <v>9094450</v>
          </cell>
        </row>
        <row r="178">
          <cell r="O178">
            <v>9094452</v>
          </cell>
        </row>
        <row r="179">
          <cell r="O179">
            <v>9094073</v>
          </cell>
        </row>
        <row r="180">
          <cell r="O180">
            <v>9094121</v>
          </cell>
        </row>
        <row r="181">
          <cell r="O181">
            <v>9094122</v>
          </cell>
        </row>
        <row r="182">
          <cell r="O182">
            <v>9094074</v>
          </cell>
        </row>
        <row r="183">
          <cell r="O183">
            <v>9094264</v>
          </cell>
        </row>
        <row r="184">
          <cell r="O184">
            <v>9094265</v>
          </cell>
        </row>
        <row r="185">
          <cell r="O185">
            <v>9094079</v>
          </cell>
        </row>
        <row r="186">
          <cell r="O186">
            <v>9094080</v>
          </cell>
        </row>
        <row r="187">
          <cell r="O187">
            <v>9094281</v>
          </cell>
        </row>
        <row r="188">
          <cell r="O188">
            <v>9094197</v>
          </cell>
        </row>
        <row r="189">
          <cell r="O189">
            <v>9094280</v>
          </cell>
        </row>
        <row r="190">
          <cell r="O190">
            <v>9094286</v>
          </cell>
        </row>
        <row r="191">
          <cell r="O191">
            <v>9094130</v>
          </cell>
        </row>
        <row r="192">
          <cell r="O192">
            <v>9094082</v>
          </cell>
        </row>
        <row r="193">
          <cell r="O193">
            <v>9094283</v>
          </cell>
        </row>
        <row r="194">
          <cell r="O194">
            <v>9094282</v>
          </cell>
        </row>
        <row r="195">
          <cell r="O195">
            <v>9094129</v>
          </cell>
        </row>
        <row r="196">
          <cell r="O196">
            <v>9094288</v>
          </cell>
        </row>
        <row r="197">
          <cell r="O197">
            <v>9094285</v>
          </cell>
        </row>
        <row r="198">
          <cell r="O198">
            <v>9094081</v>
          </cell>
        </row>
        <row r="199">
          <cell r="O199">
            <v>9094284</v>
          </cell>
        </row>
        <row r="200">
          <cell r="O200">
            <v>9094192</v>
          </cell>
        </row>
        <row r="201">
          <cell r="O201">
            <v>9094193</v>
          </cell>
        </row>
        <row r="202">
          <cell r="O202">
            <v>9094212</v>
          </cell>
        </row>
        <row r="203">
          <cell r="O203">
            <v>9094213</v>
          </cell>
        </row>
        <row r="204">
          <cell r="O204">
            <v>9094296</v>
          </cell>
        </row>
        <row r="205">
          <cell r="O205">
            <v>9094297</v>
          </cell>
        </row>
        <row r="206">
          <cell r="O206">
            <v>9094163</v>
          </cell>
        </row>
        <row r="207">
          <cell r="O207">
            <v>9094108</v>
          </cell>
        </row>
        <row r="208">
          <cell r="O208">
            <v>9094162</v>
          </cell>
        </row>
        <row r="209">
          <cell r="O209">
            <v>9094299</v>
          </cell>
        </row>
        <row r="210">
          <cell r="O210">
            <v>9094084</v>
          </cell>
        </row>
        <row r="211">
          <cell r="O211">
            <v>9094083</v>
          </cell>
        </row>
        <row r="212">
          <cell r="O212">
            <v>9094107</v>
          </cell>
        </row>
        <row r="213">
          <cell r="O213">
            <v>9094298</v>
          </cell>
        </row>
        <row r="214">
          <cell r="O214">
            <v>9094247</v>
          </cell>
        </row>
        <row r="215">
          <cell r="O215">
            <v>9094248</v>
          </cell>
        </row>
        <row r="216">
          <cell r="O216">
            <v>9094250</v>
          </cell>
        </row>
        <row r="217">
          <cell r="O217">
            <v>9094249</v>
          </cell>
        </row>
        <row r="218">
          <cell r="O218">
            <v>9094109</v>
          </cell>
        </row>
        <row r="219">
          <cell r="O219">
            <v>9094085</v>
          </cell>
        </row>
        <row r="220">
          <cell r="O220">
            <v>9094110</v>
          </cell>
        </row>
        <row r="221">
          <cell r="O221">
            <v>9094086</v>
          </cell>
        </row>
        <row r="222">
          <cell r="O222">
            <v>9094348</v>
          </cell>
        </row>
        <row r="223">
          <cell r="O223">
            <v>9094349</v>
          </cell>
        </row>
        <row r="224">
          <cell r="O224">
            <v>9094087</v>
          </cell>
        </row>
        <row r="225">
          <cell r="O225">
            <v>9094088</v>
          </cell>
        </row>
        <row r="226">
          <cell r="O226">
            <v>9094113</v>
          </cell>
        </row>
        <row r="227">
          <cell r="O227">
            <v>9094114</v>
          </cell>
        </row>
        <row r="228">
          <cell r="O228">
            <v>9094148</v>
          </cell>
        </row>
        <row r="229">
          <cell r="O229">
            <v>9094149</v>
          </cell>
        </row>
        <row r="230">
          <cell r="O230">
            <v>9094089</v>
          </cell>
        </row>
        <row r="231">
          <cell r="O231">
            <v>9094090</v>
          </cell>
        </row>
        <row r="232">
          <cell r="O232">
            <v>9094411</v>
          </cell>
        </row>
        <row r="233">
          <cell r="O233">
            <v>9094115</v>
          </cell>
        </row>
        <row r="234">
          <cell r="O234">
            <v>9094154</v>
          </cell>
        </row>
        <row r="235">
          <cell r="O235">
            <v>9094091</v>
          </cell>
        </row>
        <row r="236">
          <cell r="O236">
            <v>9094092</v>
          </cell>
        </row>
        <row r="237">
          <cell r="O237">
            <v>9094135</v>
          </cell>
        </row>
        <row r="238">
          <cell r="O238">
            <v>9094136</v>
          </cell>
        </row>
        <row r="239">
          <cell r="O239">
            <v>9094116</v>
          </cell>
        </row>
        <row r="240">
          <cell r="O240">
            <v>9094155</v>
          </cell>
        </row>
        <row r="241">
          <cell r="O241">
            <v>9094409</v>
          </cell>
        </row>
        <row r="242">
          <cell r="O242">
            <v>9094410</v>
          </cell>
        </row>
        <row r="243">
          <cell r="O243">
            <v>9094274</v>
          </cell>
        </row>
        <row r="244">
          <cell r="O244">
            <v>9094276</v>
          </cell>
        </row>
        <row r="245">
          <cell r="O245">
            <v>9094384</v>
          </cell>
        </row>
        <row r="246">
          <cell r="O246">
            <v>9094362</v>
          </cell>
        </row>
        <row r="247">
          <cell r="O247">
            <v>9094272</v>
          </cell>
        </row>
        <row r="248">
          <cell r="O248">
            <v>9094344</v>
          </cell>
        </row>
        <row r="249">
          <cell r="O249">
            <v>9094345</v>
          </cell>
        </row>
        <row r="250">
          <cell r="O250" t="str">
            <v>Proj33</v>
          </cell>
        </row>
        <row r="251">
          <cell r="O251" t="str">
            <v>Proj30</v>
          </cell>
        </row>
        <row r="252">
          <cell r="O252">
            <v>9094209</v>
          </cell>
        </row>
        <row r="253">
          <cell r="O253">
            <v>9094208</v>
          </cell>
        </row>
        <row r="254">
          <cell r="O254">
            <v>9094419</v>
          </cell>
        </row>
        <row r="255">
          <cell r="O255">
            <v>9094042</v>
          </cell>
        </row>
        <row r="256">
          <cell r="O256">
            <v>9094043</v>
          </cell>
        </row>
        <row r="257">
          <cell r="O257">
            <v>9094169</v>
          </cell>
        </row>
        <row r="258">
          <cell r="O258">
            <v>9094220</v>
          </cell>
        </row>
        <row r="259">
          <cell r="O259">
            <v>9094141</v>
          </cell>
        </row>
        <row r="260">
          <cell r="O260">
            <v>9094221</v>
          </cell>
        </row>
        <row r="261">
          <cell r="O261">
            <v>9094253</v>
          </cell>
        </row>
        <row r="262">
          <cell r="O262">
            <v>9094311</v>
          </cell>
        </row>
        <row r="263">
          <cell r="O263">
            <v>9094339</v>
          </cell>
        </row>
        <row r="264">
          <cell r="O264">
            <v>9094200</v>
          </cell>
        </row>
        <row r="265">
          <cell r="O265">
            <v>9094314</v>
          </cell>
        </row>
        <row r="266">
          <cell r="O266">
            <v>9094340</v>
          </cell>
        </row>
        <row r="267">
          <cell r="O267">
            <v>9094341</v>
          </cell>
        </row>
        <row r="268">
          <cell r="O268">
            <v>9094418</v>
          </cell>
        </row>
        <row r="269">
          <cell r="O269">
            <v>9094144</v>
          </cell>
        </row>
        <row r="270">
          <cell r="O270">
            <v>9094338</v>
          </cell>
        </row>
        <row r="271">
          <cell r="O271">
            <v>9094201</v>
          </cell>
        </row>
        <row r="272">
          <cell r="O272">
            <v>9094427</v>
          </cell>
        </row>
        <row r="273">
          <cell r="O273">
            <v>9094432</v>
          </cell>
        </row>
        <row r="274">
          <cell r="O274">
            <v>9094142</v>
          </cell>
        </row>
        <row r="275">
          <cell r="O275">
            <v>9094318</v>
          </cell>
        </row>
        <row r="276">
          <cell r="O276">
            <v>9094337</v>
          </cell>
        </row>
        <row r="277">
          <cell r="O277">
            <v>9094315</v>
          </cell>
        </row>
        <row r="278">
          <cell r="O278">
            <v>9094316</v>
          </cell>
        </row>
        <row r="279">
          <cell r="O279">
            <v>9094126</v>
          </cell>
        </row>
        <row r="280">
          <cell r="O280">
            <v>9094317</v>
          </cell>
        </row>
        <row r="281">
          <cell r="O281">
            <v>9094098</v>
          </cell>
        </row>
        <row r="282">
          <cell r="O282">
            <v>9094312</v>
          </cell>
        </row>
        <row r="283">
          <cell r="O283">
            <v>9094125</v>
          </cell>
        </row>
        <row r="284">
          <cell r="O284">
            <v>9094313</v>
          </cell>
        </row>
        <row r="285">
          <cell r="O285">
            <v>9094097</v>
          </cell>
        </row>
        <row r="286">
          <cell r="O286">
            <v>9094422</v>
          </cell>
        </row>
        <row r="287">
          <cell r="O287">
            <v>9094423</v>
          </cell>
        </row>
        <row r="288">
          <cell r="O288">
            <v>9094474</v>
          </cell>
        </row>
        <row r="289">
          <cell r="O289">
            <v>9094475</v>
          </cell>
        </row>
        <row r="290">
          <cell r="O290">
            <v>9094461</v>
          </cell>
        </row>
        <row r="291">
          <cell r="O291">
            <v>9094453</v>
          </cell>
        </row>
        <row r="292">
          <cell r="O292">
            <v>9094462</v>
          </cell>
        </row>
        <row r="293">
          <cell r="O293">
            <v>9094460</v>
          </cell>
        </row>
        <row r="294">
          <cell r="O294">
            <v>9094463</v>
          </cell>
        </row>
        <row r="295">
          <cell r="O295">
            <v>9094455</v>
          </cell>
        </row>
        <row r="296">
          <cell r="O296">
            <v>9094457</v>
          </cell>
        </row>
        <row r="297">
          <cell r="O297">
            <v>9094456</v>
          </cell>
        </row>
        <row r="298">
          <cell r="O298">
            <v>9094454</v>
          </cell>
        </row>
        <row r="299">
          <cell r="O299">
            <v>9094374</v>
          </cell>
        </row>
        <row r="300">
          <cell r="O300">
            <v>9094375</v>
          </cell>
        </row>
        <row r="301">
          <cell r="O301">
            <v>9094378</v>
          </cell>
        </row>
        <row r="302">
          <cell r="O302">
            <v>9094038</v>
          </cell>
        </row>
        <row r="303">
          <cell r="O303">
            <v>9094058</v>
          </cell>
        </row>
        <row r="304">
          <cell r="O304">
            <v>9094256</v>
          </cell>
        </row>
        <row r="305">
          <cell r="O305">
            <v>9094258</v>
          </cell>
        </row>
        <row r="306">
          <cell r="O306">
            <v>9094381</v>
          </cell>
        </row>
        <row r="307">
          <cell r="O307">
            <v>9094376</v>
          </cell>
        </row>
        <row r="308">
          <cell r="O308">
            <v>9094377</v>
          </cell>
        </row>
        <row r="309">
          <cell r="O309">
            <v>9094380</v>
          </cell>
        </row>
        <row r="310">
          <cell r="O310">
            <v>9094379</v>
          </cell>
        </row>
        <row r="311">
          <cell r="O311">
            <v>9094093</v>
          </cell>
        </row>
        <row r="312">
          <cell r="O312">
            <v>9094094</v>
          </cell>
        </row>
        <row r="313">
          <cell r="O313">
            <v>9094279</v>
          </cell>
        </row>
        <row r="314">
          <cell r="O314">
            <v>9094278</v>
          </cell>
        </row>
        <row r="315">
          <cell r="O315">
            <v>9094078</v>
          </cell>
        </row>
        <row r="316">
          <cell r="O316">
            <v>9094273</v>
          </cell>
        </row>
        <row r="317">
          <cell r="O317">
            <v>9094071</v>
          </cell>
        </row>
        <row r="318">
          <cell r="O318">
            <v>9094171</v>
          </cell>
        </row>
        <row r="319">
          <cell r="O319">
            <v>9094211</v>
          </cell>
        </row>
        <row r="320">
          <cell r="O320">
            <v>9094214</v>
          </cell>
        </row>
        <row r="321">
          <cell r="O321">
            <v>9094226</v>
          </cell>
        </row>
        <row r="322">
          <cell r="O322">
            <v>9094227</v>
          </cell>
        </row>
        <row r="323">
          <cell r="O323">
            <v>9094234</v>
          </cell>
        </row>
        <row r="324">
          <cell r="O324">
            <v>9094145</v>
          </cell>
        </row>
        <row r="325">
          <cell r="O325">
            <v>9094222</v>
          </cell>
        </row>
        <row r="326">
          <cell r="O326">
            <v>9094160</v>
          </cell>
        </row>
        <row r="327">
          <cell r="O327">
            <v>9094223</v>
          </cell>
        </row>
        <row r="328">
          <cell r="O328">
            <v>9094235</v>
          </cell>
        </row>
        <row r="329">
          <cell r="O329">
            <v>9094161</v>
          </cell>
        </row>
        <row r="330">
          <cell r="O330">
            <v>9094215</v>
          </cell>
        </row>
        <row r="331">
          <cell r="O331">
            <v>9094203</v>
          </cell>
        </row>
        <row r="332">
          <cell r="O332">
            <v>9094230</v>
          </cell>
        </row>
        <row r="333">
          <cell r="O333">
            <v>9094170</v>
          </cell>
        </row>
        <row r="334">
          <cell r="O334">
            <v>9094106</v>
          </cell>
        </row>
        <row r="335">
          <cell r="O335">
            <v>9094231</v>
          </cell>
        </row>
        <row r="336">
          <cell r="O336">
            <v>9094199</v>
          </cell>
        </row>
        <row r="337">
          <cell r="O337">
            <v>9094196</v>
          </cell>
        </row>
        <row r="338">
          <cell r="O338">
            <v>9094143</v>
          </cell>
        </row>
        <row r="339">
          <cell r="O339">
            <v>9094207</v>
          </cell>
        </row>
        <row r="340">
          <cell r="O340">
            <v>9094072</v>
          </cell>
        </row>
        <row r="341">
          <cell r="O341">
            <v>9094185</v>
          </cell>
        </row>
        <row r="342">
          <cell r="O342">
            <v>9094210</v>
          </cell>
        </row>
        <row r="343">
          <cell r="O343">
            <v>9094186</v>
          </cell>
        </row>
        <row r="344">
          <cell r="O344">
            <v>9094206</v>
          </cell>
        </row>
        <row r="345">
          <cell r="O345">
            <v>9094105</v>
          </cell>
        </row>
        <row r="346">
          <cell r="O346">
            <v>9094189</v>
          </cell>
        </row>
        <row r="347">
          <cell r="O347">
            <v>9094191</v>
          </cell>
        </row>
        <row r="348">
          <cell r="O348">
            <v>9094238</v>
          </cell>
        </row>
        <row r="349">
          <cell r="O349">
            <v>9094137</v>
          </cell>
        </row>
        <row r="350">
          <cell r="O350">
            <v>9094218</v>
          </cell>
        </row>
        <row r="351">
          <cell r="O351">
            <v>9094202</v>
          </cell>
        </row>
        <row r="352">
          <cell r="O352">
            <v>9094219</v>
          </cell>
        </row>
        <row r="353">
          <cell r="O353">
            <v>9094138</v>
          </cell>
        </row>
        <row r="354">
          <cell r="O354">
            <v>9094174</v>
          </cell>
        </row>
        <row r="355">
          <cell r="O355">
            <v>9094175</v>
          </cell>
        </row>
        <row r="356">
          <cell r="O356">
            <v>9094194</v>
          </cell>
        </row>
        <row r="357">
          <cell r="O357">
            <v>9094466</v>
          </cell>
        </row>
        <row r="358">
          <cell r="O358">
            <v>9094435</v>
          </cell>
        </row>
        <row r="359">
          <cell r="O359">
            <v>9094037</v>
          </cell>
        </row>
        <row r="360">
          <cell r="O360">
            <v>9094039</v>
          </cell>
        </row>
        <row r="361">
          <cell r="O361">
            <v>9094049</v>
          </cell>
        </row>
        <row r="362">
          <cell r="O362">
            <v>9094438</v>
          </cell>
        </row>
        <row r="363">
          <cell r="O363">
            <v>9094467</v>
          </cell>
        </row>
        <row r="364">
          <cell r="O364">
            <v>9094468</v>
          </cell>
        </row>
        <row r="365">
          <cell r="O365">
            <v>9094469</v>
          </cell>
        </row>
        <row r="366">
          <cell r="O366">
            <v>9094239</v>
          </cell>
        </row>
        <row r="367">
          <cell r="O367">
            <v>9094437</v>
          </cell>
        </row>
        <row r="368">
          <cell r="O368">
            <v>9094240</v>
          </cell>
        </row>
        <row r="369">
          <cell r="O369">
            <v>9094048</v>
          </cell>
        </row>
        <row r="370">
          <cell r="O370">
            <v>9094436</v>
          </cell>
        </row>
        <row r="371">
          <cell r="O371">
            <v>9094183</v>
          </cell>
        </row>
        <row r="372">
          <cell r="O372">
            <v>9094446</v>
          </cell>
        </row>
        <row r="373">
          <cell r="O373">
            <v>9094445</v>
          </cell>
        </row>
        <row r="374">
          <cell r="O374">
            <v>9094459</v>
          </cell>
        </row>
        <row r="375">
          <cell r="O375">
            <v>9094458</v>
          </cell>
        </row>
        <row r="376">
          <cell r="O376">
            <v>9094343</v>
          </cell>
        </row>
        <row r="377">
          <cell r="O377">
            <v>9094447</v>
          </cell>
        </row>
        <row r="378">
          <cell r="O378">
            <v>9094448</v>
          </cell>
        </row>
        <row r="379">
          <cell r="O379">
            <v>9094465</v>
          </cell>
        </row>
        <row r="380">
          <cell r="O380">
            <v>9094067</v>
          </cell>
        </row>
        <row r="381">
          <cell r="O381">
            <v>9094068</v>
          </cell>
        </row>
        <row r="382">
          <cell r="O382">
            <v>9094077</v>
          </cell>
        </row>
        <row r="383">
          <cell r="O383">
            <v>9094416</v>
          </cell>
        </row>
        <row r="384">
          <cell r="O384">
            <v>9094069</v>
          </cell>
        </row>
        <row r="385">
          <cell r="O385">
            <v>9094070</v>
          </cell>
        </row>
        <row r="386">
          <cell r="O386">
            <v>9094417</v>
          </cell>
        </row>
        <row r="387">
          <cell r="O387">
            <v>9094420</v>
          </cell>
        </row>
        <row r="388">
          <cell r="O388">
            <v>9094421</v>
          </cell>
        </row>
        <row r="389">
          <cell r="O389">
            <v>9094476</v>
          </cell>
        </row>
        <row r="390">
          <cell r="O390">
            <v>9104262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G245"/>
  <sheetViews>
    <sheetView workbookViewId="0"/>
  </sheetViews>
  <sheetFormatPr defaultRowHeight="12.3" x14ac:dyDescent="0.4"/>
  <cols>
    <col min="2" max="2" width="11" bestFit="1" customWidth="1"/>
    <col min="4" max="4" width="14.1640625" bestFit="1" customWidth="1"/>
    <col min="6" max="6" width="20.71875" bestFit="1" customWidth="1"/>
    <col min="17" max="17" width="11.44140625" customWidth="1"/>
    <col min="18" max="18" width="10.1640625" bestFit="1" customWidth="1"/>
    <col min="24" max="24" width="10.1640625" bestFit="1" customWidth="1"/>
    <col min="27" max="27" width="10.1640625" bestFit="1" customWidth="1"/>
    <col min="30" max="30" width="17.83203125" bestFit="1" customWidth="1"/>
  </cols>
  <sheetData>
    <row r="2" spans="2:33" x14ac:dyDescent="0.4">
      <c r="B2" t="s">
        <v>400</v>
      </c>
      <c r="E2" t="s">
        <v>471</v>
      </c>
      <c r="F2" t="s">
        <v>485</v>
      </c>
      <c r="H2" t="s">
        <v>486</v>
      </c>
      <c r="I2" t="s">
        <v>487</v>
      </c>
      <c r="J2" t="s">
        <v>488</v>
      </c>
      <c r="L2" t="s">
        <v>489</v>
      </c>
      <c r="AA2" s="13"/>
    </row>
    <row r="3" spans="2:33" x14ac:dyDescent="0.4">
      <c r="B3" t="s">
        <v>429</v>
      </c>
      <c r="E3">
        <v>715</v>
      </c>
      <c r="F3">
        <v>160</v>
      </c>
      <c r="H3" t="s">
        <v>397</v>
      </c>
      <c r="I3" t="s">
        <v>397</v>
      </c>
      <c r="J3" t="s">
        <v>395</v>
      </c>
      <c r="L3" t="s">
        <v>418</v>
      </c>
      <c r="AA3" s="13"/>
    </row>
    <row r="4" spans="2:33" x14ac:dyDescent="0.4">
      <c r="B4" t="s">
        <v>420</v>
      </c>
      <c r="E4">
        <v>1010</v>
      </c>
      <c r="F4">
        <v>215</v>
      </c>
      <c r="I4" t="s">
        <v>395</v>
      </c>
      <c r="L4" t="s">
        <v>417</v>
      </c>
      <c r="AA4" s="13">
        <v>39671</v>
      </c>
      <c r="AD4" t="s">
        <v>626</v>
      </c>
      <c r="AF4">
        <v>1</v>
      </c>
      <c r="AG4">
        <v>45</v>
      </c>
    </row>
    <row r="5" spans="2:33" x14ac:dyDescent="0.4">
      <c r="B5" t="s">
        <v>424</v>
      </c>
      <c r="E5">
        <v>1210</v>
      </c>
      <c r="F5">
        <v>275</v>
      </c>
      <c r="X5" s="13">
        <v>40000</v>
      </c>
      <c r="AA5" s="13">
        <v>39678</v>
      </c>
      <c r="AD5" s="22">
        <v>9094268</v>
      </c>
      <c r="AF5">
        <v>2</v>
      </c>
      <c r="AG5">
        <v>43</v>
      </c>
    </row>
    <row r="6" spans="2:33" x14ac:dyDescent="0.4">
      <c r="B6" t="s">
        <v>428</v>
      </c>
      <c r="X6" s="13">
        <v>40007</v>
      </c>
      <c r="AA6" s="13">
        <v>39685</v>
      </c>
      <c r="AD6" s="22">
        <v>9094096</v>
      </c>
      <c r="AF6">
        <v>3</v>
      </c>
      <c r="AG6">
        <v>45</v>
      </c>
    </row>
    <row r="7" spans="2:33" x14ac:dyDescent="0.4">
      <c r="X7" s="13">
        <v>40014</v>
      </c>
      <c r="AA7" s="13">
        <v>39692</v>
      </c>
      <c r="AD7" s="22">
        <v>9094261</v>
      </c>
      <c r="AF7">
        <v>4</v>
      </c>
      <c r="AG7">
        <v>44</v>
      </c>
    </row>
    <row r="8" spans="2:33" x14ac:dyDescent="0.4">
      <c r="E8" s="17" t="s">
        <v>490</v>
      </c>
      <c r="F8" s="18" t="s">
        <v>508</v>
      </c>
      <c r="H8" t="s">
        <v>491</v>
      </c>
      <c r="I8" t="s">
        <v>492</v>
      </c>
      <c r="K8" t="s">
        <v>493</v>
      </c>
      <c r="L8" t="s">
        <v>494</v>
      </c>
      <c r="M8" s="17" t="s">
        <v>509</v>
      </c>
      <c r="P8" t="s">
        <v>29</v>
      </c>
      <c r="Q8" t="s">
        <v>542</v>
      </c>
      <c r="S8" t="s">
        <v>1989</v>
      </c>
      <c r="X8" s="13">
        <v>40021</v>
      </c>
      <c r="AA8" s="13">
        <v>39699</v>
      </c>
      <c r="AD8" s="22">
        <v>9094263</v>
      </c>
      <c r="AF8">
        <v>5</v>
      </c>
      <c r="AG8">
        <v>45</v>
      </c>
    </row>
    <row r="9" spans="2:33" x14ac:dyDescent="0.4">
      <c r="E9" s="17" t="s">
        <v>400</v>
      </c>
      <c r="F9" s="17" t="s">
        <v>429</v>
      </c>
      <c r="H9" s="7" t="s">
        <v>425</v>
      </c>
      <c r="I9" s="4" t="s">
        <v>421</v>
      </c>
      <c r="K9" s="7">
        <v>31</v>
      </c>
      <c r="L9">
        <v>48</v>
      </c>
      <c r="M9" s="8">
        <v>36</v>
      </c>
      <c r="P9" t="str">
        <f>"&lt;&gt;"&amp;Q9</f>
        <v>&lt;&gt;Bates</v>
      </c>
      <c r="Q9" s="2" t="s">
        <v>410</v>
      </c>
      <c r="X9" s="13">
        <v>40028</v>
      </c>
      <c r="AA9" s="13">
        <v>39706</v>
      </c>
      <c r="AD9" s="22">
        <v>9094382</v>
      </c>
      <c r="AF9">
        <v>6</v>
      </c>
      <c r="AG9">
        <v>44</v>
      </c>
    </row>
    <row r="10" spans="2:33" x14ac:dyDescent="0.4">
      <c r="E10" s="17"/>
      <c r="F10" s="17" t="s">
        <v>400</v>
      </c>
      <c r="H10" s="4" t="s">
        <v>421</v>
      </c>
      <c r="I10" s="7" t="s">
        <v>425</v>
      </c>
      <c r="K10" s="4">
        <v>36</v>
      </c>
      <c r="M10" s="8">
        <v>42</v>
      </c>
      <c r="P10" t="str">
        <f t="shared" ref="P10:P18" si="0">"&lt;&gt;"&amp;Q10</f>
        <v>&lt;&gt;Flatt</v>
      </c>
      <c r="Q10" s="36" t="s">
        <v>549</v>
      </c>
      <c r="X10" s="13">
        <v>40035</v>
      </c>
      <c r="AA10" s="13">
        <v>39713</v>
      </c>
      <c r="AD10" s="22">
        <v>9094383</v>
      </c>
      <c r="AF10">
        <v>7</v>
      </c>
      <c r="AG10">
        <v>45</v>
      </c>
    </row>
    <row r="11" spans="2:33" x14ac:dyDescent="0.4">
      <c r="H11" s="1">
        <v>90</v>
      </c>
      <c r="K11" s="4">
        <v>42</v>
      </c>
      <c r="M11" s="8">
        <v>48</v>
      </c>
      <c r="P11" t="str">
        <f t="shared" si="0"/>
        <v>&lt;&gt;Hatley</v>
      </c>
      <c r="Q11" s="3" t="s">
        <v>1760</v>
      </c>
      <c r="X11" s="13">
        <v>40042</v>
      </c>
      <c r="AA11" s="13">
        <v>39720</v>
      </c>
      <c r="AD11" s="22">
        <v>9094385</v>
      </c>
      <c r="AF11">
        <v>8</v>
      </c>
      <c r="AG11">
        <v>45</v>
      </c>
    </row>
    <row r="12" spans="2:33" x14ac:dyDescent="0.4">
      <c r="H12" s="4">
        <v>88</v>
      </c>
      <c r="K12" s="4">
        <v>48</v>
      </c>
      <c r="P12" t="str">
        <f t="shared" si="0"/>
        <v>&lt;&gt;Miller</v>
      </c>
      <c r="Q12" s="20" t="s">
        <v>674</v>
      </c>
      <c r="X12" s="13">
        <v>40049</v>
      </c>
      <c r="AA12" s="13">
        <v>39727</v>
      </c>
      <c r="AD12" s="22">
        <v>9094386</v>
      </c>
      <c r="AF12">
        <v>9</v>
      </c>
      <c r="AG12">
        <v>44</v>
      </c>
    </row>
    <row r="13" spans="2:33" x14ac:dyDescent="0.4">
      <c r="H13" s="4" t="s">
        <v>452</v>
      </c>
      <c r="P13" t="str">
        <f t="shared" si="0"/>
        <v>&lt;&gt;Nielsen</v>
      </c>
      <c r="Q13" s="109" t="s">
        <v>524</v>
      </c>
      <c r="X13" s="13">
        <v>40056</v>
      </c>
      <c r="AA13" s="13">
        <v>39734</v>
      </c>
      <c r="AD13" s="22">
        <v>9094387</v>
      </c>
      <c r="AF13">
        <v>10</v>
      </c>
      <c r="AG13">
        <v>45</v>
      </c>
    </row>
    <row r="14" spans="2:33" x14ac:dyDescent="0.4">
      <c r="H14" s="3">
        <v>96</v>
      </c>
      <c r="P14" t="str">
        <f t="shared" si="0"/>
        <v>&lt;&gt;Nowakowski</v>
      </c>
      <c r="Q14" s="2" t="s">
        <v>411</v>
      </c>
      <c r="X14" s="13">
        <v>40063</v>
      </c>
      <c r="AA14" s="13">
        <v>39741</v>
      </c>
      <c r="AF14">
        <v>11</v>
      </c>
      <c r="AG14">
        <v>44</v>
      </c>
    </row>
    <row r="15" spans="2:33" x14ac:dyDescent="0.4">
      <c r="B15" t="s">
        <v>500</v>
      </c>
      <c r="D15" t="s">
        <v>499</v>
      </c>
      <c r="F15" t="s">
        <v>495</v>
      </c>
      <c r="H15" s="8" t="s">
        <v>453</v>
      </c>
      <c r="I15" s="8" t="s">
        <v>496</v>
      </c>
      <c r="K15" t="s">
        <v>497</v>
      </c>
      <c r="M15" t="s">
        <v>498</v>
      </c>
      <c r="O15" t="s">
        <v>501</v>
      </c>
      <c r="P15" t="str">
        <f t="shared" si="0"/>
        <v>&lt;&gt;Payne</v>
      </c>
      <c r="Q15" s="2" t="s">
        <v>550</v>
      </c>
      <c r="T15" s="4">
        <v>9094027</v>
      </c>
      <c r="X15" s="13">
        <v>40070</v>
      </c>
      <c r="AA15" s="13">
        <v>39748</v>
      </c>
      <c r="AF15">
        <v>12</v>
      </c>
      <c r="AG15">
        <v>45</v>
      </c>
    </row>
    <row r="16" spans="2:33" x14ac:dyDescent="0.4">
      <c r="B16" s="7" t="s">
        <v>459</v>
      </c>
      <c r="D16" s="7" t="s">
        <v>457</v>
      </c>
      <c r="F16" t="s">
        <v>404</v>
      </c>
      <c r="H16" s="4">
        <v>5000</v>
      </c>
      <c r="I16" s="4" t="s">
        <v>407</v>
      </c>
      <c r="K16" s="7" t="s">
        <v>455</v>
      </c>
      <c r="M16" s="4">
        <v>200</v>
      </c>
      <c r="O16" s="7" t="s">
        <v>413</v>
      </c>
      <c r="P16" t="str">
        <f t="shared" si="0"/>
        <v>&lt;&gt;Peterson</v>
      </c>
      <c r="Q16" s="20" t="s">
        <v>412</v>
      </c>
      <c r="T16" s="4">
        <v>9094028</v>
      </c>
      <c r="X16" s="13">
        <v>40077</v>
      </c>
      <c r="AA16" s="13">
        <v>39755</v>
      </c>
    </row>
    <row r="17" spans="2:33" x14ac:dyDescent="0.4">
      <c r="B17" s="4" t="s">
        <v>460</v>
      </c>
      <c r="D17" s="4" t="s">
        <v>458</v>
      </c>
      <c r="F17" t="s">
        <v>406</v>
      </c>
      <c r="H17" s="4" t="s">
        <v>430</v>
      </c>
      <c r="I17" s="4" t="s">
        <v>518</v>
      </c>
      <c r="K17" s="4" t="s">
        <v>456</v>
      </c>
      <c r="M17" s="4">
        <v>300</v>
      </c>
      <c r="O17" s="4" t="s">
        <v>416</v>
      </c>
      <c r="P17" t="str">
        <f t="shared" si="0"/>
        <v>&lt;&gt;Rech</v>
      </c>
      <c r="Q17" s="109" t="s">
        <v>2129</v>
      </c>
      <c r="R17" s="13">
        <v>39706</v>
      </c>
      <c r="T17" s="4">
        <v>9094041</v>
      </c>
      <c r="X17" s="13">
        <v>40084</v>
      </c>
      <c r="AA17" s="13">
        <v>39762</v>
      </c>
    </row>
    <row r="18" spans="2:33" x14ac:dyDescent="0.4">
      <c r="B18" s="4" t="s">
        <v>406</v>
      </c>
      <c r="D18" s="11" t="s">
        <v>526</v>
      </c>
      <c r="H18" s="4" t="s">
        <v>454</v>
      </c>
      <c r="I18" s="4" t="s">
        <v>408</v>
      </c>
      <c r="K18" s="4"/>
      <c r="M18" s="4" t="s">
        <v>406</v>
      </c>
      <c r="O18" s="4" t="s">
        <v>414</v>
      </c>
      <c r="P18" t="str">
        <f t="shared" si="0"/>
        <v>&lt;&gt;Thompson</v>
      </c>
      <c r="Q18" s="32" t="s">
        <v>1367</v>
      </c>
      <c r="R18" s="13">
        <v>39736</v>
      </c>
      <c r="T18" s="4">
        <v>9094119</v>
      </c>
      <c r="X18" s="13">
        <v>40091</v>
      </c>
      <c r="AA18" s="13">
        <v>39769</v>
      </c>
      <c r="AG18" s="13"/>
    </row>
    <row r="19" spans="2:33" x14ac:dyDescent="0.4">
      <c r="D19" s="4" t="s">
        <v>406</v>
      </c>
      <c r="H19" s="4" t="s">
        <v>406</v>
      </c>
      <c r="I19" s="4" t="s">
        <v>406</v>
      </c>
      <c r="O19" s="4" t="s">
        <v>406</v>
      </c>
      <c r="R19" s="13">
        <v>39797</v>
      </c>
      <c r="T19" s="4">
        <v>9094031</v>
      </c>
      <c r="X19" s="13">
        <v>40098</v>
      </c>
      <c r="AA19" s="13">
        <v>39776</v>
      </c>
      <c r="AG19" s="13"/>
    </row>
    <row r="20" spans="2:33" x14ac:dyDescent="0.4">
      <c r="B20" t="s">
        <v>502</v>
      </c>
      <c r="D20" t="s">
        <v>503</v>
      </c>
      <c r="E20" t="s">
        <v>505</v>
      </c>
      <c r="F20" t="s">
        <v>504</v>
      </c>
      <c r="R20" s="13">
        <v>39828</v>
      </c>
      <c r="T20" s="4">
        <v>9094032</v>
      </c>
      <c r="X20" s="13">
        <v>40105</v>
      </c>
      <c r="AA20" s="13">
        <v>39783</v>
      </c>
    </row>
    <row r="21" spans="2:33" x14ac:dyDescent="0.4">
      <c r="B21" s="4">
        <v>3</v>
      </c>
      <c r="D21">
        <v>750</v>
      </c>
      <c r="E21">
        <v>850</v>
      </c>
      <c r="F21">
        <v>1200</v>
      </c>
      <c r="R21" s="13">
        <v>39859</v>
      </c>
      <c r="T21" s="4">
        <v>9094037</v>
      </c>
      <c r="X21" s="13">
        <v>40112</v>
      </c>
      <c r="AA21" s="13">
        <v>39790</v>
      </c>
    </row>
    <row r="22" spans="2:33" x14ac:dyDescent="0.4">
      <c r="B22" s="4">
        <v>5</v>
      </c>
      <c r="E22">
        <v>1000</v>
      </c>
      <c r="R22" s="13">
        <v>39887</v>
      </c>
      <c r="T22" s="4">
        <v>9094038</v>
      </c>
      <c r="X22" s="13">
        <v>40119</v>
      </c>
      <c r="AA22" s="13">
        <v>39797</v>
      </c>
    </row>
    <row r="23" spans="2:33" x14ac:dyDescent="0.4">
      <c r="B23" s="4" t="s">
        <v>406</v>
      </c>
      <c r="R23" s="13">
        <v>39918</v>
      </c>
      <c r="T23" s="4">
        <v>9094039</v>
      </c>
      <c r="X23" s="13">
        <v>40126</v>
      </c>
      <c r="AA23" s="13">
        <v>39804</v>
      </c>
    </row>
    <row r="24" spans="2:33" x14ac:dyDescent="0.4">
      <c r="R24" s="13">
        <v>39948</v>
      </c>
      <c r="T24" s="4">
        <v>9094040</v>
      </c>
      <c r="X24" s="13">
        <v>40133</v>
      </c>
      <c r="AA24" s="13">
        <v>39811</v>
      </c>
    </row>
    <row r="25" spans="2:33" x14ac:dyDescent="0.4">
      <c r="R25" s="13">
        <v>39979</v>
      </c>
      <c r="T25" s="4">
        <v>9094044</v>
      </c>
      <c r="X25" s="13">
        <v>40140</v>
      </c>
      <c r="AA25" s="13">
        <v>39818</v>
      </c>
    </row>
    <row r="26" spans="2:33" x14ac:dyDescent="0.4">
      <c r="D26" t="s">
        <v>510</v>
      </c>
      <c r="F26" t="s">
        <v>511</v>
      </c>
      <c r="H26" t="s">
        <v>512</v>
      </c>
      <c r="J26" t="s">
        <v>514</v>
      </c>
      <c r="L26" t="s">
        <v>513</v>
      </c>
      <c r="N26" t="s">
        <v>399</v>
      </c>
      <c r="R26" s="13">
        <v>40009</v>
      </c>
      <c r="T26" s="4">
        <v>9094045</v>
      </c>
      <c r="X26" s="13">
        <v>40147</v>
      </c>
      <c r="AA26" s="13">
        <v>39825</v>
      </c>
    </row>
    <row r="27" spans="2:33" x14ac:dyDescent="0.4">
      <c r="D27" s="7">
        <v>28</v>
      </c>
      <c r="F27" s="7" t="s">
        <v>462</v>
      </c>
      <c r="H27" s="7">
        <v>28</v>
      </c>
      <c r="J27" s="4" t="s">
        <v>534</v>
      </c>
      <c r="L27" s="12">
        <v>60</v>
      </c>
      <c r="N27" s="4">
        <v>15</v>
      </c>
      <c r="T27" s="4">
        <v>9094046</v>
      </c>
      <c r="X27" s="13">
        <v>40154</v>
      </c>
      <c r="AA27" s="13">
        <v>39832</v>
      </c>
    </row>
    <row r="28" spans="2:33" x14ac:dyDescent="0.4">
      <c r="D28" s="4">
        <v>38</v>
      </c>
      <c r="F28" s="4" t="s">
        <v>463</v>
      </c>
      <c r="H28" s="4">
        <v>38</v>
      </c>
      <c r="J28" s="4" t="s">
        <v>406</v>
      </c>
      <c r="L28" s="12">
        <v>80</v>
      </c>
      <c r="N28" s="4">
        <v>20</v>
      </c>
      <c r="T28" s="4">
        <v>9094059</v>
      </c>
      <c r="X28" s="13">
        <v>40161</v>
      </c>
      <c r="AA28" s="13">
        <v>39839</v>
      </c>
    </row>
    <row r="29" spans="2:33" x14ac:dyDescent="0.4">
      <c r="D29" s="4" t="s">
        <v>461</v>
      </c>
      <c r="F29" s="4" t="s">
        <v>535</v>
      </c>
      <c r="H29" s="4" t="s">
        <v>406</v>
      </c>
      <c r="J29" s="4"/>
      <c r="L29" s="12">
        <v>90</v>
      </c>
      <c r="N29" s="4">
        <v>30</v>
      </c>
      <c r="T29" s="4">
        <v>9094042</v>
      </c>
      <c r="X29" s="13">
        <v>40168</v>
      </c>
      <c r="AA29" s="13">
        <v>39846</v>
      </c>
    </row>
    <row r="30" spans="2:33" x14ac:dyDescent="0.4">
      <c r="D30" s="4" t="s">
        <v>466</v>
      </c>
      <c r="F30" s="4" t="s">
        <v>536</v>
      </c>
      <c r="L30" s="15">
        <v>100</v>
      </c>
      <c r="X30" s="13">
        <v>40175</v>
      </c>
      <c r="AA30" s="13">
        <v>39853</v>
      </c>
    </row>
    <row r="31" spans="2:33" x14ac:dyDescent="0.4">
      <c r="F31" s="4" t="s">
        <v>464</v>
      </c>
      <c r="H31" t="s">
        <v>521</v>
      </c>
      <c r="J31" t="s">
        <v>525</v>
      </c>
      <c r="L31" s="12" t="s">
        <v>396</v>
      </c>
      <c r="X31" s="13">
        <v>40182</v>
      </c>
      <c r="AA31" s="13">
        <v>39860</v>
      </c>
    </row>
    <row r="32" spans="2:33" x14ac:dyDescent="0.4">
      <c r="F32" s="4" t="s">
        <v>465</v>
      </c>
      <c r="H32" s="4">
        <v>38</v>
      </c>
      <c r="J32" s="7" t="s">
        <v>467</v>
      </c>
      <c r="L32" s="12" t="s">
        <v>398</v>
      </c>
      <c r="X32" s="13">
        <v>40189</v>
      </c>
      <c r="AA32" s="13">
        <v>39867</v>
      </c>
    </row>
    <row r="33" spans="2:27" x14ac:dyDescent="0.4">
      <c r="B33" s="1" t="s">
        <v>515</v>
      </c>
      <c r="H33" s="4" t="s">
        <v>461</v>
      </c>
      <c r="J33" s="4" t="s">
        <v>406</v>
      </c>
      <c r="L33" s="12" t="s">
        <v>415</v>
      </c>
      <c r="X33" s="13">
        <v>40196</v>
      </c>
      <c r="AA33" s="13">
        <v>39874</v>
      </c>
    </row>
    <row r="34" spans="2:27" x14ac:dyDescent="0.4">
      <c r="B34" s="16" t="s">
        <v>516</v>
      </c>
      <c r="H34" s="4" t="s">
        <v>466</v>
      </c>
      <c r="X34" s="13">
        <v>40203</v>
      </c>
      <c r="AA34" s="13">
        <v>39881</v>
      </c>
    </row>
    <row r="35" spans="2:27" x14ac:dyDescent="0.4">
      <c r="B35" s="1" t="s">
        <v>517</v>
      </c>
      <c r="E35" t="s">
        <v>519</v>
      </c>
      <c r="F35" s="4" t="s">
        <v>520</v>
      </c>
      <c r="X35" s="13">
        <v>40210</v>
      </c>
      <c r="AA35" s="13">
        <v>39888</v>
      </c>
    </row>
    <row r="36" spans="2:27" x14ac:dyDescent="0.4">
      <c r="B36" s="4" t="s">
        <v>426</v>
      </c>
      <c r="E36" t="s">
        <v>404</v>
      </c>
      <c r="F36" s="4" t="s">
        <v>406</v>
      </c>
      <c r="X36" s="13">
        <v>40217</v>
      </c>
      <c r="AA36" s="13">
        <v>39895</v>
      </c>
    </row>
    <row r="37" spans="2:27" x14ac:dyDescent="0.4">
      <c r="M37" t="s">
        <v>507</v>
      </c>
      <c r="X37" s="13">
        <v>40224</v>
      </c>
      <c r="AA37" s="13">
        <v>39902</v>
      </c>
    </row>
    <row r="38" spans="2:27" x14ac:dyDescent="0.4">
      <c r="C38" t="s">
        <v>522</v>
      </c>
      <c r="D38" t="s">
        <v>523</v>
      </c>
      <c r="M38" t="s">
        <v>527</v>
      </c>
      <c r="X38" s="13">
        <v>40231</v>
      </c>
      <c r="AA38" s="13">
        <v>39909</v>
      </c>
    </row>
    <row r="39" spans="2:27" x14ac:dyDescent="0.4">
      <c r="C39" s="16" t="s">
        <v>516</v>
      </c>
      <c r="D39" s="16" t="s">
        <v>516</v>
      </c>
      <c r="M39" s="1" t="s">
        <v>528</v>
      </c>
      <c r="Q39" t="s">
        <v>1884</v>
      </c>
      <c r="X39" s="13">
        <v>40238</v>
      </c>
      <c r="AA39" s="13">
        <v>39916</v>
      </c>
    </row>
    <row r="40" spans="2:27" x14ac:dyDescent="0.4">
      <c r="C40" s="1" t="s">
        <v>517</v>
      </c>
      <c r="D40" s="4" t="s">
        <v>426</v>
      </c>
      <c r="M40" s="1" t="s">
        <v>529</v>
      </c>
      <c r="Q40" s="13">
        <v>40360</v>
      </c>
      <c r="X40" s="13">
        <v>40245</v>
      </c>
      <c r="AA40" s="13">
        <v>39923</v>
      </c>
    </row>
    <row r="41" spans="2:27" x14ac:dyDescent="0.4">
      <c r="M41" s="1" t="s">
        <v>530</v>
      </c>
      <c r="X41" s="13">
        <v>40252</v>
      </c>
      <c r="AA41" s="13">
        <v>39930</v>
      </c>
    </row>
    <row r="42" spans="2:27" x14ac:dyDescent="0.4">
      <c r="M42" s="1" t="s">
        <v>531</v>
      </c>
      <c r="Q42" t="s">
        <v>297</v>
      </c>
      <c r="X42" s="13">
        <v>40259</v>
      </c>
      <c r="AA42" s="13">
        <v>39937</v>
      </c>
    </row>
    <row r="43" spans="2:27" x14ac:dyDescent="0.4">
      <c r="M43" s="1" t="s">
        <v>422</v>
      </c>
      <c r="Q43" s="13">
        <v>40725</v>
      </c>
      <c r="X43" s="13">
        <v>40266</v>
      </c>
      <c r="AA43" s="13">
        <v>39944</v>
      </c>
    </row>
    <row r="44" spans="2:27" x14ac:dyDescent="0.4">
      <c r="M44" s="1" t="s">
        <v>392</v>
      </c>
      <c r="X44" s="13">
        <v>40273</v>
      </c>
      <c r="AA44" s="13">
        <v>39951</v>
      </c>
    </row>
    <row r="45" spans="2:27" x14ac:dyDescent="0.4">
      <c r="M45" s="1" t="s">
        <v>393</v>
      </c>
      <c r="X45" s="13">
        <v>40280</v>
      </c>
      <c r="AA45" s="13">
        <v>39958</v>
      </c>
    </row>
    <row r="46" spans="2:27" x14ac:dyDescent="0.4">
      <c r="M46" s="1" t="s">
        <v>532</v>
      </c>
      <c r="X46" s="13">
        <v>40287</v>
      </c>
      <c r="AA46" s="13">
        <v>39965</v>
      </c>
    </row>
    <row r="47" spans="2:27" x14ac:dyDescent="0.4">
      <c r="M47" s="1" t="s">
        <v>533</v>
      </c>
      <c r="X47" s="13">
        <v>40294</v>
      </c>
      <c r="AA47" s="13">
        <v>39972</v>
      </c>
    </row>
    <row r="48" spans="2:27" x14ac:dyDescent="0.4">
      <c r="X48" s="13">
        <v>40301</v>
      </c>
      <c r="AA48" s="13">
        <v>39979</v>
      </c>
    </row>
    <row r="49" spans="24:27" x14ac:dyDescent="0.4">
      <c r="X49" s="13">
        <v>40308</v>
      </c>
      <c r="AA49" s="13">
        <v>39986</v>
      </c>
    </row>
    <row r="50" spans="24:27" x14ac:dyDescent="0.4">
      <c r="X50" s="13">
        <v>40315</v>
      </c>
      <c r="AA50" s="13">
        <v>39993</v>
      </c>
    </row>
    <row r="51" spans="24:27" x14ac:dyDescent="0.4">
      <c r="X51" s="13">
        <v>40322</v>
      </c>
      <c r="AA51" s="13">
        <v>40000</v>
      </c>
    </row>
    <row r="52" spans="24:27" x14ac:dyDescent="0.4">
      <c r="X52" s="13">
        <v>40329</v>
      </c>
      <c r="AA52" s="13">
        <v>40007</v>
      </c>
    </row>
    <row r="53" spans="24:27" x14ac:dyDescent="0.4">
      <c r="X53" s="13">
        <v>40336</v>
      </c>
      <c r="AA53" s="13">
        <v>40014</v>
      </c>
    </row>
    <row r="54" spans="24:27" x14ac:dyDescent="0.4">
      <c r="X54" s="13">
        <v>40343</v>
      </c>
      <c r="AA54" s="13">
        <v>40021</v>
      </c>
    </row>
    <row r="55" spans="24:27" x14ac:dyDescent="0.4">
      <c r="X55" s="13">
        <v>40350</v>
      </c>
      <c r="AA55" s="13">
        <v>40028</v>
      </c>
    </row>
    <row r="56" spans="24:27" x14ac:dyDescent="0.4">
      <c r="X56" s="13">
        <v>40357</v>
      </c>
      <c r="AA56" s="13">
        <v>40035</v>
      </c>
    </row>
    <row r="57" spans="24:27" x14ac:dyDescent="0.4">
      <c r="X57" s="13">
        <v>40364</v>
      </c>
      <c r="AA57" s="13">
        <v>40042</v>
      </c>
    </row>
    <row r="58" spans="24:27" x14ac:dyDescent="0.4">
      <c r="X58" s="13">
        <v>40371</v>
      </c>
      <c r="AA58" s="13">
        <v>40049</v>
      </c>
    </row>
    <row r="59" spans="24:27" x14ac:dyDescent="0.4">
      <c r="X59" s="13">
        <v>40378</v>
      </c>
      <c r="AA59" s="13">
        <v>40056</v>
      </c>
    </row>
    <row r="60" spans="24:27" x14ac:dyDescent="0.4">
      <c r="X60" s="13">
        <v>40385</v>
      </c>
      <c r="AA60" s="13">
        <v>40063</v>
      </c>
    </row>
    <row r="61" spans="24:27" x14ac:dyDescent="0.4">
      <c r="X61" s="13">
        <v>40392</v>
      </c>
      <c r="AA61" s="13">
        <v>40070</v>
      </c>
    </row>
    <row r="62" spans="24:27" x14ac:dyDescent="0.4">
      <c r="X62" s="13">
        <v>40399</v>
      </c>
      <c r="AA62" s="13">
        <v>40077</v>
      </c>
    </row>
    <row r="63" spans="24:27" x14ac:dyDescent="0.4">
      <c r="X63" s="13">
        <v>40406</v>
      </c>
      <c r="AA63" s="13">
        <v>40084</v>
      </c>
    </row>
    <row r="64" spans="24:27" x14ac:dyDescent="0.4">
      <c r="X64" s="13">
        <v>40413</v>
      </c>
      <c r="AA64" s="13">
        <v>40091</v>
      </c>
    </row>
    <row r="65" spans="24:27" x14ac:dyDescent="0.4">
      <c r="X65" s="13">
        <v>40420</v>
      </c>
      <c r="AA65" s="13">
        <v>40098</v>
      </c>
    </row>
    <row r="66" spans="24:27" x14ac:dyDescent="0.4">
      <c r="X66" s="13">
        <v>40427</v>
      </c>
      <c r="AA66" s="13">
        <v>40105</v>
      </c>
    </row>
    <row r="67" spans="24:27" x14ac:dyDescent="0.4">
      <c r="X67" s="13">
        <v>40434</v>
      </c>
      <c r="AA67" s="13">
        <v>40112</v>
      </c>
    </row>
    <row r="68" spans="24:27" x14ac:dyDescent="0.4">
      <c r="X68" s="13">
        <v>40441</v>
      </c>
      <c r="AA68" s="13">
        <v>40119</v>
      </c>
    </row>
    <row r="69" spans="24:27" x14ac:dyDescent="0.4">
      <c r="X69" s="13">
        <v>40448</v>
      </c>
      <c r="AA69" s="13">
        <v>40126</v>
      </c>
    </row>
    <row r="70" spans="24:27" x14ac:dyDescent="0.4">
      <c r="X70" s="13">
        <v>40455</v>
      </c>
      <c r="AA70" s="13">
        <v>40133</v>
      </c>
    </row>
    <row r="71" spans="24:27" x14ac:dyDescent="0.4">
      <c r="X71" s="13">
        <v>40462</v>
      </c>
      <c r="AA71" s="13">
        <v>40140</v>
      </c>
    </row>
    <row r="72" spans="24:27" x14ac:dyDescent="0.4">
      <c r="X72" s="13">
        <v>40469</v>
      </c>
      <c r="AA72" s="13">
        <v>40147</v>
      </c>
    </row>
    <row r="73" spans="24:27" x14ac:dyDescent="0.4">
      <c r="X73" s="13">
        <v>40476</v>
      </c>
      <c r="AA73" s="13">
        <v>40154</v>
      </c>
    </row>
    <row r="74" spans="24:27" x14ac:dyDescent="0.4">
      <c r="X74" s="13">
        <v>40483</v>
      </c>
      <c r="AA74" s="13">
        <v>40161</v>
      </c>
    </row>
    <row r="75" spans="24:27" x14ac:dyDescent="0.4">
      <c r="X75" s="13">
        <v>40490</v>
      </c>
      <c r="AA75" s="13">
        <v>40168</v>
      </c>
    </row>
    <row r="76" spans="24:27" x14ac:dyDescent="0.4">
      <c r="X76" s="13">
        <v>40497</v>
      </c>
      <c r="AA76" s="13">
        <v>40175</v>
      </c>
    </row>
    <row r="77" spans="24:27" x14ac:dyDescent="0.4">
      <c r="X77" s="13">
        <v>40504</v>
      </c>
      <c r="AA77" s="13">
        <v>40182</v>
      </c>
    </row>
    <row r="78" spans="24:27" x14ac:dyDescent="0.4">
      <c r="X78" s="13">
        <v>40511</v>
      </c>
      <c r="AA78" s="13">
        <v>40189</v>
      </c>
    </row>
    <row r="79" spans="24:27" x14ac:dyDescent="0.4">
      <c r="X79" s="13">
        <v>40518</v>
      </c>
      <c r="AA79" s="13">
        <v>40196</v>
      </c>
    </row>
    <row r="80" spans="24:27" x14ac:dyDescent="0.4">
      <c r="X80" s="13">
        <v>40525</v>
      </c>
      <c r="AA80" s="13">
        <v>40203</v>
      </c>
    </row>
    <row r="81" spans="24:27" x14ac:dyDescent="0.4">
      <c r="X81" s="13">
        <v>40532</v>
      </c>
      <c r="AA81" s="13">
        <v>40210</v>
      </c>
    </row>
    <row r="82" spans="24:27" x14ac:dyDescent="0.4">
      <c r="X82" s="13">
        <v>40539</v>
      </c>
      <c r="AA82" s="13">
        <v>40217</v>
      </c>
    </row>
    <row r="83" spans="24:27" x14ac:dyDescent="0.4">
      <c r="X83" s="13">
        <v>40546</v>
      </c>
      <c r="AA83" s="13">
        <v>40224</v>
      </c>
    </row>
    <row r="84" spans="24:27" x14ac:dyDescent="0.4">
      <c r="X84" s="13">
        <v>40553</v>
      </c>
      <c r="AA84" s="13">
        <v>40231</v>
      </c>
    </row>
    <row r="85" spans="24:27" x14ac:dyDescent="0.4">
      <c r="X85" s="13">
        <v>40560</v>
      </c>
      <c r="AA85" s="13">
        <v>40238</v>
      </c>
    </row>
    <row r="86" spans="24:27" x14ac:dyDescent="0.4">
      <c r="X86" s="13">
        <v>40567</v>
      </c>
      <c r="AA86" s="13">
        <v>40245</v>
      </c>
    </row>
    <row r="87" spans="24:27" x14ac:dyDescent="0.4">
      <c r="X87" s="13">
        <v>40574</v>
      </c>
      <c r="AA87" s="13">
        <v>40252</v>
      </c>
    </row>
    <row r="88" spans="24:27" x14ac:dyDescent="0.4">
      <c r="X88" s="13">
        <v>40581</v>
      </c>
      <c r="AA88" s="13">
        <v>40259</v>
      </c>
    </row>
    <row r="89" spans="24:27" x14ac:dyDescent="0.4">
      <c r="X89" s="13">
        <v>40588</v>
      </c>
      <c r="AA89" s="13">
        <v>40266</v>
      </c>
    </row>
    <row r="90" spans="24:27" x14ac:dyDescent="0.4">
      <c r="X90" s="13">
        <v>40595</v>
      </c>
      <c r="AA90" s="13">
        <v>40273</v>
      </c>
    </row>
    <row r="91" spans="24:27" x14ac:dyDescent="0.4">
      <c r="X91" s="13">
        <v>40602</v>
      </c>
      <c r="AA91" s="13">
        <v>40280</v>
      </c>
    </row>
    <row r="92" spans="24:27" x14ac:dyDescent="0.4">
      <c r="X92" s="13">
        <v>40609</v>
      </c>
      <c r="AA92" s="13">
        <v>40287</v>
      </c>
    </row>
    <row r="93" spans="24:27" x14ac:dyDescent="0.4">
      <c r="X93" s="13">
        <v>40616</v>
      </c>
      <c r="AA93" s="13">
        <v>40294</v>
      </c>
    </row>
    <row r="94" spans="24:27" x14ac:dyDescent="0.4">
      <c r="X94" s="13">
        <v>40623</v>
      </c>
      <c r="AA94" s="13">
        <v>40301</v>
      </c>
    </row>
    <row r="95" spans="24:27" x14ac:dyDescent="0.4">
      <c r="X95" s="13">
        <v>40630</v>
      </c>
      <c r="AA95" s="13">
        <v>40308</v>
      </c>
    </row>
    <row r="96" spans="24:27" x14ac:dyDescent="0.4">
      <c r="X96" s="13">
        <v>40637</v>
      </c>
      <c r="AA96" s="13">
        <v>40315</v>
      </c>
    </row>
    <row r="97" spans="24:27" x14ac:dyDescent="0.4">
      <c r="X97" s="13">
        <v>40644</v>
      </c>
      <c r="AA97" s="13">
        <v>40322</v>
      </c>
    </row>
    <row r="98" spans="24:27" x14ac:dyDescent="0.4">
      <c r="X98" s="13">
        <v>40651</v>
      </c>
      <c r="AA98" s="13">
        <v>40329</v>
      </c>
    </row>
    <row r="99" spans="24:27" x14ac:dyDescent="0.4">
      <c r="X99" s="13">
        <v>40658</v>
      </c>
      <c r="AA99" s="13">
        <v>40336</v>
      </c>
    </row>
    <row r="100" spans="24:27" x14ac:dyDescent="0.4">
      <c r="X100" s="13">
        <v>40665</v>
      </c>
      <c r="AA100" s="13">
        <v>40343</v>
      </c>
    </row>
    <row r="101" spans="24:27" x14ac:dyDescent="0.4">
      <c r="X101" s="13">
        <v>40672</v>
      </c>
      <c r="AA101" s="13">
        <v>40350</v>
      </c>
    </row>
    <row r="102" spans="24:27" x14ac:dyDescent="0.4">
      <c r="X102" s="13">
        <v>40679</v>
      </c>
      <c r="AA102" s="13">
        <v>40357</v>
      </c>
    </row>
    <row r="103" spans="24:27" x14ac:dyDescent="0.4">
      <c r="X103" s="13">
        <v>40686</v>
      </c>
      <c r="AA103" s="13">
        <v>40364</v>
      </c>
    </row>
    <row r="104" spans="24:27" x14ac:dyDescent="0.4">
      <c r="X104" s="13">
        <v>40693</v>
      </c>
      <c r="AA104" s="13">
        <v>40371</v>
      </c>
    </row>
    <row r="105" spans="24:27" x14ac:dyDescent="0.4">
      <c r="X105" s="13">
        <v>40700</v>
      </c>
      <c r="AA105" s="13">
        <v>40378</v>
      </c>
    </row>
    <row r="106" spans="24:27" x14ac:dyDescent="0.4">
      <c r="X106" s="13">
        <v>40707</v>
      </c>
      <c r="AA106" s="13">
        <v>40385</v>
      </c>
    </row>
    <row r="107" spans="24:27" x14ac:dyDescent="0.4">
      <c r="X107" s="13">
        <v>40714</v>
      </c>
      <c r="AA107" s="13">
        <v>40392</v>
      </c>
    </row>
    <row r="108" spans="24:27" x14ac:dyDescent="0.4">
      <c r="X108" s="13">
        <v>40721</v>
      </c>
      <c r="AA108" s="13">
        <v>40399</v>
      </c>
    </row>
    <row r="109" spans="24:27" x14ac:dyDescent="0.4">
      <c r="X109" s="13">
        <v>40728</v>
      </c>
      <c r="AA109" s="13">
        <v>40406</v>
      </c>
    </row>
    <row r="110" spans="24:27" x14ac:dyDescent="0.4">
      <c r="X110" s="13">
        <v>40735</v>
      </c>
      <c r="AA110" s="13">
        <v>40413</v>
      </c>
    </row>
    <row r="111" spans="24:27" x14ac:dyDescent="0.4">
      <c r="X111" s="13">
        <v>40742</v>
      </c>
      <c r="AA111" s="13">
        <v>40420</v>
      </c>
    </row>
    <row r="112" spans="24:27" x14ac:dyDescent="0.4">
      <c r="X112" s="13">
        <v>40749</v>
      </c>
      <c r="AA112" s="13">
        <v>40427</v>
      </c>
    </row>
    <row r="113" spans="24:27" x14ac:dyDescent="0.4">
      <c r="X113" s="13">
        <v>40756</v>
      </c>
      <c r="AA113" s="13">
        <v>40434</v>
      </c>
    </row>
    <row r="114" spans="24:27" x14ac:dyDescent="0.4">
      <c r="X114" s="13">
        <v>40763</v>
      </c>
      <c r="AA114" s="13">
        <v>40441</v>
      </c>
    </row>
    <row r="115" spans="24:27" x14ac:dyDescent="0.4">
      <c r="X115" s="13">
        <v>40770</v>
      </c>
      <c r="AA115" s="13">
        <v>40448</v>
      </c>
    </row>
    <row r="116" spans="24:27" x14ac:dyDescent="0.4">
      <c r="X116" s="13">
        <v>40777</v>
      </c>
      <c r="AA116" s="13">
        <v>40455</v>
      </c>
    </row>
    <row r="117" spans="24:27" x14ac:dyDescent="0.4">
      <c r="X117" s="13">
        <v>40784</v>
      </c>
      <c r="AA117" s="13">
        <v>40462</v>
      </c>
    </row>
    <row r="118" spans="24:27" x14ac:dyDescent="0.4">
      <c r="X118" s="13">
        <v>40791</v>
      </c>
      <c r="AA118" s="13">
        <v>40469</v>
      </c>
    </row>
    <row r="119" spans="24:27" x14ac:dyDescent="0.4">
      <c r="X119" s="13">
        <v>40798</v>
      </c>
      <c r="AA119" s="13">
        <v>40476</v>
      </c>
    </row>
    <row r="120" spans="24:27" x14ac:dyDescent="0.4">
      <c r="X120" s="13">
        <v>40805</v>
      </c>
      <c r="AA120" s="13">
        <v>40483</v>
      </c>
    </row>
    <row r="121" spans="24:27" x14ac:dyDescent="0.4">
      <c r="X121" s="13">
        <v>40812</v>
      </c>
      <c r="AA121" s="13">
        <v>40490</v>
      </c>
    </row>
    <row r="122" spans="24:27" x14ac:dyDescent="0.4">
      <c r="X122" s="13">
        <v>40819</v>
      </c>
      <c r="AA122" s="13">
        <v>40497</v>
      </c>
    </row>
    <row r="123" spans="24:27" x14ac:dyDescent="0.4">
      <c r="X123" s="13">
        <v>40826</v>
      </c>
      <c r="AA123" s="13">
        <v>40504</v>
      </c>
    </row>
    <row r="124" spans="24:27" x14ac:dyDescent="0.4">
      <c r="X124" s="13">
        <v>40833</v>
      </c>
      <c r="AA124" s="13">
        <v>40511</v>
      </c>
    </row>
    <row r="125" spans="24:27" x14ac:dyDescent="0.4">
      <c r="X125" s="13">
        <v>40840</v>
      </c>
      <c r="AA125" s="13">
        <v>40518</v>
      </c>
    </row>
    <row r="126" spans="24:27" x14ac:dyDescent="0.4">
      <c r="X126" s="13">
        <v>40847</v>
      </c>
      <c r="AA126" s="13">
        <v>40525</v>
      </c>
    </row>
    <row r="127" spans="24:27" x14ac:dyDescent="0.4">
      <c r="X127" s="13">
        <v>40854</v>
      </c>
      <c r="AA127" s="13">
        <v>40532</v>
      </c>
    </row>
    <row r="128" spans="24:27" x14ac:dyDescent="0.4">
      <c r="X128" s="13">
        <v>40861</v>
      </c>
      <c r="AA128" s="13">
        <v>40539</v>
      </c>
    </row>
    <row r="129" spans="24:27" x14ac:dyDescent="0.4">
      <c r="X129" s="13">
        <v>40868</v>
      </c>
      <c r="AA129" s="13">
        <v>40546</v>
      </c>
    </row>
    <row r="130" spans="24:27" x14ac:dyDescent="0.4">
      <c r="X130" s="13">
        <v>40875</v>
      </c>
      <c r="AA130" s="13">
        <v>40553</v>
      </c>
    </row>
    <row r="131" spans="24:27" x14ac:dyDescent="0.4">
      <c r="X131" s="13">
        <v>40882</v>
      </c>
      <c r="AA131" s="13">
        <v>40560</v>
      </c>
    </row>
    <row r="132" spans="24:27" x14ac:dyDescent="0.4">
      <c r="X132" s="13">
        <v>40889</v>
      </c>
      <c r="AA132" s="13">
        <v>40567</v>
      </c>
    </row>
    <row r="133" spans="24:27" x14ac:dyDescent="0.4">
      <c r="X133" s="13">
        <v>40896</v>
      </c>
      <c r="AA133" s="13">
        <v>40574</v>
      </c>
    </row>
    <row r="134" spans="24:27" x14ac:dyDescent="0.4">
      <c r="X134" s="13">
        <v>40903</v>
      </c>
      <c r="AA134" s="13">
        <v>40581</v>
      </c>
    </row>
    <row r="135" spans="24:27" x14ac:dyDescent="0.4">
      <c r="X135" s="13">
        <v>40910</v>
      </c>
      <c r="AA135" s="13">
        <v>40588</v>
      </c>
    </row>
    <row r="136" spans="24:27" x14ac:dyDescent="0.4">
      <c r="X136" s="13">
        <v>40917</v>
      </c>
      <c r="AA136" s="13">
        <v>40595</v>
      </c>
    </row>
    <row r="137" spans="24:27" x14ac:dyDescent="0.4">
      <c r="X137" s="13">
        <v>40924</v>
      </c>
      <c r="AA137" s="13">
        <v>40602</v>
      </c>
    </row>
    <row r="138" spans="24:27" x14ac:dyDescent="0.4">
      <c r="X138" s="13">
        <v>40931</v>
      </c>
      <c r="AA138" s="13">
        <v>40609</v>
      </c>
    </row>
    <row r="139" spans="24:27" x14ac:dyDescent="0.4">
      <c r="X139" s="13">
        <v>40938</v>
      </c>
      <c r="AA139" s="13">
        <v>40616</v>
      </c>
    </row>
    <row r="140" spans="24:27" x14ac:dyDescent="0.4">
      <c r="X140" s="13">
        <v>40945</v>
      </c>
      <c r="AA140" s="13">
        <v>40623</v>
      </c>
    </row>
    <row r="141" spans="24:27" x14ac:dyDescent="0.4">
      <c r="X141" s="13">
        <v>40952</v>
      </c>
      <c r="AA141" s="13">
        <v>40630</v>
      </c>
    </row>
    <row r="142" spans="24:27" x14ac:dyDescent="0.4">
      <c r="X142" s="13">
        <v>40959</v>
      </c>
      <c r="AA142" s="13">
        <v>40637</v>
      </c>
    </row>
    <row r="143" spans="24:27" x14ac:dyDescent="0.4">
      <c r="X143" s="13">
        <v>40966</v>
      </c>
      <c r="AA143" s="13">
        <v>40644</v>
      </c>
    </row>
    <row r="144" spans="24:27" x14ac:dyDescent="0.4">
      <c r="X144" s="13">
        <v>40973</v>
      </c>
      <c r="AA144" s="13">
        <v>40651</v>
      </c>
    </row>
    <row r="145" spans="24:27" x14ac:dyDescent="0.4">
      <c r="X145" s="13">
        <v>40980</v>
      </c>
      <c r="AA145" s="13">
        <v>40658</v>
      </c>
    </row>
    <row r="146" spans="24:27" x14ac:dyDescent="0.4">
      <c r="X146" s="13">
        <v>40987</v>
      </c>
      <c r="AA146" s="13">
        <v>40665</v>
      </c>
    </row>
    <row r="147" spans="24:27" x14ac:dyDescent="0.4">
      <c r="X147" s="13">
        <v>40994</v>
      </c>
      <c r="AA147" s="13">
        <v>40672</v>
      </c>
    </row>
    <row r="148" spans="24:27" x14ac:dyDescent="0.4">
      <c r="X148" s="13">
        <v>41001</v>
      </c>
      <c r="AA148" s="13">
        <v>40679</v>
      </c>
    </row>
    <row r="149" spans="24:27" x14ac:dyDescent="0.4">
      <c r="X149" s="13">
        <v>41008</v>
      </c>
      <c r="AA149" s="13">
        <v>40686</v>
      </c>
    </row>
    <row r="150" spans="24:27" x14ac:dyDescent="0.4">
      <c r="X150" s="13">
        <v>41015</v>
      </c>
      <c r="AA150" s="13">
        <v>40693</v>
      </c>
    </row>
    <row r="151" spans="24:27" x14ac:dyDescent="0.4">
      <c r="X151" s="13">
        <v>41022</v>
      </c>
      <c r="AA151" s="13">
        <v>40700</v>
      </c>
    </row>
    <row r="152" spans="24:27" x14ac:dyDescent="0.4">
      <c r="X152" s="13">
        <v>41029</v>
      </c>
      <c r="AA152" s="13">
        <v>40707</v>
      </c>
    </row>
    <row r="153" spans="24:27" x14ac:dyDescent="0.4">
      <c r="X153" s="13">
        <v>41036</v>
      </c>
      <c r="AA153" s="13">
        <v>40714</v>
      </c>
    </row>
    <row r="154" spans="24:27" x14ac:dyDescent="0.4">
      <c r="X154" s="13">
        <v>41043</v>
      </c>
      <c r="AA154" s="13">
        <v>40721</v>
      </c>
    </row>
    <row r="155" spans="24:27" x14ac:dyDescent="0.4">
      <c r="X155" s="13">
        <v>41050</v>
      </c>
      <c r="AA155" s="13">
        <v>40728</v>
      </c>
    </row>
    <row r="156" spans="24:27" x14ac:dyDescent="0.4">
      <c r="X156" s="13">
        <v>41057</v>
      </c>
      <c r="AA156" s="13">
        <v>40735</v>
      </c>
    </row>
    <row r="157" spans="24:27" x14ac:dyDescent="0.4">
      <c r="X157" s="13">
        <v>41064</v>
      </c>
      <c r="AA157" s="13">
        <v>40742</v>
      </c>
    </row>
    <row r="158" spans="24:27" x14ac:dyDescent="0.4">
      <c r="X158" s="13">
        <v>41071</v>
      </c>
      <c r="AA158" s="13">
        <v>40749</v>
      </c>
    </row>
    <row r="159" spans="24:27" x14ac:dyDescent="0.4">
      <c r="X159" s="13">
        <v>41078</v>
      </c>
      <c r="AA159" s="13">
        <v>40756</v>
      </c>
    </row>
    <row r="160" spans="24:27" x14ac:dyDescent="0.4">
      <c r="X160" s="13">
        <v>41085</v>
      </c>
      <c r="AA160" s="13">
        <v>40763</v>
      </c>
    </row>
    <row r="161" spans="24:27" x14ac:dyDescent="0.4">
      <c r="X161" s="13">
        <v>41092</v>
      </c>
      <c r="AA161" s="13">
        <v>40770</v>
      </c>
    </row>
    <row r="162" spans="24:27" x14ac:dyDescent="0.4">
      <c r="X162" s="13">
        <v>41099</v>
      </c>
      <c r="AA162" s="13">
        <v>40777</v>
      </c>
    </row>
    <row r="163" spans="24:27" x14ac:dyDescent="0.4">
      <c r="X163" s="13">
        <v>41106</v>
      </c>
      <c r="AA163" s="13">
        <v>40784</v>
      </c>
    </row>
    <row r="164" spans="24:27" x14ac:dyDescent="0.4">
      <c r="X164" s="13">
        <v>41113</v>
      </c>
      <c r="AA164" s="13">
        <v>40791</v>
      </c>
    </row>
    <row r="165" spans="24:27" x14ac:dyDescent="0.4">
      <c r="X165" s="13">
        <v>41120</v>
      </c>
      <c r="AA165" s="13">
        <v>40798</v>
      </c>
    </row>
    <row r="166" spans="24:27" x14ac:dyDescent="0.4">
      <c r="X166" s="13">
        <v>41127</v>
      </c>
      <c r="AA166" s="13">
        <v>40805</v>
      </c>
    </row>
    <row r="167" spans="24:27" x14ac:dyDescent="0.4">
      <c r="X167" s="13">
        <v>41134</v>
      </c>
      <c r="AA167" s="13">
        <v>40812</v>
      </c>
    </row>
    <row r="168" spans="24:27" x14ac:dyDescent="0.4">
      <c r="X168" s="13">
        <v>41141</v>
      </c>
      <c r="AA168" s="13">
        <v>40819</v>
      </c>
    </row>
    <row r="169" spans="24:27" x14ac:dyDescent="0.4">
      <c r="X169" s="13">
        <v>41148</v>
      </c>
      <c r="AA169" s="13">
        <v>40826</v>
      </c>
    </row>
    <row r="170" spans="24:27" x14ac:dyDescent="0.4">
      <c r="X170" s="13">
        <v>41155</v>
      </c>
      <c r="AA170" s="13">
        <v>40833</v>
      </c>
    </row>
    <row r="171" spans="24:27" x14ac:dyDescent="0.4">
      <c r="X171" s="13">
        <v>41162</v>
      </c>
      <c r="AA171" s="13">
        <v>40840</v>
      </c>
    </row>
    <row r="172" spans="24:27" x14ac:dyDescent="0.4">
      <c r="X172" s="13">
        <v>41169</v>
      </c>
      <c r="AA172" s="13">
        <v>40847</v>
      </c>
    </row>
    <row r="173" spans="24:27" x14ac:dyDescent="0.4">
      <c r="X173" s="13">
        <v>41176</v>
      </c>
      <c r="AA173" s="13">
        <v>40854</v>
      </c>
    </row>
    <row r="174" spans="24:27" x14ac:dyDescent="0.4">
      <c r="X174" s="13">
        <v>41183</v>
      </c>
      <c r="AA174" s="13">
        <v>40861</v>
      </c>
    </row>
    <row r="175" spans="24:27" x14ac:dyDescent="0.4">
      <c r="X175" s="13">
        <v>41190</v>
      </c>
      <c r="AA175" s="13">
        <v>40868</v>
      </c>
    </row>
    <row r="176" spans="24:27" x14ac:dyDescent="0.4">
      <c r="X176" s="13">
        <v>41197</v>
      </c>
      <c r="AA176" s="13">
        <v>40875</v>
      </c>
    </row>
    <row r="177" spans="24:27" x14ac:dyDescent="0.4">
      <c r="X177" s="13">
        <v>41204</v>
      </c>
      <c r="AA177" s="13">
        <v>40882</v>
      </c>
    </row>
    <row r="178" spans="24:27" x14ac:dyDescent="0.4">
      <c r="X178" s="13">
        <v>41211</v>
      </c>
      <c r="AA178" s="13">
        <v>40889</v>
      </c>
    </row>
    <row r="179" spans="24:27" x14ac:dyDescent="0.4">
      <c r="X179" s="13">
        <v>41218</v>
      </c>
      <c r="AA179" s="13">
        <v>40896</v>
      </c>
    </row>
    <row r="180" spans="24:27" x14ac:dyDescent="0.4">
      <c r="X180" s="13">
        <v>41225</v>
      </c>
      <c r="AA180" s="13">
        <v>40903</v>
      </c>
    </row>
    <row r="181" spans="24:27" x14ac:dyDescent="0.4">
      <c r="X181" s="13">
        <v>41232</v>
      </c>
      <c r="AA181" s="13">
        <v>40910</v>
      </c>
    </row>
    <row r="182" spans="24:27" x14ac:dyDescent="0.4">
      <c r="X182" s="13">
        <v>41239</v>
      </c>
      <c r="AA182" s="13">
        <v>40917</v>
      </c>
    </row>
    <row r="183" spans="24:27" x14ac:dyDescent="0.4">
      <c r="X183" s="13">
        <v>41246</v>
      </c>
      <c r="AA183" s="13">
        <v>40924</v>
      </c>
    </row>
    <row r="184" spans="24:27" x14ac:dyDescent="0.4">
      <c r="X184" s="13">
        <v>41253</v>
      </c>
      <c r="AA184" s="13">
        <v>40931</v>
      </c>
    </row>
    <row r="185" spans="24:27" x14ac:dyDescent="0.4">
      <c r="X185" s="13">
        <v>41260</v>
      </c>
      <c r="AA185" s="13">
        <v>40938</v>
      </c>
    </row>
    <row r="186" spans="24:27" x14ac:dyDescent="0.4">
      <c r="X186" s="13">
        <v>41267</v>
      </c>
      <c r="AA186" s="13">
        <v>40945</v>
      </c>
    </row>
    <row r="187" spans="24:27" x14ac:dyDescent="0.4">
      <c r="X187" s="13">
        <v>41274</v>
      </c>
      <c r="AA187" s="13">
        <v>40952</v>
      </c>
    </row>
    <row r="188" spans="24:27" x14ac:dyDescent="0.4">
      <c r="X188" s="13">
        <v>41281</v>
      </c>
      <c r="AA188" s="13">
        <v>40959</v>
      </c>
    </row>
    <row r="189" spans="24:27" x14ac:dyDescent="0.4">
      <c r="X189" s="13">
        <v>41288</v>
      </c>
      <c r="AA189" s="13">
        <v>40966</v>
      </c>
    </row>
    <row r="190" spans="24:27" x14ac:dyDescent="0.4">
      <c r="X190" s="13">
        <v>41295</v>
      </c>
      <c r="AA190" s="13">
        <v>40973</v>
      </c>
    </row>
    <row r="191" spans="24:27" x14ac:dyDescent="0.4">
      <c r="X191" s="13">
        <v>41302</v>
      </c>
      <c r="AA191" s="13">
        <v>40980</v>
      </c>
    </row>
    <row r="192" spans="24:27" x14ac:dyDescent="0.4">
      <c r="X192" s="13">
        <v>41309</v>
      </c>
      <c r="AA192" s="13">
        <v>40987</v>
      </c>
    </row>
    <row r="193" spans="24:27" x14ac:dyDescent="0.4">
      <c r="X193" s="13">
        <v>41316</v>
      </c>
      <c r="AA193" s="13">
        <v>40994</v>
      </c>
    </row>
    <row r="194" spans="24:27" x14ac:dyDescent="0.4">
      <c r="X194" s="13">
        <v>41323</v>
      </c>
      <c r="AA194" s="13">
        <v>41001</v>
      </c>
    </row>
    <row r="195" spans="24:27" x14ac:dyDescent="0.4">
      <c r="X195" s="13">
        <v>41330</v>
      </c>
      <c r="AA195" s="13">
        <v>41008</v>
      </c>
    </row>
    <row r="196" spans="24:27" x14ac:dyDescent="0.4">
      <c r="X196" s="13">
        <v>41337</v>
      </c>
      <c r="AA196" s="13">
        <v>41015</v>
      </c>
    </row>
    <row r="197" spans="24:27" x14ac:dyDescent="0.4">
      <c r="X197" s="13">
        <v>41344</v>
      </c>
      <c r="AA197" s="13">
        <v>41022</v>
      </c>
    </row>
    <row r="198" spans="24:27" x14ac:dyDescent="0.4">
      <c r="X198" s="13">
        <v>41351</v>
      </c>
      <c r="AA198" s="13">
        <v>41029</v>
      </c>
    </row>
    <row r="199" spans="24:27" x14ac:dyDescent="0.4">
      <c r="X199" s="13">
        <v>41358</v>
      </c>
      <c r="AA199" s="13">
        <v>41036</v>
      </c>
    </row>
    <row r="200" spans="24:27" x14ac:dyDescent="0.4">
      <c r="X200" s="13">
        <v>41365</v>
      </c>
      <c r="AA200" s="13">
        <v>41043</v>
      </c>
    </row>
    <row r="201" spans="24:27" x14ac:dyDescent="0.4">
      <c r="X201" s="13">
        <v>41372</v>
      </c>
      <c r="AA201" s="13">
        <v>41050</v>
      </c>
    </row>
    <row r="202" spans="24:27" x14ac:dyDescent="0.4">
      <c r="X202" s="13">
        <v>41379</v>
      </c>
      <c r="AA202" s="13">
        <v>41057</v>
      </c>
    </row>
    <row r="203" spans="24:27" x14ac:dyDescent="0.4">
      <c r="X203" s="13">
        <v>41386</v>
      </c>
      <c r="AA203" s="13">
        <v>41064</v>
      </c>
    </row>
    <row r="204" spans="24:27" x14ac:dyDescent="0.4">
      <c r="X204" s="13">
        <v>41393</v>
      </c>
      <c r="AA204" s="13">
        <v>41071</v>
      </c>
    </row>
    <row r="205" spans="24:27" x14ac:dyDescent="0.4">
      <c r="X205" s="13">
        <v>41400</v>
      </c>
      <c r="AA205" s="13">
        <v>41078</v>
      </c>
    </row>
    <row r="206" spans="24:27" x14ac:dyDescent="0.4">
      <c r="X206" s="13">
        <v>41407</v>
      </c>
      <c r="AA206" s="13">
        <v>41085</v>
      </c>
    </row>
    <row r="207" spans="24:27" x14ac:dyDescent="0.4">
      <c r="X207" s="13">
        <v>41414</v>
      </c>
      <c r="AA207" s="13">
        <v>41092</v>
      </c>
    </row>
    <row r="208" spans="24:27" x14ac:dyDescent="0.4">
      <c r="X208" s="13">
        <v>41421</v>
      </c>
      <c r="AA208" s="13">
        <v>41099</v>
      </c>
    </row>
    <row r="209" spans="24:27" x14ac:dyDescent="0.4">
      <c r="X209" s="13">
        <v>41428</v>
      </c>
      <c r="AA209" s="13">
        <v>41106</v>
      </c>
    </row>
    <row r="210" spans="24:27" x14ac:dyDescent="0.4">
      <c r="X210" s="13">
        <v>41435</v>
      </c>
      <c r="AA210" s="13">
        <v>41113</v>
      </c>
    </row>
    <row r="211" spans="24:27" x14ac:dyDescent="0.4">
      <c r="X211" s="13">
        <v>41442</v>
      </c>
      <c r="AA211" s="13">
        <v>41120</v>
      </c>
    </row>
    <row r="212" spans="24:27" x14ac:dyDescent="0.4">
      <c r="X212" s="13">
        <v>41449</v>
      </c>
      <c r="AA212" s="13">
        <v>41127</v>
      </c>
    </row>
    <row r="213" spans="24:27" x14ac:dyDescent="0.4">
      <c r="X213" s="13">
        <v>41456</v>
      </c>
      <c r="AA213" s="13">
        <v>41134</v>
      </c>
    </row>
    <row r="214" spans="24:27" x14ac:dyDescent="0.4">
      <c r="X214" s="13">
        <v>41463</v>
      </c>
      <c r="AA214" s="13">
        <v>41141</v>
      </c>
    </row>
    <row r="215" spans="24:27" x14ac:dyDescent="0.4">
      <c r="X215" s="13">
        <v>41470</v>
      </c>
      <c r="AA215" s="13">
        <v>41148</v>
      </c>
    </row>
    <row r="216" spans="24:27" x14ac:dyDescent="0.4">
      <c r="X216" s="13">
        <v>41477</v>
      </c>
      <c r="AA216" s="13">
        <v>41155</v>
      </c>
    </row>
    <row r="217" spans="24:27" x14ac:dyDescent="0.4">
      <c r="X217" s="13">
        <v>41484</v>
      </c>
      <c r="AA217" s="13">
        <v>41162</v>
      </c>
    </row>
    <row r="218" spans="24:27" x14ac:dyDescent="0.4">
      <c r="X218" s="13">
        <v>41491</v>
      </c>
      <c r="AA218" s="13">
        <v>41169</v>
      </c>
    </row>
    <row r="219" spans="24:27" x14ac:dyDescent="0.4">
      <c r="X219" s="13">
        <v>41498</v>
      </c>
      <c r="AA219" s="13">
        <v>41176</v>
      </c>
    </row>
    <row r="220" spans="24:27" x14ac:dyDescent="0.4">
      <c r="X220" s="13">
        <v>41505</v>
      </c>
      <c r="AA220" s="13">
        <v>41183</v>
      </c>
    </row>
    <row r="221" spans="24:27" x14ac:dyDescent="0.4">
      <c r="X221" s="13">
        <v>41512</v>
      </c>
      <c r="AA221" s="13">
        <v>41190</v>
      </c>
    </row>
    <row r="222" spans="24:27" x14ac:dyDescent="0.4">
      <c r="X222" s="13">
        <v>41519</v>
      </c>
      <c r="AA222" s="13">
        <v>41197</v>
      </c>
    </row>
    <row r="223" spans="24:27" x14ac:dyDescent="0.4">
      <c r="X223" s="13">
        <v>41526</v>
      </c>
      <c r="AA223" s="13">
        <v>41204</v>
      </c>
    </row>
    <row r="224" spans="24:27" x14ac:dyDescent="0.4">
      <c r="X224" s="13">
        <v>41533</v>
      </c>
      <c r="AA224" s="13">
        <v>41211</v>
      </c>
    </row>
    <row r="225" spans="24:27" x14ac:dyDescent="0.4">
      <c r="X225" s="13">
        <v>41540</v>
      </c>
      <c r="AA225" s="13">
        <v>41218</v>
      </c>
    </row>
    <row r="226" spans="24:27" x14ac:dyDescent="0.4">
      <c r="X226" s="13">
        <v>41547</v>
      </c>
      <c r="AA226" s="13">
        <v>41225</v>
      </c>
    </row>
    <row r="227" spans="24:27" x14ac:dyDescent="0.4">
      <c r="X227" s="13">
        <v>41554</v>
      </c>
      <c r="AA227" s="13">
        <v>41232</v>
      </c>
    </row>
    <row r="228" spans="24:27" x14ac:dyDescent="0.4">
      <c r="X228" s="13">
        <v>41561</v>
      </c>
      <c r="AA228" s="13">
        <v>41239</v>
      </c>
    </row>
    <row r="229" spans="24:27" x14ac:dyDescent="0.4">
      <c r="X229" s="13">
        <v>41568</v>
      </c>
      <c r="AA229" s="13">
        <v>41246</v>
      </c>
    </row>
    <row r="230" spans="24:27" x14ac:dyDescent="0.4">
      <c r="X230" s="13">
        <v>41575</v>
      </c>
      <c r="AA230" s="13">
        <v>41253</v>
      </c>
    </row>
    <row r="231" spans="24:27" x14ac:dyDescent="0.4">
      <c r="X231" s="13">
        <v>41582</v>
      </c>
      <c r="AA231" s="13">
        <v>41260</v>
      </c>
    </row>
    <row r="232" spans="24:27" x14ac:dyDescent="0.4">
      <c r="X232" s="13">
        <v>41589</v>
      </c>
      <c r="AA232" s="13">
        <v>41267</v>
      </c>
    </row>
    <row r="233" spans="24:27" x14ac:dyDescent="0.4">
      <c r="X233" s="13">
        <v>41596</v>
      </c>
      <c r="AA233" s="13">
        <v>41274</v>
      </c>
    </row>
    <row r="234" spans="24:27" x14ac:dyDescent="0.4">
      <c r="X234" s="13">
        <v>41603</v>
      </c>
      <c r="AA234" s="13">
        <v>41281</v>
      </c>
    </row>
    <row r="235" spans="24:27" x14ac:dyDescent="0.4">
      <c r="AA235" s="13">
        <v>41288</v>
      </c>
    </row>
    <row r="236" spans="24:27" x14ac:dyDescent="0.4">
      <c r="AA236" s="13">
        <v>41295</v>
      </c>
    </row>
    <row r="237" spans="24:27" x14ac:dyDescent="0.4">
      <c r="AA237" s="13">
        <v>41302</v>
      </c>
    </row>
    <row r="238" spans="24:27" x14ac:dyDescent="0.4">
      <c r="AA238" s="13">
        <v>41309</v>
      </c>
    </row>
    <row r="239" spans="24:27" x14ac:dyDescent="0.4">
      <c r="AA239" s="13">
        <v>41316</v>
      </c>
    </row>
    <row r="240" spans="24:27" x14ac:dyDescent="0.4">
      <c r="AA240" s="13">
        <v>41323</v>
      </c>
    </row>
    <row r="241" spans="27:27" x14ac:dyDescent="0.4">
      <c r="AA241" s="13">
        <v>41330</v>
      </c>
    </row>
    <row r="242" spans="27:27" x14ac:dyDescent="0.4">
      <c r="AA242" s="13">
        <v>41337</v>
      </c>
    </row>
    <row r="243" spans="27:27" x14ac:dyDescent="0.4">
      <c r="AA243" s="13">
        <v>41344</v>
      </c>
    </row>
    <row r="244" spans="27:27" x14ac:dyDescent="0.4">
      <c r="AA244" s="13">
        <v>41351</v>
      </c>
    </row>
    <row r="245" spans="27:27" x14ac:dyDescent="0.4">
      <c r="AA245" s="13">
        <v>41358</v>
      </c>
    </row>
  </sheetData>
  <phoneticPr fontId="0" type="noConversion"/>
  <conditionalFormatting sqref="AD5:AD13 Q10">
    <cfRule type="cellIs" dxfId="28" priority="1" stopIfTrue="1" operator="equal">
      <formula>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339966"/>
  </sheetPr>
  <dimension ref="A1:AL847"/>
  <sheetViews>
    <sheetView workbookViewId="0">
      <selection activeCell="D4" sqref="D4"/>
    </sheetView>
  </sheetViews>
  <sheetFormatPr defaultColWidth="9.1640625" defaultRowHeight="12.3" x14ac:dyDescent="0.4"/>
  <cols>
    <col min="1" max="1" width="11.27734375" style="3" bestFit="1" customWidth="1"/>
    <col min="2" max="2" width="18.44140625" style="3" bestFit="1" customWidth="1"/>
    <col min="3" max="3" width="9.1640625" style="3"/>
    <col min="4" max="4" width="23.1640625" style="3" bestFit="1" customWidth="1"/>
    <col min="5" max="5" width="8" style="3" bestFit="1" customWidth="1"/>
    <col min="6" max="6" width="6.27734375" style="3" bestFit="1" customWidth="1"/>
    <col min="7" max="7" width="27" style="3" bestFit="1" customWidth="1"/>
    <col min="8" max="8" width="18.71875" style="3" customWidth="1"/>
    <col min="9" max="9" width="17.5546875" style="3" bestFit="1" customWidth="1"/>
    <col min="10" max="10" width="18.71875" style="164" bestFit="1" customWidth="1"/>
    <col min="11" max="11" width="11.71875" style="3" bestFit="1" customWidth="1"/>
    <col min="12" max="12" width="16.27734375" style="3" bestFit="1" customWidth="1"/>
    <col min="13" max="13" width="17.83203125" style="3" bestFit="1" customWidth="1"/>
    <col min="14" max="14" width="12.71875" style="3" bestFit="1" customWidth="1"/>
    <col min="15" max="20" width="12.71875" style="3" customWidth="1"/>
    <col min="21" max="21" width="14.5546875" style="3" bestFit="1" customWidth="1"/>
    <col min="22" max="22" width="10.1640625" style="3" bestFit="1" customWidth="1"/>
    <col min="23" max="23" width="14.5546875" style="3" bestFit="1" customWidth="1"/>
    <col min="24" max="24" width="15.71875" style="3" bestFit="1" customWidth="1"/>
    <col min="25" max="25" width="8.5546875" style="3" bestFit="1" customWidth="1"/>
    <col min="26" max="26" width="13.44140625" style="3" bestFit="1" customWidth="1"/>
    <col min="27" max="27" width="14.71875" style="3" bestFit="1" customWidth="1"/>
    <col min="28" max="28" width="2.27734375" style="3" bestFit="1" customWidth="1"/>
    <col min="29" max="29" width="10.1640625" style="3" bestFit="1" customWidth="1"/>
    <col min="30" max="32" width="9.1640625" style="3"/>
    <col min="33" max="33" width="23.1640625" style="3" bestFit="1" customWidth="1"/>
    <col min="34" max="37" width="9.1640625" style="3"/>
    <col min="38" max="38" width="24.83203125" style="3" bestFit="1" customWidth="1"/>
    <col min="39" max="16384" width="9.1640625" style="3"/>
  </cols>
  <sheetData>
    <row r="1" spans="1:38" x14ac:dyDescent="0.4">
      <c r="A1" s="10" t="s">
        <v>409</v>
      </c>
      <c r="B1" s="10" t="s">
        <v>432</v>
      </c>
      <c r="C1" s="10" t="s">
        <v>419</v>
      </c>
      <c r="D1" s="10" t="s">
        <v>394</v>
      </c>
      <c r="E1" s="10" t="s">
        <v>405</v>
      </c>
      <c r="F1" s="10" t="s">
        <v>401</v>
      </c>
      <c r="G1" s="10" t="s">
        <v>433</v>
      </c>
      <c r="H1" s="10" t="s">
        <v>543</v>
      </c>
      <c r="I1" s="10" t="s">
        <v>603</v>
      </c>
      <c r="J1" s="41" t="s">
        <v>602</v>
      </c>
      <c r="K1" s="10" t="s">
        <v>427</v>
      </c>
      <c r="L1" s="41" t="s">
        <v>596</v>
      </c>
      <c r="M1" s="10" t="s">
        <v>546</v>
      </c>
    </row>
    <row r="2" spans="1:38" ht="24.6" x14ac:dyDescent="0.4">
      <c r="A2" s="195" t="s">
        <v>1319</v>
      </c>
      <c r="B2" s="195" t="s">
        <v>1320</v>
      </c>
      <c r="C2" s="195" t="s">
        <v>1321</v>
      </c>
      <c r="D2" s="195" t="s">
        <v>1322</v>
      </c>
      <c r="E2" s="195" t="s">
        <v>1323</v>
      </c>
      <c r="F2" s="195" t="s">
        <v>1324</v>
      </c>
      <c r="G2" s="195" t="s">
        <v>1325</v>
      </c>
      <c r="H2" s="195" t="s">
        <v>1326</v>
      </c>
      <c r="I2" s="195" t="s">
        <v>1327</v>
      </c>
      <c r="J2" s="195" t="s">
        <v>1328</v>
      </c>
      <c r="K2" s="195" t="s">
        <v>1329</v>
      </c>
      <c r="L2" s="195" t="s">
        <v>1330</v>
      </c>
      <c r="M2" s="195" t="s">
        <v>1331</v>
      </c>
      <c r="N2" s="195" t="s">
        <v>1693</v>
      </c>
      <c r="O2" s="196"/>
      <c r="P2" s="196"/>
      <c r="Q2" s="196"/>
      <c r="R2" s="196"/>
      <c r="S2" s="196"/>
      <c r="T2" s="196"/>
      <c r="U2" s="196"/>
      <c r="V2" s="196"/>
    </row>
    <row r="3" spans="1:38" x14ac:dyDescent="0.4">
      <c r="A3" s="24" t="s">
        <v>410</v>
      </c>
      <c r="B3" s="24">
        <v>39767</v>
      </c>
      <c r="C3" s="24">
        <v>39694</v>
      </c>
      <c r="D3" s="22" t="s">
        <v>555</v>
      </c>
      <c r="E3" s="22">
        <v>9094293</v>
      </c>
      <c r="F3" s="22">
        <v>1010</v>
      </c>
      <c r="G3" s="22" t="s">
        <v>686</v>
      </c>
      <c r="H3" s="55" t="s">
        <v>687</v>
      </c>
      <c r="I3" s="55" t="s">
        <v>404</v>
      </c>
      <c r="J3" s="93">
        <v>39787</v>
      </c>
      <c r="K3" s="55" t="s">
        <v>404</v>
      </c>
      <c r="L3" s="93">
        <v>39787</v>
      </c>
      <c r="M3" s="28">
        <v>39818</v>
      </c>
      <c r="N3" s="80">
        <f t="shared" ref="N3:N66" si="0">VLOOKUP(E3,PO_Dates2009,2,FALSE)</f>
        <v>39694</v>
      </c>
      <c r="O3" s="80"/>
      <c r="Q3" s="211"/>
      <c r="R3" s="80"/>
      <c r="S3" s="80"/>
      <c r="T3" s="80"/>
      <c r="U3" s="22">
        <v>9094293</v>
      </c>
      <c r="V3" s="80">
        <v>39773</v>
      </c>
      <c r="X3" s="4">
        <v>9094025</v>
      </c>
      <c r="Y3" s="2">
        <v>39706</v>
      </c>
      <c r="AA3" s="22">
        <v>9094293</v>
      </c>
      <c r="AB3" s="4" t="s">
        <v>404</v>
      </c>
      <c r="AC3" s="57">
        <v>39787</v>
      </c>
      <c r="AG3" s="3" t="s">
        <v>2147</v>
      </c>
      <c r="AH3" s="3" t="s">
        <v>2139</v>
      </c>
      <c r="AI3" s="3" t="s">
        <v>1742</v>
      </c>
      <c r="AJ3" s="3" t="s">
        <v>2146</v>
      </c>
    </row>
    <row r="4" spans="1:38" x14ac:dyDescent="0.4">
      <c r="A4" s="24" t="s">
        <v>410</v>
      </c>
      <c r="B4" s="24">
        <v>39903</v>
      </c>
      <c r="C4" s="24">
        <v>39703</v>
      </c>
      <c r="D4" s="22" t="s">
        <v>555</v>
      </c>
      <c r="E4" s="22">
        <v>9094464</v>
      </c>
      <c r="F4" s="22">
        <v>0</v>
      </c>
      <c r="G4" s="22" t="s">
        <v>688</v>
      </c>
      <c r="H4" s="55"/>
      <c r="I4" s="55" t="s">
        <v>404</v>
      </c>
      <c r="J4" s="93">
        <v>39907</v>
      </c>
      <c r="K4" s="55" t="s">
        <v>404</v>
      </c>
      <c r="L4" s="93">
        <v>39907</v>
      </c>
      <c r="M4" s="28">
        <v>39904</v>
      </c>
      <c r="N4" s="80">
        <f t="shared" si="0"/>
        <v>39703</v>
      </c>
      <c r="O4" s="80"/>
      <c r="Q4" s="211"/>
      <c r="R4" s="80"/>
      <c r="S4" s="80"/>
      <c r="T4" s="80"/>
      <c r="U4" s="22">
        <v>9094464</v>
      </c>
      <c r="V4" s="80">
        <v>39892</v>
      </c>
      <c r="X4" s="4">
        <v>9094023</v>
      </c>
      <c r="Y4" s="2">
        <v>39706</v>
      </c>
      <c r="AA4" s="22">
        <v>9094464</v>
      </c>
      <c r="AB4" s="4" t="s">
        <v>404</v>
      </c>
      <c r="AC4" s="57">
        <v>39907</v>
      </c>
      <c r="AG4" s="3" t="s">
        <v>555</v>
      </c>
      <c r="AH4" s="3">
        <v>4</v>
      </c>
      <c r="AI4" s="3">
        <v>4</v>
      </c>
      <c r="AJ4" s="3">
        <v>0</v>
      </c>
      <c r="AL4" s="31" t="s">
        <v>1397</v>
      </c>
    </row>
    <row r="5" spans="1:38" x14ac:dyDescent="0.4">
      <c r="A5" s="24" t="s">
        <v>410</v>
      </c>
      <c r="B5" s="24">
        <v>40132</v>
      </c>
      <c r="C5" s="24">
        <v>39668</v>
      </c>
      <c r="D5" s="22" t="s">
        <v>555</v>
      </c>
      <c r="E5" s="22">
        <v>9094104</v>
      </c>
      <c r="F5" s="22">
        <v>715</v>
      </c>
      <c r="G5" s="22" t="s">
        <v>689</v>
      </c>
      <c r="H5" s="55" t="s">
        <v>690</v>
      </c>
      <c r="I5" s="55" t="s">
        <v>404</v>
      </c>
      <c r="J5" s="93">
        <v>39713</v>
      </c>
      <c r="K5" s="55" t="s">
        <v>404</v>
      </c>
      <c r="L5" s="93">
        <v>39713</v>
      </c>
      <c r="M5" s="28">
        <v>39713</v>
      </c>
      <c r="N5" s="80">
        <f t="shared" si="0"/>
        <v>39668</v>
      </c>
      <c r="O5" s="80"/>
      <c r="Q5" s="211"/>
      <c r="R5" s="80"/>
      <c r="S5" s="80"/>
      <c r="T5" s="80"/>
      <c r="U5" s="22">
        <v>9094104</v>
      </c>
      <c r="V5" s="80">
        <v>39748</v>
      </c>
      <c r="X5" s="4">
        <v>9094026</v>
      </c>
      <c r="Y5" s="2">
        <v>39701</v>
      </c>
      <c r="AA5" s="22">
        <v>9094104</v>
      </c>
      <c r="AB5" s="4" t="s">
        <v>404</v>
      </c>
      <c r="AC5" s="57">
        <v>39713</v>
      </c>
      <c r="AG5" s="3" t="s">
        <v>627</v>
      </c>
      <c r="AH5" s="3">
        <v>2</v>
      </c>
      <c r="AI5" s="3">
        <v>0</v>
      </c>
      <c r="AJ5" s="3">
        <v>2</v>
      </c>
      <c r="AL5" s="31" t="s">
        <v>1705</v>
      </c>
    </row>
    <row r="6" spans="1:38" x14ac:dyDescent="0.4">
      <c r="A6" s="24" t="s">
        <v>410</v>
      </c>
      <c r="B6" s="24">
        <v>39706</v>
      </c>
      <c r="C6" s="24">
        <v>39672</v>
      </c>
      <c r="D6" s="22" t="s">
        <v>555</v>
      </c>
      <c r="E6" s="34">
        <v>9094103</v>
      </c>
      <c r="F6" s="22">
        <v>1010</v>
      </c>
      <c r="G6" s="22" t="s">
        <v>691</v>
      </c>
      <c r="H6" s="55" t="s">
        <v>692</v>
      </c>
      <c r="I6" s="55" t="s">
        <v>404</v>
      </c>
      <c r="J6" s="93">
        <v>39713</v>
      </c>
      <c r="K6" s="55" t="s">
        <v>404</v>
      </c>
      <c r="L6" s="93">
        <v>39713</v>
      </c>
      <c r="M6" s="28">
        <v>39713</v>
      </c>
      <c r="N6" s="80">
        <f t="shared" si="0"/>
        <v>39672</v>
      </c>
      <c r="O6" s="80"/>
      <c r="Q6" s="211"/>
      <c r="R6" s="80"/>
      <c r="S6" s="80"/>
      <c r="T6" s="80"/>
      <c r="U6" s="34">
        <v>9094103</v>
      </c>
      <c r="V6" s="80">
        <v>39727</v>
      </c>
      <c r="X6" s="4">
        <v>9094024</v>
      </c>
      <c r="Y6" s="2">
        <v>39700</v>
      </c>
      <c r="AA6" s="34">
        <v>9094103</v>
      </c>
      <c r="AB6" s="4" t="s">
        <v>404</v>
      </c>
      <c r="AC6" s="57">
        <v>39713</v>
      </c>
      <c r="AG6" s="197" t="s">
        <v>1453</v>
      </c>
      <c r="AH6" s="3">
        <v>4</v>
      </c>
      <c r="AI6" s="3">
        <v>1</v>
      </c>
      <c r="AJ6" s="3">
        <v>3</v>
      </c>
      <c r="AL6" s="31" t="s">
        <v>555</v>
      </c>
    </row>
    <row r="7" spans="1:38" x14ac:dyDescent="0.4">
      <c r="A7" s="24" t="s">
        <v>410</v>
      </c>
      <c r="B7" s="24">
        <v>39706</v>
      </c>
      <c r="C7" s="24">
        <v>39661</v>
      </c>
      <c r="D7" s="22" t="s">
        <v>558</v>
      </c>
      <c r="E7" s="34">
        <v>9094046</v>
      </c>
      <c r="F7" s="22">
        <v>715</v>
      </c>
      <c r="G7" s="22">
        <v>3</v>
      </c>
      <c r="H7" s="55" t="s">
        <v>693</v>
      </c>
      <c r="I7" s="55" t="s">
        <v>404</v>
      </c>
      <c r="J7" s="93">
        <v>39871</v>
      </c>
      <c r="K7" s="55" t="s">
        <v>404</v>
      </c>
      <c r="L7" s="93">
        <v>39903</v>
      </c>
      <c r="M7" s="28">
        <v>39794</v>
      </c>
      <c r="N7" s="80">
        <f t="shared" si="0"/>
        <v>39661</v>
      </c>
      <c r="O7" s="80"/>
      <c r="Q7" s="211"/>
      <c r="R7" s="80"/>
      <c r="S7" s="80"/>
      <c r="T7" s="80"/>
      <c r="U7" s="34">
        <v>9094046</v>
      </c>
      <c r="V7" s="80">
        <v>39708</v>
      </c>
      <c r="X7" s="4">
        <v>9094027</v>
      </c>
      <c r="Y7" s="2">
        <v>39685</v>
      </c>
      <c r="AA7" s="34">
        <v>9094046</v>
      </c>
      <c r="AB7" s="4" t="s">
        <v>404</v>
      </c>
      <c r="AC7" s="57">
        <v>39871</v>
      </c>
      <c r="AG7" s="3" t="s">
        <v>557</v>
      </c>
      <c r="AH7" s="3">
        <v>4</v>
      </c>
      <c r="AI7" s="3">
        <v>3</v>
      </c>
      <c r="AJ7" s="3">
        <v>1</v>
      </c>
      <c r="AL7" s="31" t="s">
        <v>557</v>
      </c>
    </row>
    <row r="8" spans="1:38" x14ac:dyDescent="0.4">
      <c r="A8" s="24" t="s">
        <v>410</v>
      </c>
      <c r="B8" s="24">
        <v>39736</v>
      </c>
      <c r="C8" s="24">
        <v>39661</v>
      </c>
      <c r="D8" s="22" t="s">
        <v>558</v>
      </c>
      <c r="E8" s="22">
        <v>9094119</v>
      </c>
      <c r="F8" s="22">
        <v>715</v>
      </c>
      <c r="G8" s="22">
        <v>1</v>
      </c>
      <c r="H8" s="55" t="s">
        <v>693</v>
      </c>
      <c r="I8" s="55" t="s">
        <v>404</v>
      </c>
      <c r="J8" s="93">
        <v>39871</v>
      </c>
      <c r="K8" s="55" t="s">
        <v>404</v>
      </c>
      <c r="L8" s="93">
        <v>39903</v>
      </c>
      <c r="M8" s="28">
        <v>39794</v>
      </c>
      <c r="N8" s="80">
        <f t="shared" si="0"/>
        <v>39661</v>
      </c>
      <c r="O8" s="80"/>
      <c r="Q8" s="211"/>
      <c r="R8" s="80"/>
      <c r="S8" s="80"/>
      <c r="T8" s="80"/>
      <c r="U8" s="22">
        <v>9094119</v>
      </c>
      <c r="V8" s="80">
        <v>39706</v>
      </c>
      <c r="X8" s="4">
        <v>9094028</v>
      </c>
      <c r="Y8" s="2">
        <v>39660</v>
      </c>
      <c r="AA8" s="22">
        <v>9094119</v>
      </c>
      <c r="AB8" s="4" t="s">
        <v>404</v>
      </c>
      <c r="AC8" s="57">
        <v>39871</v>
      </c>
      <c r="AG8" s="3" t="s">
        <v>558</v>
      </c>
      <c r="AH8" s="3">
        <v>5</v>
      </c>
      <c r="AI8" s="3">
        <v>2</v>
      </c>
      <c r="AJ8" s="3">
        <v>3</v>
      </c>
      <c r="AL8" s="31" t="s">
        <v>558</v>
      </c>
    </row>
    <row r="9" spans="1:38" x14ac:dyDescent="0.4">
      <c r="A9" s="24" t="s">
        <v>410</v>
      </c>
      <c r="B9" s="24">
        <v>39736</v>
      </c>
      <c r="C9" s="24">
        <v>39682</v>
      </c>
      <c r="D9" s="22" t="s">
        <v>558</v>
      </c>
      <c r="E9" s="22">
        <v>9094415</v>
      </c>
      <c r="F9" s="22">
        <v>715</v>
      </c>
      <c r="G9" s="22">
        <v>8</v>
      </c>
      <c r="H9" s="55"/>
      <c r="I9" s="55" t="s">
        <v>406</v>
      </c>
      <c r="J9" s="55"/>
      <c r="K9" s="55" t="s">
        <v>406</v>
      </c>
      <c r="L9" s="55"/>
      <c r="M9" s="28">
        <v>39828</v>
      </c>
      <c r="N9" s="80">
        <f t="shared" si="0"/>
        <v>39682</v>
      </c>
      <c r="O9" s="80"/>
      <c r="Q9" s="211"/>
      <c r="R9" s="80"/>
      <c r="S9" s="80"/>
      <c r="T9" s="80"/>
      <c r="U9" s="22">
        <v>9094415</v>
      </c>
      <c r="V9" s="80">
        <v>39813</v>
      </c>
      <c r="X9" s="4">
        <v>9094041</v>
      </c>
      <c r="Y9" s="2">
        <v>39675</v>
      </c>
      <c r="AA9" s="22">
        <v>9094415</v>
      </c>
      <c r="AB9" s="4" t="s">
        <v>404</v>
      </c>
      <c r="AC9" s="59">
        <v>40506</v>
      </c>
      <c r="AG9" s="3" t="s">
        <v>559</v>
      </c>
      <c r="AH9" s="3">
        <v>4</v>
      </c>
      <c r="AI9" s="3">
        <v>4</v>
      </c>
      <c r="AJ9" s="3">
        <v>0</v>
      </c>
      <c r="AL9" s="31" t="s">
        <v>560</v>
      </c>
    </row>
    <row r="10" spans="1:38" x14ac:dyDescent="0.4">
      <c r="A10" s="24" t="s">
        <v>410</v>
      </c>
      <c r="B10" s="24">
        <v>39706</v>
      </c>
      <c r="C10" s="24">
        <v>39682</v>
      </c>
      <c r="D10" s="22" t="s">
        <v>558</v>
      </c>
      <c r="E10" s="22">
        <v>9094412</v>
      </c>
      <c r="F10" s="22">
        <v>715</v>
      </c>
      <c r="G10" s="22">
        <v>5</v>
      </c>
      <c r="H10" s="55" t="s">
        <v>693</v>
      </c>
      <c r="I10" s="55" t="s">
        <v>406</v>
      </c>
      <c r="J10" s="55"/>
      <c r="K10" s="55" t="s">
        <v>406</v>
      </c>
      <c r="L10" s="55"/>
      <c r="M10" s="28">
        <v>39794</v>
      </c>
      <c r="N10" s="80">
        <f t="shared" si="0"/>
        <v>39682</v>
      </c>
      <c r="O10" s="80"/>
      <c r="Q10" s="211"/>
      <c r="R10" s="80"/>
      <c r="S10" s="80"/>
      <c r="T10" s="80"/>
      <c r="U10" s="22">
        <v>9094412</v>
      </c>
      <c r="V10" s="80">
        <v>39751</v>
      </c>
      <c r="X10" s="4">
        <v>9094119</v>
      </c>
      <c r="Y10" s="2">
        <v>39661</v>
      </c>
      <c r="AA10" s="22">
        <v>9094412</v>
      </c>
      <c r="AB10" s="4" t="s">
        <v>404</v>
      </c>
      <c r="AC10" s="57">
        <v>40558</v>
      </c>
      <c r="AG10" s="3" t="s">
        <v>560</v>
      </c>
      <c r="AH10" s="3">
        <v>4</v>
      </c>
      <c r="AI10" s="3">
        <v>3</v>
      </c>
      <c r="AJ10" s="3">
        <v>1</v>
      </c>
      <c r="AL10" s="31" t="s">
        <v>1452</v>
      </c>
    </row>
    <row r="11" spans="1:38" x14ac:dyDescent="0.4">
      <c r="A11" s="24" t="s">
        <v>410</v>
      </c>
      <c r="B11" s="24">
        <v>39706</v>
      </c>
      <c r="C11" s="24">
        <v>39661</v>
      </c>
      <c r="D11" s="22" t="s">
        <v>558</v>
      </c>
      <c r="E11" s="22">
        <v>9094047</v>
      </c>
      <c r="F11" s="22">
        <v>1010</v>
      </c>
      <c r="G11" s="22">
        <v>4</v>
      </c>
      <c r="H11" s="55" t="s">
        <v>693</v>
      </c>
      <c r="I11" s="55" t="s">
        <v>406</v>
      </c>
      <c r="J11" s="55"/>
      <c r="K11" s="55" t="s">
        <v>406</v>
      </c>
      <c r="L11" s="55"/>
      <c r="M11" s="28">
        <v>39794</v>
      </c>
      <c r="N11" s="80">
        <f t="shared" si="0"/>
        <v>39661</v>
      </c>
      <c r="O11" s="80"/>
      <c r="Q11" s="211"/>
      <c r="R11" s="80"/>
      <c r="S11" s="80"/>
      <c r="T11" s="80"/>
      <c r="U11" s="22">
        <v>9094047</v>
      </c>
      <c r="V11" s="80">
        <v>39751</v>
      </c>
      <c r="X11" s="4">
        <v>9094031</v>
      </c>
      <c r="Y11" s="2">
        <v>39664</v>
      </c>
      <c r="AA11" s="22">
        <v>9094047</v>
      </c>
      <c r="AB11" s="4" t="s">
        <v>404</v>
      </c>
      <c r="AC11" s="59">
        <v>40539</v>
      </c>
      <c r="AG11" s="3" t="s">
        <v>561</v>
      </c>
      <c r="AH11" s="3">
        <v>9</v>
      </c>
      <c r="AI11" s="3">
        <v>6</v>
      </c>
      <c r="AJ11" s="3">
        <v>3</v>
      </c>
      <c r="AL11" s="31" t="s">
        <v>1802</v>
      </c>
    </row>
    <row r="12" spans="1:38" x14ac:dyDescent="0.4">
      <c r="A12" s="24" t="s">
        <v>410</v>
      </c>
      <c r="B12" s="24">
        <v>39706</v>
      </c>
      <c r="C12" s="24">
        <v>39659</v>
      </c>
      <c r="D12" s="22" t="s">
        <v>559</v>
      </c>
      <c r="E12" s="22">
        <v>9094059</v>
      </c>
      <c r="F12" s="22">
        <v>1010</v>
      </c>
      <c r="G12" s="22" t="s">
        <v>694</v>
      </c>
      <c r="H12" s="55" t="s">
        <v>695</v>
      </c>
      <c r="I12" s="55" t="s">
        <v>404</v>
      </c>
      <c r="J12" s="93">
        <v>39776</v>
      </c>
      <c r="K12" s="55" t="s">
        <v>404</v>
      </c>
      <c r="L12" s="93">
        <v>39778</v>
      </c>
      <c r="M12" s="28">
        <v>39706</v>
      </c>
      <c r="N12" s="80">
        <f t="shared" si="0"/>
        <v>39659</v>
      </c>
      <c r="O12" s="80"/>
      <c r="Q12" s="211"/>
      <c r="R12" s="80"/>
      <c r="S12" s="80"/>
      <c r="T12" s="80"/>
      <c r="U12" s="22">
        <v>9094059</v>
      </c>
      <c r="V12" s="80">
        <v>39708</v>
      </c>
      <c r="X12" s="4">
        <v>9094032</v>
      </c>
      <c r="Y12" s="2">
        <v>39664</v>
      </c>
      <c r="AA12" s="22">
        <v>9094059</v>
      </c>
      <c r="AB12" s="4" t="s">
        <v>404</v>
      </c>
      <c r="AC12" s="57">
        <v>39776</v>
      </c>
      <c r="AG12" s="3" t="s">
        <v>562</v>
      </c>
      <c r="AH12" s="3">
        <v>4</v>
      </c>
      <c r="AI12" s="3">
        <v>1</v>
      </c>
      <c r="AJ12" s="3">
        <v>3</v>
      </c>
      <c r="AL12" s="31" t="s">
        <v>1953</v>
      </c>
    </row>
    <row r="13" spans="1:38" x14ac:dyDescent="0.4">
      <c r="A13" s="24" t="s">
        <v>410</v>
      </c>
      <c r="B13" s="24">
        <v>39706</v>
      </c>
      <c r="C13" s="24">
        <v>39659</v>
      </c>
      <c r="D13" s="22" t="s">
        <v>559</v>
      </c>
      <c r="E13" s="22">
        <v>9094060</v>
      </c>
      <c r="F13" s="22">
        <v>1010</v>
      </c>
      <c r="G13" s="22" t="s">
        <v>696</v>
      </c>
      <c r="H13" s="55" t="s">
        <v>697</v>
      </c>
      <c r="I13" s="55" t="s">
        <v>404</v>
      </c>
      <c r="J13" s="93">
        <v>39839</v>
      </c>
      <c r="K13" s="55" t="s">
        <v>404</v>
      </c>
      <c r="L13" s="93">
        <v>39843</v>
      </c>
      <c r="M13" s="28">
        <v>39706</v>
      </c>
      <c r="N13" s="80">
        <f t="shared" si="0"/>
        <v>39659</v>
      </c>
      <c r="O13" s="80"/>
      <c r="Q13" s="211"/>
      <c r="R13" s="80"/>
      <c r="S13" s="80"/>
      <c r="T13" s="80"/>
      <c r="U13" s="22">
        <v>9094060</v>
      </c>
      <c r="V13" s="80">
        <v>39708</v>
      </c>
      <c r="X13" s="4">
        <v>9094037</v>
      </c>
      <c r="Y13" s="2">
        <v>39674</v>
      </c>
      <c r="AA13" s="22">
        <v>9094060</v>
      </c>
      <c r="AB13" s="4" t="s">
        <v>404</v>
      </c>
      <c r="AC13" s="57">
        <v>39839</v>
      </c>
      <c r="AG13" s="3" t="s">
        <v>563</v>
      </c>
      <c r="AH13" s="3">
        <v>12</v>
      </c>
      <c r="AI13" s="3">
        <v>10</v>
      </c>
      <c r="AJ13" s="3">
        <v>2</v>
      </c>
      <c r="AL13" s="31" t="s">
        <v>1377</v>
      </c>
    </row>
    <row r="14" spans="1:38" x14ac:dyDescent="0.4">
      <c r="A14" s="24" t="s">
        <v>410</v>
      </c>
      <c r="B14" s="24">
        <v>39736</v>
      </c>
      <c r="C14" s="24">
        <v>39659</v>
      </c>
      <c r="D14" s="22" t="s">
        <v>559</v>
      </c>
      <c r="E14" s="22">
        <v>9094127</v>
      </c>
      <c r="F14" s="22">
        <v>1010</v>
      </c>
      <c r="G14" s="22" t="s">
        <v>698</v>
      </c>
      <c r="H14" s="55" t="s">
        <v>697</v>
      </c>
      <c r="I14" s="55" t="s">
        <v>404</v>
      </c>
      <c r="J14" s="93">
        <v>39864</v>
      </c>
      <c r="K14" s="55" t="s">
        <v>404</v>
      </c>
      <c r="L14" s="93">
        <v>39891</v>
      </c>
      <c r="M14" s="28">
        <v>39706</v>
      </c>
      <c r="N14" s="80">
        <f t="shared" si="0"/>
        <v>39659</v>
      </c>
      <c r="O14" s="80"/>
      <c r="Q14" s="211"/>
      <c r="R14" s="80"/>
      <c r="S14" s="80"/>
      <c r="T14" s="80"/>
      <c r="U14" s="22">
        <v>9094127</v>
      </c>
      <c r="V14" s="80">
        <v>39715</v>
      </c>
      <c r="X14" s="4">
        <v>9094038</v>
      </c>
      <c r="Y14" s="2">
        <v>39675</v>
      </c>
      <c r="AA14" s="22">
        <v>9094127</v>
      </c>
      <c r="AB14" s="4" t="s">
        <v>404</v>
      </c>
      <c r="AC14" s="57">
        <v>39864</v>
      </c>
      <c r="AG14" s="3" t="s">
        <v>564</v>
      </c>
      <c r="AH14" s="3">
        <v>3</v>
      </c>
      <c r="AI14" s="3">
        <v>3</v>
      </c>
      <c r="AJ14" s="3">
        <v>0</v>
      </c>
      <c r="AL14" s="31" t="s">
        <v>562</v>
      </c>
    </row>
    <row r="15" spans="1:38" x14ac:dyDescent="0.4">
      <c r="A15" s="24" t="s">
        <v>410</v>
      </c>
      <c r="B15" s="24">
        <v>39736</v>
      </c>
      <c r="C15" s="24">
        <v>39659</v>
      </c>
      <c r="D15" s="22" t="s">
        <v>559</v>
      </c>
      <c r="E15" s="22">
        <v>9094128</v>
      </c>
      <c r="F15" s="22">
        <v>1010</v>
      </c>
      <c r="G15" s="22" t="s">
        <v>699</v>
      </c>
      <c r="H15" s="55" t="s">
        <v>697</v>
      </c>
      <c r="I15" s="55" t="s">
        <v>404</v>
      </c>
      <c r="J15" s="93">
        <v>39871</v>
      </c>
      <c r="K15" s="55" t="s">
        <v>404</v>
      </c>
      <c r="L15" s="93">
        <v>39891</v>
      </c>
      <c r="M15" s="28">
        <v>39706</v>
      </c>
      <c r="N15" s="80">
        <f t="shared" si="0"/>
        <v>39659</v>
      </c>
      <c r="O15" s="80"/>
      <c r="Q15" s="211"/>
      <c r="R15" s="80"/>
      <c r="S15" s="80"/>
      <c r="T15" s="80"/>
      <c r="U15" s="22">
        <v>9094128</v>
      </c>
      <c r="V15" s="80">
        <v>39715</v>
      </c>
      <c r="X15" s="4">
        <v>9094039</v>
      </c>
      <c r="Y15" s="2">
        <v>39674</v>
      </c>
      <c r="AA15" s="22">
        <v>9094128</v>
      </c>
      <c r="AB15" s="4" t="s">
        <v>404</v>
      </c>
      <c r="AC15" s="57">
        <v>39871</v>
      </c>
      <c r="AG15" s="3" t="s">
        <v>565</v>
      </c>
      <c r="AH15" s="3">
        <v>0</v>
      </c>
      <c r="AI15" s="3">
        <v>0</v>
      </c>
      <c r="AJ15" s="3">
        <v>0</v>
      </c>
      <c r="AL15" s="31" t="s">
        <v>1727</v>
      </c>
    </row>
    <row r="16" spans="1:38" x14ac:dyDescent="0.4">
      <c r="A16" s="24" t="s">
        <v>410</v>
      </c>
      <c r="B16" s="24">
        <v>0</v>
      </c>
      <c r="C16" s="24">
        <v>0</v>
      </c>
      <c r="D16" s="22" t="s">
        <v>560</v>
      </c>
      <c r="E16" s="22">
        <v>9094026</v>
      </c>
      <c r="F16" s="22">
        <v>1210</v>
      </c>
      <c r="G16" s="22" t="s">
        <v>700</v>
      </c>
      <c r="H16" s="55"/>
      <c r="I16" s="55" t="s">
        <v>404</v>
      </c>
      <c r="J16" s="71">
        <v>39839</v>
      </c>
      <c r="K16" s="55" t="s">
        <v>404</v>
      </c>
      <c r="L16" s="71">
        <v>39839</v>
      </c>
      <c r="M16" s="28">
        <v>39707</v>
      </c>
      <c r="N16" s="80">
        <f t="shared" si="0"/>
        <v>39701</v>
      </c>
      <c r="O16" s="80"/>
      <c r="Q16" s="211"/>
      <c r="R16" s="80"/>
      <c r="S16" s="80"/>
      <c r="T16" s="80"/>
      <c r="U16" s="22">
        <v>9094026</v>
      </c>
      <c r="V16" s="80">
        <v>39702</v>
      </c>
      <c r="X16" s="4">
        <v>9094040</v>
      </c>
      <c r="Y16" s="2">
        <v>39665</v>
      </c>
      <c r="AA16" s="22">
        <v>9094026</v>
      </c>
      <c r="AB16" s="4" t="s">
        <v>404</v>
      </c>
      <c r="AC16" s="59">
        <v>39839</v>
      </c>
      <c r="AG16" s="3" t="s">
        <v>566</v>
      </c>
      <c r="AH16" s="3">
        <v>6</v>
      </c>
      <c r="AI16" s="3">
        <v>2</v>
      </c>
      <c r="AJ16" s="3">
        <v>4</v>
      </c>
      <c r="AL16" s="31" t="s">
        <v>563</v>
      </c>
    </row>
    <row r="17" spans="1:38" x14ac:dyDescent="0.4">
      <c r="A17" s="24" t="s">
        <v>410</v>
      </c>
      <c r="B17" s="24">
        <v>39767</v>
      </c>
      <c r="C17" s="24">
        <v>39672</v>
      </c>
      <c r="D17" s="22" t="s">
        <v>560</v>
      </c>
      <c r="E17" s="22">
        <v>9094061</v>
      </c>
      <c r="F17" s="22">
        <v>1010</v>
      </c>
      <c r="G17" s="22" t="s">
        <v>702</v>
      </c>
      <c r="H17" s="55"/>
      <c r="I17" s="55" t="s">
        <v>404</v>
      </c>
      <c r="J17" s="95">
        <v>39827</v>
      </c>
      <c r="K17" s="55" t="s">
        <v>404</v>
      </c>
      <c r="L17" s="95">
        <v>39827</v>
      </c>
      <c r="M17" s="28">
        <v>39707</v>
      </c>
      <c r="N17" s="80">
        <f t="shared" si="0"/>
        <v>39672</v>
      </c>
      <c r="O17" s="80"/>
      <c r="Q17" s="211"/>
      <c r="R17" s="80"/>
      <c r="S17" s="80"/>
      <c r="T17" s="80"/>
      <c r="U17" s="22">
        <v>9094061</v>
      </c>
      <c r="V17" s="80">
        <v>39769</v>
      </c>
      <c r="X17" s="4">
        <v>9094044</v>
      </c>
      <c r="Y17" s="2">
        <v>39685</v>
      </c>
      <c r="AA17" s="22">
        <v>9094061</v>
      </c>
      <c r="AB17" s="4" t="s">
        <v>404</v>
      </c>
      <c r="AC17" s="58">
        <v>39827</v>
      </c>
      <c r="AG17" s="3" t="s">
        <v>567</v>
      </c>
      <c r="AH17" s="3">
        <v>24</v>
      </c>
      <c r="AI17" s="3">
        <v>19</v>
      </c>
      <c r="AJ17" s="3">
        <v>5</v>
      </c>
      <c r="AL17" s="31" t="s">
        <v>566</v>
      </c>
    </row>
    <row r="18" spans="1:38" x14ac:dyDescent="0.4">
      <c r="A18" s="24" t="s">
        <v>410</v>
      </c>
      <c r="B18" s="24">
        <v>39767</v>
      </c>
      <c r="C18" s="24">
        <v>39672</v>
      </c>
      <c r="D18" s="22" t="s">
        <v>560</v>
      </c>
      <c r="E18" s="22">
        <v>9094062</v>
      </c>
      <c r="F18" s="22">
        <v>1010</v>
      </c>
      <c r="G18" s="22" t="s">
        <v>703</v>
      </c>
      <c r="H18" s="55" t="s">
        <v>701</v>
      </c>
      <c r="I18" s="55"/>
      <c r="J18" s="71"/>
      <c r="K18" s="55"/>
      <c r="L18" s="71"/>
      <c r="M18" s="28">
        <v>39707</v>
      </c>
      <c r="N18" s="80">
        <f t="shared" si="0"/>
        <v>39672</v>
      </c>
      <c r="O18" s="80"/>
      <c r="Q18" s="211"/>
      <c r="R18" s="80"/>
      <c r="S18" s="80"/>
      <c r="T18" s="80"/>
      <c r="U18" s="22">
        <v>9094062</v>
      </c>
      <c r="V18" s="80">
        <v>39769</v>
      </c>
      <c r="X18" s="4">
        <v>9094045</v>
      </c>
      <c r="Y18" s="2">
        <v>39685</v>
      </c>
      <c r="AA18" s="22">
        <v>9094062</v>
      </c>
      <c r="AB18" s="4" t="s">
        <v>404</v>
      </c>
      <c r="AC18" s="59">
        <v>40599</v>
      </c>
      <c r="AG18" s="3" t="s">
        <v>568</v>
      </c>
      <c r="AH18" s="3">
        <v>6</v>
      </c>
      <c r="AI18" s="3">
        <v>3</v>
      </c>
      <c r="AJ18" s="3">
        <v>3</v>
      </c>
      <c r="AL18" s="31" t="s">
        <v>1925</v>
      </c>
    </row>
    <row r="19" spans="1:38" x14ac:dyDescent="0.4">
      <c r="A19" s="24" t="s">
        <v>410</v>
      </c>
      <c r="B19" s="24">
        <v>39918</v>
      </c>
      <c r="C19" s="24">
        <v>39675</v>
      </c>
      <c r="D19" s="22" t="s">
        <v>560</v>
      </c>
      <c r="E19" s="22">
        <v>9094055</v>
      </c>
      <c r="F19" s="22">
        <v>1010</v>
      </c>
      <c r="G19" s="22" t="s">
        <v>704</v>
      </c>
      <c r="H19" s="55"/>
      <c r="I19" s="55" t="s">
        <v>404</v>
      </c>
      <c r="J19" s="95">
        <v>39814</v>
      </c>
      <c r="K19" s="55" t="s">
        <v>404</v>
      </c>
      <c r="L19" s="95">
        <v>39814</v>
      </c>
      <c r="M19" s="28">
        <v>39707</v>
      </c>
      <c r="N19" s="80">
        <f t="shared" si="0"/>
        <v>39675</v>
      </c>
      <c r="O19" s="80"/>
      <c r="Q19" s="211"/>
      <c r="R19" s="80"/>
      <c r="S19" s="80"/>
      <c r="T19" s="80"/>
      <c r="U19" s="22">
        <v>9094055</v>
      </c>
      <c r="V19" s="80">
        <v>39721</v>
      </c>
      <c r="X19" s="4">
        <v>9094046</v>
      </c>
      <c r="Y19" s="2">
        <v>39661</v>
      </c>
      <c r="AA19" s="22">
        <v>9094055</v>
      </c>
      <c r="AB19" s="4" t="s">
        <v>404</v>
      </c>
      <c r="AC19" s="58">
        <v>39814</v>
      </c>
      <c r="AG19" s="3" t="s">
        <v>569</v>
      </c>
      <c r="AH19" s="3">
        <v>3</v>
      </c>
      <c r="AI19" s="3">
        <v>1</v>
      </c>
      <c r="AJ19" s="3">
        <v>2</v>
      </c>
      <c r="AL19" s="31" t="s">
        <v>1878</v>
      </c>
    </row>
    <row r="20" spans="1:38" x14ac:dyDescent="0.4">
      <c r="A20" s="24" t="s">
        <v>410</v>
      </c>
      <c r="B20" s="24">
        <v>39859</v>
      </c>
      <c r="C20" s="24">
        <v>39668</v>
      </c>
      <c r="D20" s="22" t="s">
        <v>568</v>
      </c>
      <c r="E20" s="22">
        <v>9094063</v>
      </c>
      <c r="F20" s="22">
        <v>715</v>
      </c>
      <c r="G20" s="22" t="s">
        <v>705</v>
      </c>
      <c r="H20" s="55" t="s">
        <v>706</v>
      </c>
      <c r="I20" s="55" t="s">
        <v>404</v>
      </c>
      <c r="J20" s="93">
        <v>39745</v>
      </c>
      <c r="K20" s="55" t="s">
        <v>404</v>
      </c>
      <c r="L20" s="93">
        <v>39745</v>
      </c>
      <c r="M20" s="28">
        <v>39709</v>
      </c>
      <c r="N20" s="80">
        <f t="shared" si="0"/>
        <v>39668</v>
      </c>
      <c r="O20" s="80"/>
      <c r="Q20" s="211"/>
      <c r="R20" s="80"/>
      <c r="S20" s="80"/>
      <c r="T20" s="80"/>
      <c r="U20" s="22">
        <v>9094063</v>
      </c>
      <c r="V20" s="80">
        <v>39714</v>
      </c>
      <c r="X20" s="4">
        <v>9094059</v>
      </c>
      <c r="Y20" s="2">
        <v>39659</v>
      </c>
      <c r="AA20" s="22">
        <v>9094063</v>
      </c>
      <c r="AB20" s="4" t="s">
        <v>404</v>
      </c>
      <c r="AC20" s="57">
        <v>39745</v>
      </c>
      <c r="AG20" s="3" t="s">
        <v>570</v>
      </c>
      <c r="AH20" s="3">
        <v>4</v>
      </c>
      <c r="AI20" s="3">
        <v>1</v>
      </c>
      <c r="AJ20" s="3">
        <v>3</v>
      </c>
      <c r="AL20" s="31" t="s">
        <v>567</v>
      </c>
    </row>
    <row r="21" spans="1:38" x14ac:dyDescent="0.4">
      <c r="A21" s="24" t="s">
        <v>410</v>
      </c>
      <c r="B21" s="24">
        <v>39859</v>
      </c>
      <c r="C21" s="24">
        <v>39668</v>
      </c>
      <c r="D21" s="22" t="s">
        <v>568</v>
      </c>
      <c r="E21" s="22">
        <v>9094065</v>
      </c>
      <c r="F21" s="22">
        <v>715</v>
      </c>
      <c r="G21" s="22" t="s">
        <v>707</v>
      </c>
      <c r="H21" s="55" t="s">
        <v>708</v>
      </c>
      <c r="I21" s="55" t="s">
        <v>404</v>
      </c>
      <c r="J21" s="93">
        <v>39745</v>
      </c>
      <c r="K21" s="55" t="s">
        <v>404</v>
      </c>
      <c r="L21" s="93">
        <v>39745</v>
      </c>
      <c r="M21" s="28">
        <v>39709</v>
      </c>
      <c r="N21" s="80">
        <f t="shared" si="0"/>
        <v>39668</v>
      </c>
      <c r="O21" s="80"/>
      <c r="Q21" s="211"/>
      <c r="R21" s="80"/>
      <c r="S21" s="80"/>
      <c r="T21" s="80"/>
      <c r="U21" s="22">
        <v>9094065</v>
      </c>
      <c r="V21" s="80">
        <v>39715</v>
      </c>
      <c r="X21" s="4">
        <v>9094060</v>
      </c>
      <c r="Y21" s="2">
        <v>39659</v>
      </c>
      <c r="AA21" s="22">
        <v>9094065</v>
      </c>
      <c r="AB21" s="4" t="s">
        <v>404</v>
      </c>
      <c r="AC21" s="57">
        <v>39745</v>
      </c>
      <c r="AG21" s="3" t="s">
        <v>571</v>
      </c>
      <c r="AH21" s="3">
        <v>0</v>
      </c>
      <c r="AI21" s="3">
        <v>0</v>
      </c>
      <c r="AJ21" s="3">
        <v>0</v>
      </c>
      <c r="AL21" s="31" t="s">
        <v>569</v>
      </c>
    </row>
    <row r="22" spans="1:38" x14ac:dyDescent="0.4">
      <c r="A22" s="24" t="s">
        <v>410</v>
      </c>
      <c r="B22" s="24">
        <v>0</v>
      </c>
      <c r="C22" s="24">
        <v>39757</v>
      </c>
      <c r="D22" s="22" t="s">
        <v>568</v>
      </c>
      <c r="E22" s="155">
        <v>9094443</v>
      </c>
      <c r="F22" s="22">
        <v>1010</v>
      </c>
      <c r="G22" s="22" t="s">
        <v>2993</v>
      </c>
      <c r="H22" s="55"/>
      <c r="I22" s="55" t="s">
        <v>406</v>
      </c>
      <c r="J22" s="93"/>
      <c r="K22" s="55" t="s">
        <v>406</v>
      </c>
      <c r="L22" s="95"/>
      <c r="M22" s="28">
        <v>39828</v>
      </c>
      <c r="N22" s="80">
        <f t="shared" si="0"/>
        <v>39757</v>
      </c>
      <c r="O22" s="80"/>
      <c r="Q22" s="211"/>
      <c r="R22" s="80"/>
      <c r="S22" s="80"/>
      <c r="T22" s="80"/>
      <c r="U22" s="33">
        <v>9094443</v>
      </c>
      <c r="V22" s="80">
        <v>39891</v>
      </c>
      <c r="X22" s="4">
        <v>9094042</v>
      </c>
      <c r="Y22" s="2">
        <v>39668</v>
      </c>
      <c r="AA22" s="33">
        <v>9094443</v>
      </c>
      <c r="AB22" s="4" t="s">
        <v>404</v>
      </c>
      <c r="AC22" s="57">
        <v>40527</v>
      </c>
      <c r="AG22" s="3" t="s">
        <v>572</v>
      </c>
      <c r="AH22" s="3">
        <v>5</v>
      </c>
      <c r="AI22" s="3">
        <v>1</v>
      </c>
      <c r="AJ22" s="3">
        <v>4</v>
      </c>
      <c r="AL22" s="31" t="s">
        <v>1950</v>
      </c>
    </row>
    <row r="23" spans="1:38" x14ac:dyDescent="0.4">
      <c r="A23" s="24" t="s">
        <v>410</v>
      </c>
      <c r="B23" s="24">
        <v>39859</v>
      </c>
      <c r="C23" s="24">
        <v>39668</v>
      </c>
      <c r="D23" s="22" t="s">
        <v>568</v>
      </c>
      <c r="E23" s="22">
        <v>9094277</v>
      </c>
      <c r="F23" s="22">
        <v>715</v>
      </c>
      <c r="G23" s="22" t="s">
        <v>709</v>
      </c>
      <c r="H23" s="55" t="s">
        <v>708</v>
      </c>
      <c r="I23" s="55" t="s">
        <v>404</v>
      </c>
      <c r="J23" s="95">
        <v>39934</v>
      </c>
      <c r="K23" s="55" t="s">
        <v>404</v>
      </c>
      <c r="L23" s="95">
        <v>39934</v>
      </c>
      <c r="M23" s="92">
        <v>39709</v>
      </c>
      <c r="N23" s="80">
        <f t="shared" si="0"/>
        <v>39668</v>
      </c>
      <c r="O23" s="80"/>
      <c r="Q23" s="211"/>
      <c r="R23" s="80"/>
      <c r="S23" s="80"/>
      <c r="T23" s="80"/>
      <c r="U23" s="22">
        <v>9094277</v>
      </c>
      <c r="V23" s="80">
        <v>39897</v>
      </c>
      <c r="X23" s="4">
        <v>9094043</v>
      </c>
      <c r="Y23" s="2">
        <v>39668</v>
      </c>
      <c r="AA23" s="22">
        <v>9094277</v>
      </c>
      <c r="AB23" s="4" t="s">
        <v>404</v>
      </c>
      <c r="AC23" s="58">
        <v>39934</v>
      </c>
      <c r="AG23" s="3" t="s">
        <v>604</v>
      </c>
      <c r="AH23" s="3">
        <v>10</v>
      </c>
      <c r="AI23" s="3">
        <v>5</v>
      </c>
      <c r="AJ23" s="3">
        <v>5</v>
      </c>
      <c r="AL23" s="31" t="s">
        <v>570</v>
      </c>
    </row>
    <row r="24" spans="1:38" x14ac:dyDescent="0.4">
      <c r="A24" s="24" t="s">
        <v>410</v>
      </c>
      <c r="B24" s="24">
        <v>0</v>
      </c>
      <c r="C24" s="24">
        <v>0</v>
      </c>
      <c r="D24" s="22" t="s">
        <v>568</v>
      </c>
      <c r="E24" s="22">
        <v>9094244</v>
      </c>
      <c r="F24" s="22">
        <v>1010</v>
      </c>
      <c r="G24" s="22" t="s">
        <v>2994</v>
      </c>
      <c r="H24" s="55"/>
      <c r="I24" s="55" t="s">
        <v>404</v>
      </c>
      <c r="J24" s="71">
        <v>40220</v>
      </c>
      <c r="K24" s="55" t="s">
        <v>404</v>
      </c>
      <c r="L24" s="55"/>
      <c r="M24" s="92">
        <v>39919</v>
      </c>
      <c r="N24" s="80">
        <f t="shared" si="0"/>
        <v>39883</v>
      </c>
      <c r="O24" s="80"/>
      <c r="Q24" s="211"/>
      <c r="R24" s="80"/>
      <c r="S24" s="80"/>
      <c r="T24" s="80"/>
      <c r="U24" s="22">
        <v>9094244</v>
      </c>
      <c r="V24" s="80">
        <v>39898</v>
      </c>
      <c r="X24" s="4">
        <v>9094067</v>
      </c>
      <c r="Y24" s="2">
        <v>39675</v>
      </c>
      <c r="AA24" s="22">
        <v>9094244</v>
      </c>
      <c r="AB24" s="4" t="s">
        <v>404</v>
      </c>
      <c r="AC24" s="59">
        <v>40220</v>
      </c>
      <c r="AG24" s="3" t="s">
        <v>574</v>
      </c>
      <c r="AH24" s="3">
        <v>41</v>
      </c>
      <c r="AI24" s="3">
        <v>32</v>
      </c>
      <c r="AJ24" s="3">
        <v>9</v>
      </c>
      <c r="AL24" s="31" t="s">
        <v>572</v>
      </c>
    </row>
    <row r="25" spans="1:38" x14ac:dyDescent="0.4">
      <c r="A25" s="24" t="s">
        <v>410</v>
      </c>
      <c r="B25" s="24">
        <v>0</v>
      </c>
      <c r="C25" s="24">
        <v>39715</v>
      </c>
      <c r="D25" s="22" t="s">
        <v>568</v>
      </c>
      <c r="E25" s="22">
        <v>9094254</v>
      </c>
      <c r="F25" s="22">
        <v>1010</v>
      </c>
      <c r="G25" s="22" t="s">
        <v>710</v>
      </c>
      <c r="H25" s="55" t="s">
        <v>2995</v>
      </c>
      <c r="I25" s="55" t="s">
        <v>404</v>
      </c>
      <c r="J25" s="95"/>
      <c r="K25" s="55" t="s">
        <v>404</v>
      </c>
      <c r="L25" s="95"/>
      <c r="M25" s="92">
        <v>39737</v>
      </c>
      <c r="N25" s="80">
        <f t="shared" si="0"/>
        <v>39715</v>
      </c>
      <c r="O25" s="80"/>
      <c r="Q25" s="211"/>
      <c r="R25" s="80"/>
      <c r="S25" s="80"/>
      <c r="T25" s="80"/>
      <c r="U25" s="22">
        <v>9094254</v>
      </c>
      <c r="V25" s="80">
        <v>39898</v>
      </c>
      <c r="X25" s="4">
        <v>9094068</v>
      </c>
      <c r="Y25" s="2">
        <v>39675</v>
      </c>
      <c r="AA25" s="22">
        <v>9094254</v>
      </c>
      <c r="AB25" s="4" t="s">
        <v>404</v>
      </c>
      <c r="AC25" s="58">
        <v>40220</v>
      </c>
      <c r="AG25" s="31" t="s">
        <v>1703</v>
      </c>
      <c r="AH25" s="3">
        <v>16</v>
      </c>
      <c r="AI25" s="3">
        <v>6</v>
      </c>
      <c r="AJ25" s="3">
        <v>10</v>
      </c>
      <c r="AL25" s="31" t="s">
        <v>573</v>
      </c>
    </row>
    <row r="26" spans="1:38" x14ac:dyDescent="0.4">
      <c r="A26" s="24" t="s">
        <v>410</v>
      </c>
      <c r="B26" s="24">
        <v>39691</v>
      </c>
      <c r="C26" s="24">
        <v>39665</v>
      </c>
      <c r="D26" s="22" t="s">
        <v>589</v>
      </c>
      <c r="E26" s="22">
        <v>9094100</v>
      </c>
      <c r="F26" s="22">
        <v>1210</v>
      </c>
      <c r="G26" s="22" t="s">
        <v>805</v>
      </c>
      <c r="H26" s="55" t="s">
        <v>806</v>
      </c>
      <c r="I26" s="55" t="s">
        <v>404</v>
      </c>
      <c r="J26" s="93">
        <v>39736</v>
      </c>
      <c r="K26" s="55" t="s">
        <v>404</v>
      </c>
      <c r="L26" s="93">
        <v>39806</v>
      </c>
      <c r="M26" s="28">
        <v>39707</v>
      </c>
      <c r="N26" s="80">
        <f t="shared" si="0"/>
        <v>39665</v>
      </c>
      <c r="O26" s="80"/>
      <c r="Q26" s="211"/>
      <c r="R26" s="80"/>
      <c r="S26" s="80"/>
      <c r="T26" s="80"/>
      <c r="U26" s="22">
        <v>9094100</v>
      </c>
      <c r="V26" s="80">
        <v>39787</v>
      </c>
      <c r="X26" s="4">
        <v>9094145</v>
      </c>
      <c r="Y26" s="2">
        <v>39672</v>
      </c>
      <c r="AA26" s="22">
        <v>9094100</v>
      </c>
      <c r="AB26" s="4" t="s">
        <v>404</v>
      </c>
      <c r="AC26" s="57">
        <v>39736</v>
      </c>
      <c r="AG26" s="3" t="s">
        <v>576</v>
      </c>
      <c r="AH26" s="3">
        <v>36</v>
      </c>
      <c r="AI26" s="3">
        <v>27</v>
      </c>
      <c r="AJ26" s="3">
        <v>9</v>
      </c>
      <c r="AL26" s="31" t="s">
        <v>574</v>
      </c>
    </row>
    <row r="27" spans="1:38" x14ac:dyDescent="0.4">
      <c r="A27" s="24" t="s">
        <v>410</v>
      </c>
      <c r="B27" s="24">
        <v>39675</v>
      </c>
      <c r="C27" s="24">
        <v>39675</v>
      </c>
      <c r="D27" s="22" t="s">
        <v>589</v>
      </c>
      <c r="E27" s="22">
        <v>9094099</v>
      </c>
      <c r="F27" s="22">
        <v>1010</v>
      </c>
      <c r="G27" s="22" t="s">
        <v>807</v>
      </c>
      <c r="H27" s="55" t="s">
        <v>808</v>
      </c>
      <c r="I27" s="55" t="s">
        <v>404</v>
      </c>
      <c r="J27" s="93">
        <v>39675</v>
      </c>
      <c r="K27" s="55" t="s">
        <v>404</v>
      </c>
      <c r="L27" s="93">
        <v>39752</v>
      </c>
      <c r="M27" s="28">
        <v>39707</v>
      </c>
      <c r="N27" s="80">
        <f t="shared" si="0"/>
        <v>39675</v>
      </c>
      <c r="O27" s="80"/>
      <c r="Q27" s="211"/>
      <c r="R27" s="80"/>
      <c r="S27" s="80"/>
      <c r="T27" s="80"/>
      <c r="U27" s="22">
        <v>9094099</v>
      </c>
      <c r="V27" s="80">
        <v>39736</v>
      </c>
      <c r="X27" s="4">
        <v>9094160</v>
      </c>
      <c r="Y27" s="2">
        <v>39672</v>
      </c>
      <c r="AA27" s="22">
        <v>9094099</v>
      </c>
      <c r="AB27" s="4" t="s">
        <v>404</v>
      </c>
      <c r="AC27" s="57">
        <v>39675</v>
      </c>
      <c r="AG27" s="3" t="s">
        <v>577</v>
      </c>
      <c r="AH27" s="3">
        <v>2</v>
      </c>
      <c r="AI27" s="3">
        <v>1</v>
      </c>
      <c r="AJ27" s="3">
        <v>1</v>
      </c>
      <c r="AL27" s="31" t="s">
        <v>1703</v>
      </c>
    </row>
    <row r="28" spans="1:38" x14ac:dyDescent="0.4">
      <c r="A28" s="24" t="s">
        <v>410</v>
      </c>
      <c r="B28" s="24">
        <v>39828</v>
      </c>
      <c r="C28" s="24">
        <v>39675</v>
      </c>
      <c r="D28" s="22" t="s">
        <v>589</v>
      </c>
      <c r="E28" s="22">
        <v>9094323</v>
      </c>
      <c r="F28" s="22">
        <v>715</v>
      </c>
      <c r="G28" s="22" t="s">
        <v>809</v>
      </c>
      <c r="H28" s="55" t="s">
        <v>2996</v>
      </c>
      <c r="I28" s="55" t="s">
        <v>404</v>
      </c>
      <c r="J28" s="93">
        <v>40165</v>
      </c>
      <c r="K28" s="55" t="s">
        <v>404</v>
      </c>
      <c r="L28" s="71">
        <v>40268</v>
      </c>
      <c r="M28" s="92">
        <v>40025</v>
      </c>
      <c r="N28" s="80">
        <f t="shared" si="0"/>
        <v>39675</v>
      </c>
      <c r="O28" s="80"/>
      <c r="Q28" s="211"/>
      <c r="R28" s="80"/>
      <c r="S28" s="80"/>
      <c r="T28" s="80"/>
      <c r="U28" s="22">
        <v>9094323</v>
      </c>
      <c r="V28" s="80">
        <v>39974</v>
      </c>
      <c r="X28" s="4">
        <v>9094161</v>
      </c>
      <c r="Y28" s="2">
        <v>39672</v>
      </c>
      <c r="AA28" s="22">
        <v>9094323</v>
      </c>
      <c r="AB28" s="4" t="s">
        <v>404</v>
      </c>
      <c r="AC28" s="57">
        <v>40165</v>
      </c>
      <c r="AG28" s="3" t="s">
        <v>578</v>
      </c>
      <c r="AH28" s="3">
        <v>14</v>
      </c>
      <c r="AI28" s="3">
        <v>11</v>
      </c>
      <c r="AJ28" s="3">
        <v>3</v>
      </c>
      <c r="AL28" s="197" t="s">
        <v>1453</v>
      </c>
    </row>
    <row r="29" spans="1:38" x14ac:dyDescent="0.4">
      <c r="A29" s="24" t="s">
        <v>410</v>
      </c>
      <c r="B29" s="24">
        <v>39706</v>
      </c>
      <c r="C29" s="24">
        <v>39675</v>
      </c>
      <c r="D29" s="22" t="s">
        <v>589</v>
      </c>
      <c r="E29" s="22">
        <v>9094041</v>
      </c>
      <c r="F29" s="22">
        <v>715</v>
      </c>
      <c r="G29" s="22" t="s">
        <v>810</v>
      </c>
      <c r="H29" s="55" t="s">
        <v>811</v>
      </c>
      <c r="I29" s="55" t="s">
        <v>404</v>
      </c>
      <c r="J29" s="93">
        <v>39675</v>
      </c>
      <c r="K29" s="55" t="s">
        <v>404</v>
      </c>
      <c r="L29" s="95" t="s">
        <v>812</v>
      </c>
      <c r="M29" s="28">
        <v>39701</v>
      </c>
      <c r="N29" s="80">
        <f t="shared" si="0"/>
        <v>39675</v>
      </c>
      <c r="O29" s="80"/>
      <c r="Q29" s="211"/>
      <c r="R29" s="80"/>
      <c r="S29" s="80"/>
      <c r="T29" s="80"/>
      <c r="U29" s="22">
        <v>9094041</v>
      </c>
      <c r="V29" s="80">
        <v>39688</v>
      </c>
      <c r="X29" s="4">
        <v>9094170</v>
      </c>
      <c r="Y29" s="2">
        <v>39672</v>
      </c>
      <c r="AA29" s="22">
        <v>9094041</v>
      </c>
      <c r="AB29" s="4" t="s">
        <v>404</v>
      </c>
      <c r="AC29" s="57">
        <v>39675</v>
      </c>
      <c r="AG29" s="31" t="s">
        <v>1878</v>
      </c>
      <c r="AH29" s="3">
        <v>10</v>
      </c>
      <c r="AI29" s="3">
        <v>7</v>
      </c>
      <c r="AJ29" s="3">
        <v>3</v>
      </c>
      <c r="AL29" s="31" t="s">
        <v>1751</v>
      </c>
    </row>
    <row r="30" spans="1:38" x14ac:dyDescent="0.4">
      <c r="A30" s="24" t="s">
        <v>410</v>
      </c>
      <c r="B30" s="24">
        <v>39691</v>
      </c>
      <c r="C30" s="24">
        <v>39665</v>
      </c>
      <c r="D30" s="22" t="s">
        <v>589</v>
      </c>
      <c r="E30" s="22">
        <v>9094133</v>
      </c>
      <c r="F30" s="22">
        <v>1010</v>
      </c>
      <c r="G30" s="22" t="s">
        <v>813</v>
      </c>
      <c r="H30" s="55" t="s">
        <v>814</v>
      </c>
      <c r="I30" s="55" t="s">
        <v>404</v>
      </c>
      <c r="J30" s="93">
        <v>39902</v>
      </c>
      <c r="K30" s="55" t="s">
        <v>404</v>
      </c>
      <c r="L30" s="95">
        <v>39904</v>
      </c>
      <c r="M30" s="28">
        <v>39707</v>
      </c>
      <c r="N30" s="80">
        <f t="shared" si="0"/>
        <v>39665</v>
      </c>
      <c r="O30" s="80"/>
      <c r="Q30" s="211"/>
      <c r="R30" s="80"/>
      <c r="S30" s="80"/>
      <c r="T30" s="80"/>
      <c r="U30" s="22">
        <v>9094133</v>
      </c>
      <c r="V30" s="80">
        <v>39736</v>
      </c>
      <c r="X30" s="4">
        <v>9094052</v>
      </c>
      <c r="Y30" s="2">
        <v>39688</v>
      </c>
      <c r="AA30" s="22">
        <v>9094133</v>
      </c>
      <c r="AB30" s="4" t="s">
        <v>404</v>
      </c>
      <c r="AC30" s="57">
        <v>39902</v>
      </c>
      <c r="AG30" s="3" t="s">
        <v>580</v>
      </c>
      <c r="AH30" s="3">
        <v>5</v>
      </c>
      <c r="AI30" s="3">
        <v>1</v>
      </c>
      <c r="AJ30" s="3">
        <v>4</v>
      </c>
      <c r="AL30" s="31" t="s">
        <v>625</v>
      </c>
    </row>
    <row r="31" spans="1:38" x14ac:dyDescent="0.4">
      <c r="A31" s="24" t="s">
        <v>410</v>
      </c>
      <c r="B31" s="24">
        <v>39736</v>
      </c>
      <c r="C31" s="24">
        <v>39675</v>
      </c>
      <c r="D31" s="22" t="s">
        <v>589</v>
      </c>
      <c r="E31" s="22">
        <v>9094179</v>
      </c>
      <c r="F31" s="22">
        <v>715</v>
      </c>
      <c r="G31" s="22" t="s">
        <v>815</v>
      </c>
      <c r="H31" s="55" t="s">
        <v>816</v>
      </c>
      <c r="I31" s="55" t="s">
        <v>404</v>
      </c>
      <c r="J31" s="93">
        <v>39892</v>
      </c>
      <c r="K31" s="55" t="s">
        <v>404</v>
      </c>
      <c r="L31" s="71">
        <v>39912</v>
      </c>
      <c r="M31" s="92">
        <v>39856</v>
      </c>
      <c r="N31" s="80">
        <f t="shared" si="0"/>
        <v>39675</v>
      </c>
      <c r="O31" s="80"/>
      <c r="Q31" s="211"/>
      <c r="R31" s="80"/>
      <c r="S31" s="80"/>
      <c r="T31" s="80"/>
      <c r="U31" s="22">
        <v>9094179</v>
      </c>
      <c r="V31" s="80">
        <v>39849</v>
      </c>
      <c r="X31" s="4">
        <v>9094053</v>
      </c>
      <c r="Y31" s="2">
        <v>39688</v>
      </c>
      <c r="AA31" s="22">
        <v>9094179</v>
      </c>
      <c r="AB31" s="4" t="s">
        <v>404</v>
      </c>
      <c r="AC31" s="57">
        <v>39892</v>
      </c>
      <c r="AG31" s="3" t="s">
        <v>581</v>
      </c>
      <c r="AH31" s="3">
        <v>6</v>
      </c>
      <c r="AI31" s="3">
        <v>1</v>
      </c>
      <c r="AJ31" s="3">
        <v>5</v>
      </c>
      <c r="AL31" s="31" t="s">
        <v>1716</v>
      </c>
    </row>
    <row r="32" spans="1:38" x14ac:dyDescent="0.4">
      <c r="A32" s="24" t="s">
        <v>410</v>
      </c>
      <c r="B32" s="24">
        <v>39828</v>
      </c>
      <c r="C32" s="24">
        <v>39675</v>
      </c>
      <c r="D32" s="22" t="s">
        <v>589</v>
      </c>
      <c r="E32" s="22">
        <v>9094324</v>
      </c>
      <c r="F32" s="22">
        <v>1010</v>
      </c>
      <c r="G32" s="22" t="s">
        <v>817</v>
      </c>
      <c r="H32" s="55" t="s">
        <v>2997</v>
      </c>
      <c r="I32" s="55" t="s">
        <v>404</v>
      </c>
      <c r="J32" s="93">
        <v>40088</v>
      </c>
      <c r="K32" s="55" t="s">
        <v>404</v>
      </c>
      <c r="L32" s="95">
        <v>40148</v>
      </c>
      <c r="M32" s="92">
        <v>40025</v>
      </c>
      <c r="N32" s="80">
        <f t="shared" si="0"/>
        <v>39675</v>
      </c>
      <c r="O32" s="80"/>
      <c r="Q32" s="211"/>
      <c r="R32" s="80"/>
      <c r="S32" s="80"/>
      <c r="T32" s="80"/>
      <c r="U32" s="22">
        <v>9094324</v>
      </c>
      <c r="V32" s="80">
        <v>39975</v>
      </c>
      <c r="X32" s="4">
        <v>9094422</v>
      </c>
      <c r="Y32" s="2">
        <v>39689</v>
      </c>
      <c r="AA32" s="22">
        <v>9094324</v>
      </c>
      <c r="AB32" s="4" t="s">
        <v>404</v>
      </c>
      <c r="AC32" s="57">
        <v>40088</v>
      </c>
      <c r="AG32" s="3" t="s">
        <v>669</v>
      </c>
      <c r="AH32" s="3">
        <v>8</v>
      </c>
      <c r="AI32" s="3">
        <v>4</v>
      </c>
      <c r="AJ32" s="3">
        <v>4</v>
      </c>
      <c r="AL32" s="31" t="s">
        <v>576</v>
      </c>
    </row>
    <row r="33" spans="1:38" x14ac:dyDescent="0.4">
      <c r="A33" s="24" t="s">
        <v>410</v>
      </c>
      <c r="B33" s="24">
        <v>39706</v>
      </c>
      <c r="C33" s="24">
        <v>39665</v>
      </c>
      <c r="D33" s="22" t="s">
        <v>589</v>
      </c>
      <c r="E33" s="22">
        <v>9094040</v>
      </c>
      <c r="F33" s="22">
        <v>1010</v>
      </c>
      <c r="G33" s="22" t="s">
        <v>818</v>
      </c>
      <c r="H33" s="55" t="s">
        <v>819</v>
      </c>
      <c r="I33" s="55" t="s">
        <v>404</v>
      </c>
      <c r="J33" s="93">
        <v>39675</v>
      </c>
      <c r="K33" s="55" t="s">
        <v>404</v>
      </c>
      <c r="L33" s="71" t="s">
        <v>812</v>
      </c>
      <c r="M33" s="28">
        <v>39706</v>
      </c>
      <c r="N33" s="80">
        <f t="shared" si="0"/>
        <v>39665</v>
      </c>
      <c r="O33" s="80"/>
      <c r="Q33" s="211"/>
      <c r="R33" s="80"/>
      <c r="S33" s="80"/>
      <c r="T33" s="80"/>
      <c r="U33" s="22">
        <v>9094040</v>
      </c>
      <c r="V33" s="80">
        <v>39699</v>
      </c>
      <c r="X33" s="4">
        <v>9094423</v>
      </c>
      <c r="Y33" s="2">
        <v>39689</v>
      </c>
      <c r="AA33" s="22">
        <v>9094040</v>
      </c>
      <c r="AB33" s="4" t="s">
        <v>404</v>
      </c>
      <c r="AC33" s="57">
        <v>39675</v>
      </c>
      <c r="AG33" s="3" t="s">
        <v>583</v>
      </c>
      <c r="AH33" s="3">
        <v>14</v>
      </c>
      <c r="AI33" s="3">
        <v>11</v>
      </c>
      <c r="AJ33" s="3">
        <v>3</v>
      </c>
      <c r="AL33" s="31" t="s">
        <v>577</v>
      </c>
    </row>
    <row r="34" spans="1:38" x14ac:dyDescent="0.4">
      <c r="A34" s="24" t="s">
        <v>410</v>
      </c>
      <c r="B34" s="24">
        <v>39736</v>
      </c>
      <c r="C34" s="24">
        <v>39675</v>
      </c>
      <c r="D34" s="22" t="s">
        <v>589</v>
      </c>
      <c r="E34" s="22">
        <v>9094237</v>
      </c>
      <c r="F34" s="22">
        <v>1010</v>
      </c>
      <c r="G34" s="22" t="s">
        <v>820</v>
      </c>
      <c r="H34" s="55" t="s">
        <v>821</v>
      </c>
      <c r="I34" s="55" t="s">
        <v>404</v>
      </c>
      <c r="J34" s="93">
        <v>39867</v>
      </c>
      <c r="K34" s="55" t="s">
        <v>404</v>
      </c>
      <c r="L34" s="93">
        <v>39885</v>
      </c>
      <c r="M34" s="92">
        <v>39856</v>
      </c>
      <c r="N34" s="80">
        <f t="shared" si="0"/>
        <v>39675</v>
      </c>
      <c r="O34" s="80"/>
      <c r="Q34" s="211"/>
      <c r="R34" s="80"/>
      <c r="S34" s="80"/>
      <c r="T34" s="80"/>
      <c r="U34" s="22">
        <v>9094237</v>
      </c>
      <c r="V34" s="80">
        <v>39860</v>
      </c>
      <c r="X34" s="4">
        <v>9094127</v>
      </c>
      <c r="Y34" s="2">
        <v>39659</v>
      </c>
      <c r="AA34" s="22">
        <v>9094237</v>
      </c>
      <c r="AB34" s="4" t="s">
        <v>404</v>
      </c>
      <c r="AC34" s="57">
        <v>39867</v>
      </c>
      <c r="AG34" s="3" t="s">
        <v>584</v>
      </c>
      <c r="AH34" s="3">
        <v>6</v>
      </c>
      <c r="AI34" s="3">
        <v>3</v>
      </c>
      <c r="AJ34" s="3">
        <v>3</v>
      </c>
      <c r="AL34" s="31" t="s">
        <v>578</v>
      </c>
    </row>
    <row r="35" spans="1:38" x14ac:dyDescent="0.4">
      <c r="A35" s="24" t="s">
        <v>410</v>
      </c>
      <c r="B35" s="24">
        <v>39767</v>
      </c>
      <c r="C35" s="24">
        <v>39675</v>
      </c>
      <c r="D35" s="22" t="s">
        <v>589</v>
      </c>
      <c r="E35" s="22">
        <v>9094243</v>
      </c>
      <c r="F35" s="22">
        <v>715</v>
      </c>
      <c r="G35" s="22" t="s">
        <v>822</v>
      </c>
      <c r="H35" s="55" t="s">
        <v>823</v>
      </c>
      <c r="I35" s="55" t="s">
        <v>404</v>
      </c>
      <c r="J35" s="93">
        <v>39850</v>
      </c>
      <c r="K35" s="55" t="s">
        <v>404</v>
      </c>
      <c r="L35" s="93">
        <v>39892</v>
      </c>
      <c r="M35" s="92">
        <v>39856</v>
      </c>
      <c r="N35" s="80">
        <f t="shared" si="0"/>
        <v>39675</v>
      </c>
      <c r="O35" s="80"/>
      <c r="Q35" s="211"/>
      <c r="R35" s="80"/>
      <c r="S35" s="80"/>
      <c r="T35" s="80"/>
      <c r="U35" s="22">
        <v>9094243</v>
      </c>
      <c r="V35" s="80">
        <v>39861</v>
      </c>
      <c r="X35" s="4">
        <v>9094163</v>
      </c>
      <c r="Y35" s="2">
        <v>39665</v>
      </c>
      <c r="AA35" s="22">
        <v>9094243</v>
      </c>
      <c r="AB35" s="4" t="s">
        <v>404</v>
      </c>
      <c r="AC35" s="57">
        <v>39850</v>
      </c>
      <c r="AG35" s="3" t="s">
        <v>585</v>
      </c>
      <c r="AH35" s="3">
        <v>36</v>
      </c>
      <c r="AI35" s="3">
        <v>33</v>
      </c>
      <c r="AJ35" s="3">
        <v>3</v>
      </c>
      <c r="AL35" s="31" t="s">
        <v>579</v>
      </c>
    </row>
    <row r="36" spans="1:38" x14ac:dyDescent="0.4">
      <c r="A36" s="24" t="s">
        <v>410</v>
      </c>
      <c r="B36" s="24">
        <v>39706</v>
      </c>
      <c r="C36" s="24">
        <v>39675</v>
      </c>
      <c r="D36" s="22" t="s">
        <v>589</v>
      </c>
      <c r="E36" s="22">
        <v>9094150</v>
      </c>
      <c r="F36" s="22">
        <v>1210</v>
      </c>
      <c r="G36" s="22" t="s">
        <v>824</v>
      </c>
      <c r="H36" s="55" t="s">
        <v>825</v>
      </c>
      <c r="I36" s="55" t="s">
        <v>404</v>
      </c>
      <c r="J36" s="93">
        <v>39736</v>
      </c>
      <c r="K36" s="55" t="s">
        <v>404</v>
      </c>
      <c r="L36" s="71">
        <v>39864</v>
      </c>
      <c r="M36" s="28">
        <v>39707</v>
      </c>
      <c r="N36" s="80">
        <f t="shared" si="0"/>
        <v>39675</v>
      </c>
      <c r="O36" s="80"/>
      <c r="Q36" s="211"/>
      <c r="R36" s="80"/>
      <c r="S36" s="80"/>
      <c r="T36" s="80"/>
      <c r="U36" s="22">
        <v>9094150</v>
      </c>
      <c r="V36" s="80">
        <v>39800</v>
      </c>
      <c r="X36" s="4">
        <v>9094128</v>
      </c>
      <c r="Y36" s="2">
        <v>39659</v>
      </c>
      <c r="AA36" s="22">
        <v>9094150</v>
      </c>
      <c r="AB36" s="4" t="s">
        <v>404</v>
      </c>
      <c r="AC36" s="57">
        <v>39736</v>
      </c>
      <c r="AG36" s="3" t="s">
        <v>586</v>
      </c>
      <c r="AH36" s="3">
        <v>3</v>
      </c>
      <c r="AI36" s="3">
        <v>3</v>
      </c>
      <c r="AJ36" s="3">
        <v>0</v>
      </c>
      <c r="AL36" s="31" t="s">
        <v>667</v>
      </c>
    </row>
    <row r="37" spans="1:38" x14ac:dyDescent="0.4">
      <c r="A37" s="24" t="s">
        <v>410</v>
      </c>
      <c r="B37" s="24">
        <v>39797</v>
      </c>
      <c r="C37" s="24">
        <v>39675</v>
      </c>
      <c r="D37" s="22" t="s">
        <v>589</v>
      </c>
      <c r="E37" s="22">
        <v>9094251</v>
      </c>
      <c r="F37" s="22">
        <v>715</v>
      </c>
      <c r="G37" s="22" t="s">
        <v>826</v>
      </c>
      <c r="H37" s="55" t="s">
        <v>2998</v>
      </c>
      <c r="I37" s="55" t="s">
        <v>404</v>
      </c>
      <c r="J37" s="93">
        <v>40165</v>
      </c>
      <c r="K37" s="55" t="s">
        <v>404</v>
      </c>
      <c r="L37" s="95">
        <v>40148</v>
      </c>
      <c r="M37" s="28">
        <v>39917</v>
      </c>
      <c r="N37" s="80">
        <f t="shared" si="0"/>
        <v>39675</v>
      </c>
      <c r="O37" s="80"/>
      <c r="Q37" s="211"/>
      <c r="R37" s="80"/>
      <c r="S37" s="80"/>
      <c r="T37" s="80"/>
      <c r="U37" s="22">
        <v>9094251</v>
      </c>
      <c r="V37" s="80">
        <v>39891</v>
      </c>
      <c r="X37" s="4">
        <v>9094063</v>
      </c>
      <c r="Y37" s="2">
        <v>39668</v>
      </c>
      <c r="AA37" s="22">
        <v>9094251</v>
      </c>
      <c r="AB37" s="4" t="s">
        <v>404</v>
      </c>
      <c r="AC37" s="57">
        <v>40165</v>
      </c>
      <c r="AG37" s="3" t="s">
        <v>628</v>
      </c>
      <c r="AH37" s="3">
        <v>2</v>
      </c>
      <c r="AI37" s="3">
        <v>0</v>
      </c>
      <c r="AJ37" s="3">
        <v>2</v>
      </c>
      <c r="AL37" s="31" t="s">
        <v>1822</v>
      </c>
    </row>
    <row r="38" spans="1:38" x14ac:dyDescent="0.4">
      <c r="A38" s="24" t="s">
        <v>410</v>
      </c>
      <c r="B38" s="24">
        <v>39706</v>
      </c>
      <c r="C38" s="24">
        <v>39675</v>
      </c>
      <c r="D38" s="22" t="s">
        <v>589</v>
      </c>
      <c r="E38" s="22">
        <v>9094151</v>
      </c>
      <c r="F38" s="22">
        <v>1010</v>
      </c>
      <c r="G38" s="22" t="s">
        <v>827</v>
      </c>
      <c r="H38" s="55" t="s">
        <v>828</v>
      </c>
      <c r="I38" s="55" t="s">
        <v>404</v>
      </c>
      <c r="J38" s="71">
        <v>39736</v>
      </c>
      <c r="K38" s="55" t="s">
        <v>404</v>
      </c>
      <c r="L38" s="95">
        <v>39783</v>
      </c>
      <c r="M38" s="28">
        <v>39707</v>
      </c>
      <c r="N38" s="80">
        <f t="shared" si="0"/>
        <v>39675</v>
      </c>
      <c r="O38" s="80"/>
      <c r="Q38" s="211"/>
      <c r="R38" s="80"/>
      <c r="S38" s="80"/>
      <c r="T38" s="80"/>
      <c r="U38" s="22">
        <v>9094151</v>
      </c>
      <c r="V38" s="80">
        <v>39801</v>
      </c>
      <c r="X38" s="4">
        <v>9094065</v>
      </c>
      <c r="Y38" s="2">
        <v>39668</v>
      </c>
      <c r="AA38" s="22">
        <v>9094151</v>
      </c>
      <c r="AB38" s="4" t="s">
        <v>404</v>
      </c>
      <c r="AC38" s="59">
        <v>39736</v>
      </c>
      <c r="AG38" s="3" t="s">
        <v>587</v>
      </c>
      <c r="AH38" s="3">
        <v>4</v>
      </c>
      <c r="AI38" s="3">
        <v>3</v>
      </c>
      <c r="AJ38" s="3">
        <v>1</v>
      </c>
      <c r="AL38" s="31" t="s">
        <v>581</v>
      </c>
    </row>
    <row r="39" spans="1:38" x14ac:dyDescent="0.4">
      <c r="A39" s="24" t="s">
        <v>410</v>
      </c>
      <c r="B39" s="24">
        <v>39736</v>
      </c>
      <c r="C39" s="24">
        <v>39665</v>
      </c>
      <c r="D39" s="22" t="s">
        <v>589</v>
      </c>
      <c r="E39" s="22">
        <v>9094166</v>
      </c>
      <c r="F39" s="22">
        <v>1010</v>
      </c>
      <c r="G39" s="22" t="s">
        <v>829</v>
      </c>
      <c r="H39" s="55" t="s">
        <v>830</v>
      </c>
      <c r="I39" s="55" t="s">
        <v>404</v>
      </c>
      <c r="J39" s="71">
        <v>39736</v>
      </c>
      <c r="K39" s="55" t="s">
        <v>404</v>
      </c>
      <c r="L39" s="55"/>
      <c r="M39" s="92">
        <v>39737</v>
      </c>
      <c r="N39" s="80">
        <f t="shared" si="0"/>
        <v>39665</v>
      </c>
      <c r="O39" s="80"/>
      <c r="Q39" s="211"/>
      <c r="R39" s="80"/>
      <c r="S39" s="80"/>
      <c r="T39" s="80"/>
      <c r="U39" s="22">
        <v>9094166</v>
      </c>
      <c r="V39" s="80">
        <v>39835</v>
      </c>
      <c r="X39" s="4">
        <v>9094054</v>
      </c>
      <c r="Y39" s="2">
        <v>39675</v>
      </c>
      <c r="AA39" s="22">
        <v>9094166</v>
      </c>
      <c r="AB39" s="4" t="s">
        <v>404</v>
      </c>
      <c r="AC39" s="59">
        <v>39736</v>
      </c>
      <c r="AG39" s="3" t="s">
        <v>588</v>
      </c>
      <c r="AH39" s="3">
        <v>2</v>
      </c>
      <c r="AI39" s="3">
        <v>0</v>
      </c>
      <c r="AJ39" s="3">
        <v>2</v>
      </c>
      <c r="AL39" s="31" t="s">
        <v>582</v>
      </c>
    </row>
    <row r="40" spans="1:38" x14ac:dyDescent="0.4">
      <c r="A40" s="24" t="s">
        <v>410</v>
      </c>
      <c r="B40" s="24">
        <v>39706</v>
      </c>
      <c r="C40" s="24">
        <v>39675</v>
      </c>
      <c r="D40" s="22" t="s">
        <v>589</v>
      </c>
      <c r="E40" s="22">
        <v>9094101</v>
      </c>
      <c r="F40" s="22">
        <v>1010</v>
      </c>
      <c r="G40" s="22" t="s">
        <v>831</v>
      </c>
      <c r="H40" s="55" t="s">
        <v>832</v>
      </c>
      <c r="I40" s="55" t="s">
        <v>404</v>
      </c>
      <c r="J40" s="71">
        <v>39736</v>
      </c>
      <c r="K40" s="55" t="s">
        <v>404</v>
      </c>
      <c r="L40" s="93">
        <v>39752</v>
      </c>
      <c r="M40" s="28">
        <v>39737</v>
      </c>
      <c r="N40" s="80">
        <f t="shared" si="0"/>
        <v>39675</v>
      </c>
      <c r="O40" s="80"/>
      <c r="Q40" s="211"/>
      <c r="R40" s="80"/>
      <c r="S40" s="80"/>
      <c r="T40" s="80"/>
      <c r="U40" s="22">
        <v>9094101</v>
      </c>
      <c r="V40" s="80">
        <v>39745</v>
      </c>
      <c r="X40" s="4">
        <v>9094077</v>
      </c>
      <c r="Y40" s="2">
        <v>39673</v>
      </c>
      <c r="AA40" s="22">
        <v>9094101</v>
      </c>
      <c r="AB40" s="4" t="s">
        <v>404</v>
      </c>
      <c r="AC40" s="59">
        <v>39736</v>
      </c>
      <c r="AG40" s="3" t="s">
        <v>589</v>
      </c>
      <c r="AH40" s="3">
        <v>24</v>
      </c>
      <c r="AI40" s="3">
        <v>20</v>
      </c>
      <c r="AJ40" s="3">
        <v>4</v>
      </c>
      <c r="AL40" s="31" t="s">
        <v>583</v>
      </c>
    </row>
    <row r="41" spans="1:38" x14ac:dyDescent="0.4">
      <c r="A41" s="24" t="s">
        <v>410</v>
      </c>
      <c r="B41" s="24">
        <v>39797</v>
      </c>
      <c r="C41" s="24">
        <v>39675</v>
      </c>
      <c r="D41" s="22" t="s">
        <v>589</v>
      </c>
      <c r="E41" s="22">
        <v>9094252</v>
      </c>
      <c r="F41" s="22">
        <v>1010</v>
      </c>
      <c r="G41" s="22" t="s">
        <v>833</v>
      </c>
      <c r="H41" s="55" t="s">
        <v>834</v>
      </c>
      <c r="I41" s="55" t="s">
        <v>404</v>
      </c>
      <c r="J41" s="71">
        <v>40018</v>
      </c>
      <c r="K41" s="55" t="s">
        <v>404</v>
      </c>
      <c r="L41" s="71">
        <v>40018</v>
      </c>
      <c r="M41" s="92">
        <v>39948</v>
      </c>
      <c r="N41" s="80">
        <f t="shared" si="0"/>
        <v>39675</v>
      </c>
      <c r="O41" s="80"/>
      <c r="Q41" s="211"/>
      <c r="R41" s="80"/>
      <c r="S41" s="80"/>
      <c r="T41" s="80"/>
      <c r="U41" s="22">
        <v>9094252</v>
      </c>
      <c r="V41" s="80">
        <v>39924</v>
      </c>
      <c r="X41" s="4">
        <v>9094083</v>
      </c>
      <c r="Y41" s="2">
        <v>39665</v>
      </c>
      <c r="AA41" s="22">
        <v>9094252</v>
      </c>
      <c r="AB41" s="4" t="s">
        <v>404</v>
      </c>
      <c r="AC41" s="59">
        <v>40018</v>
      </c>
      <c r="AG41" s="3" t="s">
        <v>590</v>
      </c>
      <c r="AH41" s="3">
        <v>12</v>
      </c>
      <c r="AI41" s="3">
        <v>8</v>
      </c>
      <c r="AJ41" s="3">
        <v>4</v>
      </c>
      <c r="AL41" s="31" t="s">
        <v>584</v>
      </c>
    </row>
    <row r="42" spans="1:38" x14ac:dyDescent="0.4">
      <c r="A42" s="24" t="s">
        <v>410</v>
      </c>
      <c r="B42" s="24">
        <v>39797</v>
      </c>
      <c r="C42" s="24">
        <v>39675</v>
      </c>
      <c r="D42" s="22" t="s">
        <v>589</v>
      </c>
      <c r="E42" s="22">
        <v>9094302</v>
      </c>
      <c r="F42" s="22">
        <v>715</v>
      </c>
      <c r="G42" s="22" t="s">
        <v>835</v>
      </c>
      <c r="H42" s="55" t="s">
        <v>836</v>
      </c>
      <c r="I42" s="55" t="s">
        <v>404</v>
      </c>
      <c r="J42" s="93">
        <v>39892</v>
      </c>
      <c r="K42" s="55" t="s">
        <v>404</v>
      </c>
      <c r="L42" s="93">
        <v>39940</v>
      </c>
      <c r="M42" s="92">
        <v>39890</v>
      </c>
      <c r="N42" s="80">
        <f t="shared" si="0"/>
        <v>39675</v>
      </c>
      <c r="O42" s="80"/>
      <c r="Q42" s="211"/>
      <c r="R42" s="80"/>
      <c r="S42" s="80"/>
      <c r="T42" s="80"/>
      <c r="U42" s="22">
        <v>9094302</v>
      </c>
      <c r="V42" s="80">
        <v>39920</v>
      </c>
      <c r="X42" s="4">
        <v>9094064</v>
      </c>
      <c r="Y42" s="2">
        <v>39674</v>
      </c>
      <c r="AA42" s="22">
        <v>9094302</v>
      </c>
      <c r="AB42" s="4" t="s">
        <v>404</v>
      </c>
      <c r="AC42" s="57">
        <v>39892</v>
      </c>
      <c r="AG42" s="3" t="s">
        <v>591</v>
      </c>
      <c r="AH42" s="3">
        <v>11</v>
      </c>
      <c r="AI42" s="3">
        <v>10</v>
      </c>
      <c r="AJ42" s="3">
        <v>1</v>
      </c>
      <c r="AL42" s="31" t="s">
        <v>1746</v>
      </c>
    </row>
    <row r="43" spans="1:38" x14ac:dyDescent="0.4">
      <c r="A43" s="24" t="s">
        <v>410</v>
      </c>
      <c r="B43" s="24">
        <v>39797</v>
      </c>
      <c r="C43" s="24">
        <v>39675</v>
      </c>
      <c r="D43" s="22" t="s">
        <v>589</v>
      </c>
      <c r="E43" s="22">
        <v>9094303</v>
      </c>
      <c r="F43" s="22">
        <v>1010</v>
      </c>
      <c r="G43" s="22" t="s">
        <v>837</v>
      </c>
      <c r="H43" s="55" t="s">
        <v>838</v>
      </c>
      <c r="I43" s="55" t="s">
        <v>404</v>
      </c>
      <c r="J43" s="71">
        <v>40025</v>
      </c>
      <c r="K43" s="55" t="s">
        <v>404</v>
      </c>
      <c r="L43" s="71">
        <v>40025</v>
      </c>
      <c r="M43" s="92">
        <v>39948</v>
      </c>
      <c r="N43" s="80">
        <f t="shared" si="0"/>
        <v>39675</v>
      </c>
      <c r="O43" s="80"/>
      <c r="Q43" s="211"/>
      <c r="R43" s="80"/>
      <c r="S43" s="80"/>
      <c r="T43" s="80"/>
      <c r="U43" s="22">
        <v>9094303</v>
      </c>
      <c r="V43" s="80">
        <v>39920</v>
      </c>
      <c r="X43" s="4">
        <v>9094078</v>
      </c>
      <c r="Y43" s="2">
        <v>39673</v>
      </c>
      <c r="AA43" s="22">
        <v>9094303</v>
      </c>
      <c r="AB43" s="4" t="s">
        <v>404</v>
      </c>
      <c r="AC43" s="59">
        <v>40025</v>
      </c>
      <c r="AG43" s="3" t="s">
        <v>1452</v>
      </c>
      <c r="AH43" s="3">
        <v>3</v>
      </c>
      <c r="AI43" s="3">
        <v>0</v>
      </c>
      <c r="AJ43" s="3">
        <v>3</v>
      </c>
      <c r="AL43" s="31" t="s">
        <v>1380</v>
      </c>
    </row>
    <row r="44" spans="1:38" x14ac:dyDescent="0.4">
      <c r="A44" s="24" t="s">
        <v>410</v>
      </c>
      <c r="B44" s="24">
        <v>39797</v>
      </c>
      <c r="C44" s="24">
        <v>39675</v>
      </c>
      <c r="D44" s="22" t="s">
        <v>589</v>
      </c>
      <c r="E44" s="22">
        <v>9094304</v>
      </c>
      <c r="F44" s="22">
        <v>715</v>
      </c>
      <c r="G44" s="22" t="s">
        <v>839</v>
      </c>
      <c r="H44" s="55" t="s">
        <v>840</v>
      </c>
      <c r="I44" s="55" t="s">
        <v>404</v>
      </c>
      <c r="J44" s="93">
        <v>39892</v>
      </c>
      <c r="K44" s="55" t="s">
        <v>404</v>
      </c>
      <c r="L44" s="93">
        <v>39940</v>
      </c>
      <c r="M44" s="28">
        <v>39937</v>
      </c>
      <c r="N44" s="80">
        <f t="shared" si="0"/>
        <v>39675</v>
      </c>
      <c r="O44" s="80"/>
      <c r="Q44" s="211"/>
      <c r="R44" s="80"/>
      <c r="S44" s="80"/>
      <c r="T44" s="80"/>
      <c r="U44" s="22">
        <v>9094304</v>
      </c>
      <c r="V44" s="80">
        <v>39923</v>
      </c>
      <c r="X44" s="4">
        <v>9094066</v>
      </c>
      <c r="Y44" s="2">
        <v>39674</v>
      </c>
      <c r="AA44" s="22">
        <v>9094304</v>
      </c>
      <c r="AB44" s="4" t="s">
        <v>404</v>
      </c>
      <c r="AC44" s="57">
        <v>39892</v>
      </c>
      <c r="AG44" s="3" t="s">
        <v>1380</v>
      </c>
      <c r="AH44" s="3">
        <v>5</v>
      </c>
      <c r="AI44" s="3">
        <v>0</v>
      </c>
      <c r="AJ44" s="3">
        <v>5</v>
      </c>
      <c r="AL44" s="31" t="s">
        <v>1704</v>
      </c>
    </row>
    <row r="45" spans="1:38" x14ac:dyDescent="0.4">
      <c r="A45" s="24" t="s">
        <v>410</v>
      </c>
      <c r="B45" s="24">
        <v>39691</v>
      </c>
      <c r="C45" s="24">
        <v>39665</v>
      </c>
      <c r="D45" s="22" t="s">
        <v>589</v>
      </c>
      <c r="E45" s="34">
        <v>9094134</v>
      </c>
      <c r="F45" s="22">
        <v>1010</v>
      </c>
      <c r="G45" s="22" t="s">
        <v>841</v>
      </c>
      <c r="H45" s="55" t="s">
        <v>842</v>
      </c>
      <c r="I45" s="55" t="s">
        <v>404</v>
      </c>
      <c r="J45" s="71">
        <v>39736</v>
      </c>
      <c r="K45" s="55" t="s">
        <v>404</v>
      </c>
      <c r="L45" s="93">
        <v>39806</v>
      </c>
      <c r="M45" s="28">
        <v>39707</v>
      </c>
      <c r="N45" s="80">
        <f t="shared" si="0"/>
        <v>39665</v>
      </c>
      <c r="O45" s="80"/>
      <c r="Q45" s="211"/>
      <c r="R45" s="80"/>
      <c r="S45" s="80"/>
      <c r="T45" s="80"/>
      <c r="U45" s="34">
        <v>9094134</v>
      </c>
      <c r="V45" s="80">
        <v>39783</v>
      </c>
      <c r="X45" s="4">
        <v>9094055</v>
      </c>
      <c r="Y45" s="2">
        <v>39675</v>
      </c>
      <c r="AA45" s="34">
        <v>9094134</v>
      </c>
      <c r="AB45" s="4" t="s">
        <v>404</v>
      </c>
      <c r="AC45" s="59">
        <v>39736</v>
      </c>
      <c r="AG45" s="3" t="s">
        <v>1415</v>
      </c>
      <c r="AH45" s="3">
        <v>0</v>
      </c>
      <c r="AI45" s="3">
        <v>0</v>
      </c>
      <c r="AJ45" s="3">
        <v>0</v>
      </c>
      <c r="AL45" s="31" t="s">
        <v>585</v>
      </c>
    </row>
    <row r="46" spans="1:38" x14ac:dyDescent="0.4">
      <c r="A46" s="24" t="s">
        <v>410</v>
      </c>
      <c r="B46" s="24">
        <v>39706</v>
      </c>
      <c r="C46" s="24">
        <v>39675</v>
      </c>
      <c r="D46" s="22" t="s">
        <v>589</v>
      </c>
      <c r="E46" s="34">
        <v>9094188</v>
      </c>
      <c r="F46" s="22">
        <v>715</v>
      </c>
      <c r="G46" s="22" t="s">
        <v>843</v>
      </c>
      <c r="H46" s="55" t="s">
        <v>844</v>
      </c>
      <c r="I46" s="55" t="s">
        <v>404</v>
      </c>
      <c r="J46" s="71">
        <v>39736</v>
      </c>
      <c r="K46" s="55" t="s">
        <v>404</v>
      </c>
      <c r="L46" s="71">
        <v>39864</v>
      </c>
      <c r="M46" s="92">
        <v>39737</v>
      </c>
      <c r="N46" s="80">
        <f t="shared" si="0"/>
        <v>39675</v>
      </c>
      <c r="O46" s="80"/>
      <c r="Q46" s="211"/>
      <c r="R46" s="80"/>
      <c r="S46" s="80"/>
      <c r="T46" s="80"/>
      <c r="U46" s="34">
        <v>9094188</v>
      </c>
      <c r="V46" s="80">
        <v>39839</v>
      </c>
      <c r="X46" s="4">
        <v>9094334</v>
      </c>
      <c r="Y46" s="2">
        <v>39696</v>
      </c>
      <c r="AA46" s="34">
        <v>9094188</v>
      </c>
      <c r="AB46" s="4" t="s">
        <v>404</v>
      </c>
      <c r="AC46" s="59">
        <v>39736</v>
      </c>
      <c r="AG46" s="3" t="s">
        <v>592</v>
      </c>
      <c r="AH46" s="3">
        <v>8</v>
      </c>
      <c r="AI46" s="3">
        <v>7</v>
      </c>
      <c r="AJ46" s="3">
        <v>1</v>
      </c>
      <c r="AL46" s="31" t="s">
        <v>628</v>
      </c>
    </row>
    <row r="47" spans="1:38" x14ac:dyDescent="0.4">
      <c r="A47" s="24" t="s">
        <v>410</v>
      </c>
      <c r="B47" s="24">
        <v>39736</v>
      </c>
      <c r="C47" s="24">
        <v>39665</v>
      </c>
      <c r="D47" s="22" t="s">
        <v>589</v>
      </c>
      <c r="E47" s="22">
        <v>9094167</v>
      </c>
      <c r="F47" s="22">
        <v>715</v>
      </c>
      <c r="G47" s="22" t="s">
        <v>698</v>
      </c>
      <c r="H47" s="55" t="s">
        <v>845</v>
      </c>
      <c r="I47" s="55" t="s">
        <v>404</v>
      </c>
      <c r="J47" s="93">
        <v>39778</v>
      </c>
      <c r="K47" s="55" t="s">
        <v>404</v>
      </c>
      <c r="L47" s="71">
        <v>39864</v>
      </c>
      <c r="M47" s="92">
        <v>39792</v>
      </c>
      <c r="N47" s="80">
        <f t="shared" si="0"/>
        <v>39665</v>
      </c>
      <c r="O47" s="80"/>
      <c r="Q47" s="211"/>
      <c r="R47" s="80"/>
      <c r="S47" s="80"/>
      <c r="T47" s="80"/>
      <c r="U47" s="22">
        <v>9094167</v>
      </c>
      <c r="V47" s="80">
        <v>39840</v>
      </c>
      <c r="X47" s="4">
        <v>9094335</v>
      </c>
      <c r="Y47" s="2">
        <v>39696</v>
      </c>
      <c r="AA47" s="22">
        <v>9094167</v>
      </c>
      <c r="AB47" s="4" t="s">
        <v>404</v>
      </c>
      <c r="AC47" s="57">
        <v>39778</v>
      </c>
      <c r="AG47" s="3" t="s">
        <v>625</v>
      </c>
      <c r="AH47" s="3">
        <v>1</v>
      </c>
      <c r="AI47" s="3">
        <v>1</v>
      </c>
      <c r="AJ47" s="3">
        <v>0</v>
      </c>
      <c r="AL47" s="31" t="s">
        <v>587</v>
      </c>
    </row>
    <row r="48" spans="1:38" x14ac:dyDescent="0.4">
      <c r="A48" s="24" t="s">
        <v>410</v>
      </c>
      <c r="B48" s="24">
        <v>39736</v>
      </c>
      <c r="C48" s="24">
        <v>39665</v>
      </c>
      <c r="D48" s="22" t="s">
        <v>589</v>
      </c>
      <c r="E48" s="22">
        <v>9094178</v>
      </c>
      <c r="F48" s="22">
        <v>715</v>
      </c>
      <c r="G48" s="22" t="s">
        <v>846</v>
      </c>
      <c r="H48" s="55" t="s">
        <v>847</v>
      </c>
      <c r="I48" s="55" t="s">
        <v>404</v>
      </c>
      <c r="J48" s="95">
        <v>39783</v>
      </c>
      <c r="K48" s="55" t="s">
        <v>404</v>
      </c>
      <c r="L48" s="71">
        <v>39864</v>
      </c>
      <c r="M48" s="92">
        <v>39834</v>
      </c>
      <c r="N48" s="80">
        <f t="shared" si="0"/>
        <v>39665</v>
      </c>
      <c r="O48" s="80"/>
      <c r="Q48" s="211"/>
      <c r="R48" s="80"/>
      <c r="S48" s="80"/>
      <c r="T48" s="80"/>
      <c r="U48" s="22">
        <v>9094178</v>
      </c>
      <c r="V48" s="80">
        <v>39840</v>
      </c>
      <c r="X48" s="4">
        <v>9094103</v>
      </c>
      <c r="Y48" s="2">
        <v>39672</v>
      </c>
      <c r="AA48" s="22">
        <v>9094178</v>
      </c>
      <c r="AB48" s="4" t="s">
        <v>404</v>
      </c>
      <c r="AC48" s="58">
        <v>39783</v>
      </c>
      <c r="AH48" s="3">
        <v>382</v>
      </c>
      <c r="AI48" s="3">
        <v>258</v>
      </c>
      <c r="AJ48" s="3">
        <v>124</v>
      </c>
      <c r="AL48" s="31" t="s">
        <v>588</v>
      </c>
    </row>
    <row r="49" spans="1:38" x14ac:dyDescent="0.4">
      <c r="A49" s="24" t="s">
        <v>410</v>
      </c>
      <c r="B49" s="24">
        <v>39767</v>
      </c>
      <c r="C49" s="24">
        <v>39675</v>
      </c>
      <c r="D49" s="22" t="s">
        <v>589</v>
      </c>
      <c r="E49" s="22">
        <v>9094255</v>
      </c>
      <c r="F49" s="22">
        <v>1010</v>
      </c>
      <c r="G49" s="22" t="s">
        <v>848</v>
      </c>
      <c r="H49" s="55" t="s">
        <v>2999</v>
      </c>
      <c r="I49" s="55" t="s">
        <v>404</v>
      </c>
      <c r="J49" s="93">
        <v>40092</v>
      </c>
      <c r="K49" s="55" t="s">
        <v>404</v>
      </c>
      <c r="L49" s="93">
        <v>40094</v>
      </c>
      <c r="M49" s="28">
        <v>39917</v>
      </c>
      <c r="N49" s="80">
        <f t="shared" si="0"/>
        <v>39675</v>
      </c>
      <c r="O49" s="80"/>
      <c r="Q49" s="211"/>
      <c r="R49" s="80"/>
      <c r="S49" s="80"/>
      <c r="T49" s="80"/>
      <c r="U49" s="22">
        <v>9094255</v>
      </c>
      <c r="V49" s="80">
        <v>39899</v>
      </c>
      <c r="X49" s="4">
        <v>9094427</v>
      </c>
      <c r="Y49" s="2">
        <v>39681</v>
      </c>
      <c r="AA49" s="22">
        <v>9094255</v>
      </c>
      <c r="AB49" s="4" t="s">
        <v>404</v>
      </c>
      <c r="AC49" s="57">
        <v>40092</v>
      </c>
      <c r="AL49" s="31" t="s">
        <v>591</v>
      </c>
    </row>
    <row r="50" spans="1:38" x14ac:dyDescent="0.4">
      <c r="A50" s="24" t="s">
        <v>410</v>
      </c>
      <c r="B50" s="24">
        <v>39859</v>
      </c>
      <c r="C50" s="24">
        <v>0</v>
      </c>
      <c r="D50" s="22" t="s">
        <v>590</v>
      </c>
      <c r="E50" s="22">
        <v>9094354</v>
      </c>
      <c r="F50" s="22">
        <v>715</v>
      </c>
      <c r="G50" s="22" t="s">
        <v>852</v>
      </c>
      <c r="H50" s="55" t="s">
        <v>3000</v>
      </c>
      <c r="I50" s="55" t="s">
        <v>404</v>
      </c>
      <c r="J50" s="71">
        <v>40165</v>
      </c>
      <c r="K50" s="55" t="s">
        <v>404</v>
      </c>
      <c r="L50" s="93">
        <v>40184</v>
      </c>
      <c r="M50" s="92">
        <v>39980</v>
      </c>
      <c r="N50" s="80">
        <f t="shared" si="0"/>
        <v>39899</v>
      </c>
      <c r="O50" s="80"/>
      <c r="Q50" s="211"/>
      <c r="R50" s="80"/>
      <c r="S50" s="80"/>
      <c r="T50" s="80"/>
      <c r="U50" s="22">
        <v>9094354</v>
      </c>
      <c r="V50" s="80">
        <v>39961</v>
      </c>
      <c r="X50" s="4">
        <v>9094432</v>
      </c>
      <c r="Y50" s="2">
        <v>39681</v>
      </c>
      <c r="AA50" s="22">
        <v>9094354</v>
      </c>
      <c r="AB50" s="4" t="s">
        <v>404</v>
      </c>
      <c r="AC50" s="59">
        <v>40165</v>
      </c>
      <c r="AL50" s="31" t="s">
        <v>592</v>
      </c>
    </row>
    <row r="51" spans="1:38" x14ac:dyDescent="0.4">
      <c r="A51" s="24" t="s">
        <v>410</v>
      </c>
      <c r="B51" s="24">
        <v>39767</v>
      </c>
      <c r="C51" s="24">
        <v>0</v>
      </c>
      <c r="D51" s="22" t="s">
        <v>590</v>
      </c>
      <c r="E51" s="22">
        <v>9094152</v>
      </c>
      <c r="F51" s="22">
        <v>1210</v>
      </c>
      <c r="G51" s="22" t="s">
        <v>853</v>
      </c>
      <c r="H51" s="55" t="s">
        <v>854</v>
      </c>
      <c r="I51" s="55" t="s">
        <v>404</v>
      </c>
      <c r="J51" s="71">
        <v>39736</v>
      </c>
      <c r="K51" s="55" t="s">
        <v>404</v>
      </c>
      <c r="L51" s="93">
        <v>39806</v>
      </c>
      <c r="M51" s="28">
        <v>39707</v>
      </c>
      <c r="N51" s="80">
        <f t="shared" si="0"/>
        <v>39703</v>
      </c>
      <c r="O51" s="80"/>
      <c r="Q51" s="211"/>
      <c r="R51" s="80"/>
      <c r="S51" s="80"/>
      <c r="T51" s="80"/>
      <c r="U51" s="22">
        <v>9094152</v>
      </c>
      <c r="V51" s="80">
        <v>39787</v>
      </c>
      <c r="X51" s="4">
        <v>9094396</v>
      </c>
      <c r="Y51" s="2">
        <v>39680</v>
      </c>
      <c r="AA51" s="22">
        <v>9094152</v>
      </c>
      <c r="AB51" s="4" t="s">
        <v>404</v>
      </c>
      <c r="AC51" s="59">
        <v>39736</v>
      </c>
    </row>
    <row r="52" spans="1:38" x14ac:dyDescent="0.4">
      <c r="A52" s="24" t="s">
        <v>410</v>
      </c>
      <c r="B52" s="24">
        <v>39767</v>
      </c>
      <c r="C52" s="24">
        <v>0</v>
      </c>
      <c r="D52" s="22" t="s">
        <v>590</v>
      </c>
      <c r="E52" s="22">
        <v>9094153</v>
      </c>
      <c r="F52" s="22">
        <v>1010</v>
      </c>
      <c r="G52" s="22" t="s">
        <v>855</v>
      </c>
      <c r="H52" s="55" t="s">
        <v>856</v>
      </c>
      <c r="I52" s="55" t="s">
        <v>404</v>
      </c>
      <c r="J52" s="71">
        <v>39736</v>
      </c>
      <c r="K52" s="55" t="s">
        <v>404</v>
      </c>
      <c r="L52" s="93">
        <v>39794</v>
      </c>
      <c r="M52" s="28">
        <v>39707</v>
      </c>
      <c r="N52" s="80">
        <f t="shared" si="0"/>
        <v>39703</v>
      </c>
      <c r="O52" s="80"/>
      <c r="Q52" s="211"/>
      <c r="R52" s="80"/>
      <c r="S52" s="80"/>
      <c r="T52" s="80"/>
      <c r="U52" s="22">
        <v>9094153</v>
      </c>
      <c r="V52" s="80">
        <v>39763</v>
      </c>
      <c r="X52" s="4">
        <v>9094454</v>
      </c>
      <c r="Y52" s="2">
        <v>39706</v>
      </c>
      <c r="AA52" s="22">
        <v>9094153</v>
      </c>
      <c r="AB52" s="4" t="s">
        <v>404</v>
      </c>
      <c r="AC52" s="59">
        <v>39736</v>
      </c>
    </row>
    <row r="53" spans="1:38" x14ac:dyDescent="0.4">
      <c r="A53" s="24" t="s">
        <v>410</v>
      </c>
      <c r="B53" s="24">
        <v>39859</v>
      </c>
      <c r="C53" s="24">
        <v>0</v>
      </c>
      <c r="D53" s="22" t="s">
        <v>590</v>
      </c>
      <c r="E53" s="22">
        <v>9094355</v>
      </c>
      <c r="F53" s="22">
        <v>1010</v>
      </c>
      <c r="G53" s="22" t="s">
        <v>857</v>
      </c>
      <c r="H53" s="55" t="s">
        <v>858</v>
      </c>
      <c r="I53" s="55" t="s">
        <v>404</v>
      </c>
      <c r="J53" s="71">
        <v>40025</v>
      </c>
      <c r="K53" s="55" t="s">
        <v>404</v>
      </c>
      <c r="L53" s="95">
        <v>40026</v>
      </c>
      <c r="M53" s="92">
        <v>40025</v>
      </c>
      <c r="N53" s="80">
        <f t="shared" si="0"/>
        <v>39706</v>
      </c>
      <c r="O53" s="80"/>
      <c r="Q53" s="211"/>
      <c r="R53" s="80"/>
      <c r="S53" s="80"/>
      <c r="T53" s="80"/>
      <c r="U53" s="22">
        <v>9094355</v>
      </c>
      <c r="V53" s="80">
        <v>39981</v>
      </c>
      <c r="X53" s="4">
        <v>9094286</v>
      </c>
      <c r="Y53" s="2">
        <v>39668</v>
      </c>
      <c r="AA53" s="22">
        <v>9094355</v>
      </c>
      <c r="AB53" s="4" t="s">
        <v>404</v>
      </c>
      <c r="AC53" s="59">
        <v>40025</v>
      </c>
    </row>
    <row r="54" spans="1:38" x14ac:dyDescent="0.4">
      <c r="A54" s="24" t="s">
        <v>410</v>
      </c>
      <c r="B54" s="24">
        <v>39859</v>
      </c>
      <c r="C54" s="24">
        <v>0</v>
      </c>
      <c r="D54" s="22" t="s">
        <v>590</v>
      </c>
      <c r="E54" s="22">
        <v>9094356</v>
      </c>
      <c r="F54" s="22">
        <v>1010</v>
      </c>
      <c r="G54" s="22" t="s">
        <v>859</v>
      </c>
      <c r="H54" s="55" t="s">
        <v>3001</v>
      </c>
      <c r="I54" s="55" t="s">
        <v>404</v>
      </c>
      <c r="J54" s="93">
        <v>40165</v>
      </c>
      <c r="K54" s="55" t="s">
        <v>404</v>
      </c>
      <c r="L54" s="93">
        <v>40183</v>
      </c>
      <c r="M54" s="92">
        <v>40025</v>
      </c>
      <c r="N54" s="80">
        <f t="shared" si="0"/>
        <v>39706</v>
      </c>
      <c r="O54" s="80"/>
      <c r="Q54" s="211"/>
      <c r="R54" s="80"/>
      <c r="S54" s="80"/>
      <c r="T54" s="80"/>
      <c r="U54" s="22">
        <v>9094356</v>
      </c>
      <c r="V54" s="80">
        <v>39982</v>
      </c>
      <c r="X54" s="4">
        <v>9094051</v>
      </c>
      <c r="Y54" s="2">
        <v>39675</v>
      </c>
      <c r="AA54" s="22">
        <v>9094356</v>
      </c>
      <c r="AB54" s="4" t="s">
        <v>404</v>
      </c>
      <c r="AC54" s="57">
        <v>40165</v>
      </c>
    </row>
    <row r="55" spans="1:38" x14ac:dyDescent="0.4">
      <c r="A55" s="24" t="s">
        <v>410</v>
      </c>
      <c r="B55" s="24">
        <v>39736</v>
      </c>
      <c r="C55" s="24">
        <v>0</v>
      </c>
      <c r="D55" s="22" t="s">
        <v>590</v>
      </c>
      <c r="E55" s="22">
        <v>9094187</v>
      </c>
      <c r="F55" s="22">
        <v>1210</v>
      </c>
      <c r="G55" s="22" t="s">
        <v>860</v>
      </c>
      <c r="H55" s="55" t="s">
        <v>861</v>
      </c>
      <c r="I55" s="55" t="s">
        <v>404</v>
      </c>
      <c r="J55" s="93">
        <v>39892</v>
      </c>
      <c r="K55" s="55" t="s">
        <v>404</v>
      </c>
      <c r="L55" s="71">
        <v>39903</v>
      </c>
      <c r="M55" s="92">
        <v>39707</v>
      </c>
      <c r="N55" s="80">
        <f t="shared" si="0"/>
        <v>39706</v>
      </c>
      <c r="O55" s="80"/>
      <c r="Q55" s="211"/>
      <c r="R55" s="80"/>
      <c r="S55" s="80"/>
      <c r="T55" s="80"/>
      <c r="U55" s="22">
        <v>9094187</v>
      </c>
      <c r="V55" s="80">
        <v>39834</v>
      </c>
      <c r="X55" s="4">
        <v>9094390</v>
      </c>
      <c r="Y55" s="2">
        <v>39675</v>
      </c>
      <c r="AA55" s="22">
        <v>9094187</v>
      </c>
      <c r="AB55" s="4" t="s">
        <v>404</v>
      </c>
      <c r="AC55" s="57">
        <v>39892</v>
      </c>
    </row>
    <row r="56" spans="1:38" x14ac:dyDescent="0.4">
      <c r="A56" s="24" t="s">
        <v>410</v>
      </c>
      <c r="B56" s="24">
        <v>39828</v>
      </c>
      <c r="C56" s="24">
        <v>0</v>
      </c>
      <c r="D56" s="22" t="s">
        <v>590</v>
      </c>
      <c r="E56" s="22">
        <v>9094329</v>
      </c>
      <c r="F56" s="22">
        <v>1010</v>
      </c>
      <c r="G56" s="22" t="s">
        <v>862</v>
      </c>
      <c r="H56" s="55" t="s">
        <v>863</v>
      </c>
      <c r="I56" s="55" t="s">
        <v>404</v>
      </c>
      <c r="J56" s="93">
        <v>39892</v>
      </c>
      <c r="K56" s="55" t="s">
        <v>404</v>
      </c>
      <c r="L56" s="71">
        <v>39933</v>
      </c>
      <c r="M56" s="92">
        <v>39856</v>
      </c>
      <c r="N56" s="80">
        <f t="shared" si="0"/>
        <v>39848</v>
      </c>
      <c r="O56" s="80"/>
      <c r="Q56" s="211"/>
      <c r="R56" s="80"/>
      <c r="S56" s="80"/>
      <c r="T56" s="80"/>
      <c r="U56" s="22">
        <v>9094329</v>
      </c>
      <c r="V56" s="80">
        <v>39862</v>
      </c>
      <c r="X56" s="4">
        <v>9094099</v>
      </c>
      <c r="Y56" s="2">
        <v>39675</v>
      </c>
      <c r="AA56" s="22">
        <v>9094329</v>
      </c>
      <c r="AB56" s="4" t="s">
        <v>404</v>
      </c>
      <c r="AC56" s="57">
        <v>39892</v>
      </c>
    </row>
    <row r="57" spans="1:38" x14ac:dyDescent="0.4">
      <c r="A57" s="24" t="s">
        <v>410</v>
      </c>
      <c r="B57" s="24">
        <v>39828</v>
      </c>
      <c r="C57" s="24">
        <v>0</v>
      </c>
      <c r="D57" s="22" t="s">
        <v>590</v>
      </c>
      <c r="E57" s="22">
        <v>9094330</v>
      </c>
      <c r="F57" s="22">
        <v>1010</v>
      </c>
      <c r="G57" s="22" t="s">
        <v>864</v>
      </c>
      <c r="H57" s="55" t="s">
        <v>3002</v>
      </c>
      <c r="I57" s="55" t="s">
        <v>404</v>
      </c>
      <c r="J57" s="71">
        <v>40140</v>
      </c>
      <c r="K57" s="55" t="s">
        <v>404</v>
      </c>
      <c r="L57" s="198"/>
      <c r="M57" s="92">
        <v>39856</v>
      </c>
      <c r="N57" s="80">
        <f t="shared" si="0"/>
        <v>39848</v>
      </c>
      <c r="O57" s="80"/>
      <c r="Q57" s="211"/>
      <c r="R57" s="80"/>
      <c r="S57" s="80"/>
      <c r="T57" s="80"/>
      <c r="U57" s="22">
        <v>9094330</v>
      </c>
      <c r="V57" s="80" t="s">
        <v>1685</v>
      </c>
      <c r="X57" s="4">
        <v>9094133</v>
      </c>
      <c r="Y57" s="2">
        <v>39665</v>
      </c>
      <c r="AA57" s="22">
        <v>9094330</v>
      </c>
      <c r="AB57" s="4" t="s">
        <v>404</v>
      </c>
      <c r="AC57" s="59">
        <v>40140</v>
      </c>
    </row>
    <row r="58" spans="1:38" x14ac:dyDescent="0.4">
      <c r="A58" s="24" t="s">
        <v>410</v>
      </c>
      <c r="B58" s="24">
        <v>39797</v>
      </c>
      <c r="C58" s="24">
        <v>0</v>
      </c>
      <c r="D58" s="22" t="s">
        <v>590</v>
      </c>
      <c r="E58" s="22">
        <v>9094305</v>
      </c>
      <c r="F58" s="22">
        <v>1010</v>
      </c>
      <c r="G58" s="22" t="s">
        <v>865</v>
      </c>
      <c r="H58" s="55" t="s">
        <v>866</v>
      </c>
      <c r="I58" s="55" t="s">
        <v>404</v>
      </c>
      <c r="J58" s="71">
        <v>39736</v>
      </c>
      <c r="K58" s="55" t="s">
        <v>404</v>
      </c>
      <c r="L58" s="93">
        <v>39812</v>
      </c>
      <c r="M58" s="28">
        <v>39707</v>
      </c>
      <c r="N58" s="80">
        <f t="shared" si="0"/>
        <v>39703</v>
      </c>
      <c r="O58" s="80"/>
      <c r="Q58" s="211"/>
      <c r="R58" s="80"/>
      <c r="S58" s="80"/>
      <c r="T58" s="80"/>
      <c r="U58" s="22">
        <v>9094305</v>
      </c>
      <c r="V58" s="80">
        <v>39801</v>
      </c>
      <c r="X58" s="4">
        <v>9094453</v>
      </c>
      <c r="Y58" s="2">
        <v>39708</v>
      </c>
      <c r="AA58" s="22">
        <v>9094305</v>
      </c>
      <c r="AB58" s="4" t="s">
        <v>404</v>
      </c>
      <c r="AC58" s="59">
        <v>39736</v>
      </c>
    </row>
    <row r="59" spans="1:38" x14ac:dyDescent="0.4">
      <c r="A59" s="24" t="s">
        <v>410</v>
      </c>
      <c r="B59" s="24">
        <v>39736</v>
      </c>
      <c r="C59" s="24">
        <v>0</v>
      </c>
      <c r="D59" s="22" t="s">
        <v>590</v>
      </c>
      <c r="E59" s="22">
        <v>9094102</v>
      </c>
      <c r="F59" s="22">
        <v>1010</v>
      </c>
      <c r="G59" s="22" t="s">
        <v>867</v>
      </c>
      <c r="H59" s="55" t="s">
        <v>868</v>
      </c>
      <c r="I59" s="55" t="s">
        <v>404</v>
      </c>
      <c r="J59" s="71">
        <v>39736</v>
      </c>
      <c r="K59" s="55" t="s">
        <v>404</v>
      </c>
      <c r="L59" s="93">
        <v>39752</v>
      </c>
      <c r="M59" s="28">
        <v>39737</v>
      </c>
      <c r="N59" s="80">
        <f t="shared" si="0"/>
        <v>39703</v>
      </c>
      <c r="O59" s="80"/>
      <c r="Q59" s="211"/>
      <c r="R59" s="80"/>
      <c r="S59" s="80"/>
      <c r="T59" s="80"/>
      <c r="U59" s="22">
        <v>9094102</v>
      </c>
      <c r="V59" s="80">
        <v>39745</v>
      </c>
      <c r="X59" s="4">
        <v>9094130</v>
      </c>
      <c r="Y59" s="2">
        <v>39668</v>
      </c>
      <c r="AA59" s="22">
        <v>9094102</v>
      </c>
      <c r="AB59" s="4" t="s">
        <v>404</v>
      </c>
      <c r="AC59" s="59">
        <v>39736</v>
      </c>
    </row>
    <row r="60" spans="1:38" x14ac:dyDescent="0.4">
      <c r="A60" s="24" t="s">
        <v>410</v>
      </c>
      <c r="B60" s="24">
        <v>39797</v>
      </c>
      <c r="C60" s="24">
        <v>0</v>
      </c>
      <c r="D60" s="22" t="s">
        <v>590</v>
      </c>
      <c r="E60" s="22">
        <v>9094306</v>
      </c>
      <c r="F60" s="22">
        <v>1010</v>
      </c>
      <c r="G60" s="22" t="s">
        <v>869</v>
      </c>
      <c r="H60" s="55" t="s">
        <v>870</v>
      </c>
      <c r="I60" s="55" t="s">
        <v>404</v>
      </c>
      <c r="J60" s="71">
        <v>39736</v>
      </c>
      <c r="K60" s="55" t="s">
        <v>404</v>
      </c>
      <c r="L60" s="93">
        <v>39811</v>
      </c>
      <c r="M60" s="28">
        <v>39707</v>
      </c>
      <c r="N60" s="80">
        <f t="shared" si="0"/>
        <v>39706</v>
      </c>
      <c r="O60" s="80"/>
      <c r="Q60" s="211"/>
      <c r="R60" s="80"/>
      <c r="S60" s="80"/>
      <c r="T60" s="80"/>
      <c r="U60" s="22">
        <v>9094306</v>
      </c>
      <c r="V60" s="80">
        <v>39801</v>
      </c>
      <c r="X60" s="4">
        <v>9094075</v>
      </c>
      <c r="Y60" s="2">
        <v>39667</v>
      </c>
      <c r="AA60" s="22">
        <v>9094306</v>
      </c>
      <c r="AB60" s="4" t="s">
        <v>404</v>
      </c>
      <c r="AC60" s="59">
        <v>39736</v>
      </c>
    </row>
    <row r="61" spans="1:38" x14ac:dyDescent="0.4">
      <c r="A61" s="24" t="s">
        <v>410</v>
      </c>
      <c r="B61" s="24">
        <v>39859</v>
      </c>
      <c r="C61" s="24">
        <v>0</v>
      </c>
      <c r="D61" s="22" t="s">
        <v>590</v>
      </c>
      <c r="E61" s="22">
        <v>9094353</v>
      </c>
      <c r="F61" s="22">
        <v>715</v>
      </c>
      <c r="G61" s="22" t="s">
        <v>871</v>
      </c>
      <c r="H61" s="55" t="s">
        <v>3003</v>
      </c>
      <c r="I61" s="55" t="s">
        <v>404</v>
      </c>
      <c r="J61" s="71">
        <v>40121</v>
      </c>
      <c r="K61" s="55" t="s">
        <v>404</v>
      </c>
      <c r="L61" s="71">
        <v>40121</v>
      </c>
      <c r="M61" s="92">
        <v>39980</v>
      </c>
      <c r="N61" s="80">
        <f t="shared" si="0"/>
        <v>39899</v>
      </c>
      <c r="O61" s="80"/>
      <c r="Q61" s="211"/>
      <c r="R61" s="80"/>
      <c r="S61" s="80"/>
      <c r="T61" s="80"/>
      <c r="U61" s="22">
        <v>9094353</v>
      </c>
      <c r="V61" s="80">
        <v>39961</v>
      </c>
      <c r="X61" s="4">
        <v>9094093</v>
      </c>
      <c r="Y61" s="2">
        <v>39675</v>
      </c>
      <c r="AA61" s="22">
        <v>9094353</v>
      </c>
      <c r="AB61" s="4" t="s">
        <v>404</v>
      </c>
      <c r="AC61" s="59">
        <v>40121</v>
      </c>
    </row>
    <row r="62" spans="1:38" x14ac:dyDescent="0.4">
      <c r="A62" s="24" t="s">
        <v>549</v>
      </c>
      <c r="B62" s="24">
        <v>39706</v>
      </c>
      <c r="C62" s="24">
        <v>0</v>
      </c>
      <c r="D62" s="22" t="s">
        <v>567</v>
      </c>
      <c r="E62" s="22">
        <v>9094044</v>
      </c>
      <c r="F62" s="22">
        <v>715</v>
      </c>
      <c r="G62" s="22" t="s">
        <v>872</v>
      </c>
      <c r="H62" s="55" t="s">
        <v>873</v>
      </c>
      <c r="I62" s="3" t="s">
        <v>404</v>
      </c>
      <c r="J62" s="43">
        <v>39906</v>
      </c>
      <c r="K62" s="3" t="s">
        <v>404</v>
      </c>
      <c r="L62" s="43">
        <v>39913</v>
      </c>
      <c r="M62" s="92"/>
      <c r="N62" s="80">
        <f t="shared" si="0"/>
        <v>39685</v>
      </c>
      <c r="O62" s="80"/>
      <c r="Q62" s="211"/>
      <c r="R62" s="80"/>
      <c r="S62" s="80"/>
      <c r="T62" s="80"/>
      <c r="U62" s="22">
        <v>9094044</v>
      </c>
      <c r="V62" s="80">
        <v>39701</v>
      </c>
      <c r="X62" s="4">
        <v>9094094</v>
      </c>
      <c r="Y62" s="2">
        <v>39675</v>
      </c>
      <c r="AA62" s="22">
        <v>9094044</v>
      </c>
      <c r="AB62" s="3" t="s">
        <v>404</v>
      </c>
      <c r="AC62" s="43">
        <v>39906</v>
      </c>
    </row>
    <row r="63" spans="1:38" x14ac:dyDescent="0.4">
      <c r="A63" s="24" t="s">
        <v>549</v>
      </c>
      <c r="B63" s="24">
        <v>39706</v>
      </c>
      <c r="C63" s="24">
        <v>0</v>
      </c>
      <c r="D63" s="22" t="s">
        <v>567</v>
      </c>
      <c r="E63" s="22">
        <v>9094045</v>
      </c>
      <c r="F63" s="22">
        <v>1010</v>
      </c>
      <c r="G63" s="22" t="s">
        <v>874</v>
      </c>
      <c r="H63" s="55" t="s">
        <v>873</v>
      </c>
      <c r="I63" s="91" t="s">
        <v>404</v>
      </c>
      <c r="J63" s="94">
        <v>39932</v>
      </c>
      <c r="K63" s="91" t="s">
        <v>404</v>
      </c>
      <c r="L63" s="92">
        <v>39939</v>
      </c>
      <c r="M63" s="92"/>
      <c r="N63" s="80">
        <f t="shared" si="0"/>
        <v>39685</v>
      </c>
      <c r="O63" s="80"/>
      <c r="Q63" s="211"/>
      <c r="R63" s="80"/>
      <c r="S63" s="80"/>
      <c r="T63" s="80"/>
      <c r="U63" s="22">
        <v>9094045</v>
      </c>
      <c r="V63" s="80">
        <v>39708</v>
      </c>
      <c r="X63" s="4">
        <v>9094076</v>
      </c>
      <c r="Y63" s="2">
        <v>39667</v>
      </c>
      <c r="AA63" s="22">
        <v>9094045</v>
      </c>
      <c r="AB63" s="38" t="s">
        <v>404</v>
      </c>
      <c r="AC63" s="44">
        <v>39932</v>
      </c>
    </row>
    <row r="64" spans="1:38" x14ac:dyDescent="0.4">
      <c r="A64" s="24" t="s">
        <v>549</v>
      </c>
      <c r="B64" s="24">
        <v>39706</v>
      </c>
      <c r="C64" s="24">
        <v>0</v>
      </c>
      <c r="D64" s="22" t="s">
        <v>567</v>
      </c>
      <c r="E64" s="22">
        <v>9094027</v>
      </c>
      <c r="F64" s="22">
        <v>1010</v>
      </c>
      <c r="G64" s="22" t="s">
        <v>875</v>
      </c>
      <c r="H64" s="55" t="s">
        <v>873</v>
      </c>
      <c r="I64" s="3" t="s">
        <v>404</v>
      </c>
      <c r="J64" s="62">
        <v>40051</v>
      </c>
      <c r="K64" s="3" t="s">
        <v>404</v>
      </c>
      <c r="L64" s="1"/>
      <c r="M64" s="92"/>
      <c r="N64" s="80">
        <f t="shared" si="0"/>
        <v>39685</v>
      </c>
      <c r="O64" s="80"/>
      <c r="Q64" s="211"/>
      <c r="R64" s="80"/>
      <c r="S64" s="80"/>
      <c r="T64" s="80"/>
      <c r="U64" s="22">
        <v>9094027</v>
      </c>
      <c r="V64" s="80">
        <v>39682</v>
      </c>
      <c r="X64" s="4">
        <v>9094058</v>
      </c>
      <c r="Y64" s="2">
        <v>39675</v>
      </c>
      <c r="AA64" s="22">
        <v>9094027</v>
      </c>
      <c r="AB64" s="3" t="s">
        <v>404</v>
      </c>
      <c r="AC64" s="62">
        <v>40051</v>
      </c>
    </row>
    <row r="65" spans="1:29" x14ac:dyDescent="0.4">
      <c r="A65" s="24" t="s">
        <v>549</v>
      </c>
      <c r="B65" s="24">
        <v>39980</v>
      </c>
      <c r="C65" s="24">
        <v>39675</v>
      </c>
      <c r="D65" s="22" t="s">
        <v>567</v>
      </c>
      <c r="E65" s="22">
        <v>9094390</v>
      </c>
      <c r="F65" s="22">
        <v>1010</v>
      </c>
      <c r="G65" s="22" t="s">
        <v>876</v>
      </c>
      <c r="H65" s="55" t="s">
        <v>3004</v>
      </c>
      <c r="I65" s="91" t="s">
        <v>404</v>
      </c>
      <c r="J65" s="94">
        <v>40161</v>
      </c>
      <c r="K65" s="91" t="s">
        <v>404</v>
      </c>
      <c r="L65" s="92"/>
      <c r="M65" s="92"/>
      <c r="N65" s="80">
        <f t="shared" si="0"/>
        <v>39675</v>
      </c>
      <c r="O65" s="80"/>
      <c r="Q65" s="211"/>
      <c r="R65" s="80"/>
      <c r="S65" s="80"/>
      <c r="T65" s="80"/>
      <c r="U65" s="22">
        <v>9094390</v>
      </c>
      <c r="V65" s="80">
        <v>39728</v>
      </c>
      <c r="X65" s="4">
        <v>9094050</v>
      </c>
      <c r="Y65" s="2">
        <v>39675</v>
      </c>
      <c r="AA65" s="22">
        <v>9094390</v>
      </c>
      <c r="AB65" s="38" t="s">
        <v>404</v>
      </c>
      <c r="AC65" s="44">
        <v>40161</v>
      </c>
    </row>
    <row r="66" spans="1:29" x14ac:dyDescent="0.4">
      <c r="A66" s="24" t="s">
        <v>549</v>
      </c>
      <c r="B66" s="24">
        <v>39887</v>
      </c>
      <c r="C66" s="24">
        <v>39675</v>
      </c>
      <c r="D66" s="22" t="s">
        <v>567</v>
      </c>
      <c r="E66" s="22">
        <v>9094275</v>
      </c>
      <c r="F66" s="22">
        <v>715</v>
      </c>
      <c r="G66" s="22" t="s">
        <v>877</v>
      </c>
      <c r="H66" s="55" t="s">
        <v>873</v>
      </c>
      <c r="I66" s="91" t="s">
        <v>404</v>
      </c>
      <c r="J66" s="94">
        <v>40042</v>
      </c>
      <c r="K66" s="91" t="s">
        <v>404</v>
      </c>
      <c r="L66" s="92"/>
      <c r="M66" s="92"/>
      <c r="N66" s="80">
        <f t="shared" si="0"/>
        <v>39675</v>
      </c>
      <c r="O66" s="80"/>
      <c r="Q66" s="211"/>
      <c r="R66" s="80"/>
      <c r="S66" s="80"/>
      <c r="T66" s="80"/>
      <c r="U66" s="22">
        <v>9094275</v>
      </c>
      <c r="V66" s="80">
        <v>39986</v>
      </c>
      <c r="X66" s="4">
        <v>9094073</v>
      </c>
      <c r="Y66" s="2">
        <v>39666</v>
      </c>
      <c r="AA66" s="22">
        <v>9094275</v>
      </c>
      <c r="AB66" s="38" t="s">
        <v>404</v>
      </c>
      <c r="AC66" s="44">
        <v>40042</v>
      </c>
    </row>
    <row r="67" spans="1:29" x14ac:dyDescent="0.4">
      <c r="A67" s="24" t="s">
        <v>549</v>
      </c>
      <c r="B67" s="24">
        <v>39706</v>
      </c>
      <c r="C67" s="24">
        <v>39675</v>
      </c>
      <c r="D67" s="22" t="s">
        <v>567</v>
      </c>
      <c r="E67" s="22">
        <v>9094123</v>
      </c>
      <c r="F67" s="22">
        <v>1010</v>
      </c>
      <c r="G67" s="22" t="s">
        <v>878</v>
      </c>
      <c r="H67" s="55" t="s">
        <v>873</v>
      </c>
      <c r="I67" s="91" t="s">
        <v>404</v>
      </c>
      <c r="J67" s="94">
        <v>39948</v>
      </c>
      <c r="K67" s="91" t="s">
        <v>404</v>
      </c>
      <c r="L67" s="92">
        <v>39960</v>
      </c>
      <c r="M67" s="92"/>
      <c r="N67" s="80">
        <f t="shared" ref="N67:N130" si="1">VLOOKUP(E67,PO_Dates2009,2,FALSE)</f>
        <v>39675</v>
      </c>
      <c r="O67" s="80"/>
      <c r="Q67" s="211"/>
      <c r="R67" s="80"/>
      <c r="S67" s="80"/>
      <c r="T67" s="80"/>
      <c r="U67" s="22">
        <v>9094123</v>
      </c>
      <c r="V67" s="80">
        <v>39953</v>
      </c>
      <c r="X67" s="4">
        <v>9094080</v>
      </c>
      <c r="Y67" s="2">
        <v>39673</v>
      </c>
      <c r="AA67" s="22">
        <v>9094123</v>
      </c>
      <c r="AB67" s="38" t="s">
        <v>404</v>
      </c>
      <c r="AC67" s="44">
        <v>39948</v>
      </c>
    </row>
    <row r="68" spans="1:29" x14ac:dyDescent="0.4">
      <c r="A68" s="24" t="s">
        <v>549</v>
      </c>
      <c r="B68" s="24">
        <v>39887</v>
      </c>
      <c r="C68" s="24">
        <v>39675</v>
      </c>
      <c r="D68" s="22" t="s">
        <v>567</v>
      </c>
      <c r="E68" s="22">
        <v>9094363</v>
      </c>
      <c r="F68" s="22">
        <v>1010</v>
      </c>
      <c r="G68" s="22" t="s">
        <v>879</v>
      </c>
      <c r="H68" s="55" t="s">
        <v>880</v>
      </c>
      <c r="I68" s="91" t="s">
        <v>404</v>
      </c>
      <c r="J68" s="94">
        <v>40011</v>
      </c>
      <c r="K68" s="91" t="s">
        <v>404</v>
      </c>
      <c r="L68" s="92"/>
      <c r="M68" s="92"/>
      <c r="N68" s="80">
        <f t="shared" si="1"/>
        <v>39675</v>
      </c>
      <c r="O68" s="80"/>
      <c r="Q68" s="211"/>
      <c r="R68" s="80"/>
      <c r="S68" s="80"/>
      <c r="T68" s="80"/>
      <c r="U68" s="22">
        <v>9094363</v>
      </c>
      <c r="V68" s="80">
        <v>39967</v>
      </c>
      <c r="X68" s="4">
        <v>9094029</v>
      </c>
      <c r="Y68" s="2">
        <v>39660</v>
      </c>
      <c r="AA68" s="22">
        <v>9094363</v>
      </c>
      <c r="AB68" s="38" t="s">
        <v>404</v>
      </c>
      <c r="AC68" s="44">
        <v>40011</v>
      </c>
    </row>
    <row r="69" spans="1:29" x14ac:dyDescent="0.4">
      <c r="A69" s="24" t="s">
        <v>549</v>
      </c>
      <c r="B69" s="24">
        <v>39828</v>
      </c>
      <c r="C69" s="24">
        <v>39675</v>
      </c>
      <c r="D69" s="22" t="s">
        <v>567</v>
      </c>
      <c r="E69" s="22">
        <v>9094267</v>
      </c>
      <c r="F69" s="22">
        <v>1010</v>
      </c>
      <c r="G69" s="22" t="s">
        <v>882</v>
      </c>
      <c r="H69" s="55" t="s">
        <v>873</v>
      </c>
      <c r="I69" s="91" t="s">
        <v>404</v>
      </c>
      <c r="J69" s="94">
        <v>39706</v>
      </c>
      <c r="K69" s="91" t="s">
        <v>404</v>
      </c>
      <c r="L69" s="92">
        <v>39860</v>
      </c>
      <c r="M69" s="92"/>
      <c r="N69" s="80">
        <f t="shared" si="1"/>
        <v>39675</v>
      </c>
      <c r="O69" s="80"/>
      <c r="Q69" s="211"/>
      <c r="R69" s="80"/>
      <c r="S69" s="80"/>
      <c r="T69" s="80"/>
      <c r="U69" s="22">
        <v>9094267</v>
      </c>
      <c r="V69" s="80">
        <v>39850</v>
      </c>
      <c r="X69" s="4">
        <v>9094111</v>
      </c>
      <c r="Y69" s="2">
        <v>39669</v>
      </c>
      <c r="AA69" s="22">
        <v>9094267</v>
      </c>
      <c r="AB69" s="38" t="s">
        <v>404</v>
      </c>
      <c r="AC69" s="44">
        <v>39706</v>
      </c>
    </row>
    <row r="70" spans="1:29" x14ac:dyDescent="0.4">
      <c r="A70" s="24" t="s">
        <v>549</v>
      </c>
      <c r="B70" s="24">
        <v>39736</v>
      </c>
      <c r="C70" s="24">
        <v>39675</v>
      </c>
      <c r="D70" s="22" t="s">
        <v>567</v>
      </c>
      <c r="E70" s="22">
        <v>9094139</v>
      </c>
      <c r="F70" s="22">
        <v>715</v>
      </c>
      <c r="G70" s="22" t="s">
        <v>883</v>
      </c>
      <c r="H70" s="55" t="s">
        <v>873</v>
      </c>
      <c r="I70" s="91" t="s">
        <v>404</v>
      </c>
      <c r="J70" s="94">
        <v>39888</v>
      </c>
      <c r="K70" s="91" t="s">
        <v>404</v>
      </c>
      <c r="L70" s="92">
        <v>39905</v>
      </c>
      <c r="M70" s="92"/>
      <c r="N70" s="80">
        <f t="shared" si="1"/>
        <v>39675</v>
      </c>
      <c r="O70" s="80"/>
      <c r="Q70" s="211"/>
      <c r="R70" s="80"/>
      <c r="S70" s="80"/>
      <c r="T70" s="80"/>
      <c r="U70" s="22">
        <v>9094139</v>
      </c>
      <c r="V70" s="80">
        <v>39765</v>
      </c>
      <c r="X70" s="4">
        <v>9094087</v>
      </c>
      <c r="Y70" s="2">
        <v>39665</v>
      </c>
      <c r="AA70" s="22">
        <v>9094139</v>
      </c>
      <c r="AB70" s="38" t="s">
        <v>404</v>
      </c>
      <c r="AC70" s="44">
        <v>39888</v>
      </c>
    </row>
    <row r="71" spans="1:29" x14ac:dyDescent="0.4">
      <c r="A71" s="24" t="s">
        <v>549</v>
      </c>
      <c r="B71" s="24">
        <v>39859</v>
      </c>
      <c r="C71" s="24">
        <v>39675</v>
      </c>
      <c r="D71" s="22" t="s">
        <v>567</v>
      </c>
      <c r="E71" s="22">
        <v>9094270</v>
      </c>
      <c r="F71" s="22">
        <v>1010</v>
      </c>
      <c r="G71" s="22" t="s">
        <v>884</v>
      </c>
      <c r="H71" s="55" t="s">
        <v>873</v>
      </c>
      <c r="I71" s="91" t="s">
        <v>404</v>
      </c>
      <c r="J71" s="94">
        <v>39812</v>
      </c>
      <c r="K71" s="91" t="s">
        <v>404</v>
      </c>
      <c r="L71" s="92">
        <v>39878</v>
      </c>
      <c r="M71" s="92">
        <v>39878</v>
      </c>
      <c r="N71" s="80">
        <f t="shared" si="1"/>
        <v>39675</v>
      </c>
      <c r="O71" s="80"/>
      <c r="Q71" s="211"/>
      <c r="R71" s="80"/>
      <c r="S71" s="80"/>
      <c r="T71" s="80"/>
      <c r="U71" s="22">
        <v>9094270</v>
      </c>
      <c r="V71" s="80">
        <v>39854</v>
      </c>
      <c r="X71" s="4">
        <v>9094088</v>
      </c>
      <c r="Y71" s="2">
        <v>39665</v>
      </c>
      <c r="AA71" s="22">
        <v>9094270</v>
      </c>
      <c r="AB71" s="38" t="s">
        <v>404</v>
      </c>
      <c r="AC71" s="44">
        <v>39812</v>
      </c>
    </row>
    <row r="72" spans="1:29" x14ac:dyDescent="0.4">
      <c r="A72" s="24" t="s">
        <v>549</v>
      </c>
      <c r="B72" s="24">
        <v>39767</v>
      </c>
      <c r="C72" s="24">
        <v>39675</v>
      </c>
      <c r="D72" s="22" t="s">
        <v>567</v>
      </c>
      <c r="E72" s="22">
        <v>9094168</v>
      </c>
      <c r="F72" s="22">
        <v>715</v>
      </c>
      <c r="G72" s="22" t="s">
        <v>899</v>
      </c>
      <c r="H72" s="55" t="s">
        <v>873</v>
      </c>
      <c r="I72" s="91" t="s">
        <v>404</v>
      </c>
      <c r="J72" s="94">
        <v>39889</v>
      </c>
      <c r="K72" s="91" t="s">
        <v>404</v>
      </c>
      <c r="L72" s="92">
        <v>39902</v>
      </c>
      <c r="M72" s="92"/>
      <c r="N72" s="80">
        <f t="shared" si="1"/>
        <v>39675</v>
      </c>
      <c r="O72" s="80"/>
      <c r="Q72" s="211"/>
      <c r="R72" s="80"/>
      <c r="S72" s="80"/>
      <c r="T72" s="80"/>
      <c r="U72" s="22">
        <v>9094168</v>
      </c>
      <c r="V72" s="80">
        <v>39769</v>
      </c>
      <c r="X72" s="4">
        <v>9094281</v>
      </c>
      <c r="Y72" s="2">
        <v>39673</v>
      </c>
      <c r="AA72" s="22">
        <v>9094168</v>
      </c>
      <c r="AB72" s="38" t="s">
        <v>404</v>
      </c>
      <c r="AC72" s="44">
        <v>39889</v>
      </c>
    </row>
    <row r="73" spans="1:29" x14ac:dyDescent="0.4">
      <c r="A73" s="24" t="s">
        <v>549</v>
      </c>
      <c r="B73" s="24">
        <v>39797</v>
      </c>
      <c r="C73" s="24">
        <v>39675</v>
      </c>
      <c r="D73" s="22" t="s">
        <v>567</v>
      </c>
      <c r="E73" s="22">
        <v>9094190</v>
      </c>
      <c r="F73" s="22">
        <v>1010</v>
      </c>
      <c r="G73" s="22" t="s">
        <v>900</v>
      </c>
      <c r="H73" s="55" t="s">
        <v>873</v>
      </c>
      <c r="I73" s="91" t="s">
        <v>404</v>
      </c>
      <c r="J73" s="94">
        <v>39678</v>
      </c>
      <c r="K73" s="91" t="s">
        <v>404</v>
      </c>
      <c r="L73" s="92">
        <v>39825</v>
      </c>
      <c r="M73" s="92"/>
      <c r="N73" s="80">
        <f t="shared" si="1"/>
        <v>39675</v>
      </c>
      <c r="O73" s="80"/>
      <c r="Q73" s="211"/>
      <c r="R73" s="80"/>
      <c r="S73" s="80"/>
      <c r="T73" s="80"/>
      <c r="U73" s="22">
        <v>9094190</v>
      </c>
      <c r="V73" s="80">
        <v>39771</v>
      </c>
      <c r="X73" s="187">
        <v>9094343</v>
      </c>
      <c r="Y73" s="83">
        <v>39655</v>
      </c>
      <c r="AA73" s="22">
        <v>9094190</v>
      </c>
      <c r="AB73" s="38" t="s">
        <v>404</v>
      </c>
      <c r="AC73" s="44">
        <v>39678</v>
      </c>
    </row>
    <row r="74" spans="1:29" x14ac:dyDescent="0.4">
      <c r="A74" s="24" t="s">
        <v>549</v>
      </c>
      <c r="B74" s="24">
        <v>39767</v>
      </c>
      <c r="C74" s="24">
        <v>39675</v>
      </c>
      <c r="D74" s="22" t="s">
        <v>567</v>
      </c>
      <c r="E74" s="22">
        <v>9094140</v>
      </c>
      <c r="F74" s="22">
        <v>1010</v>
      </c>
      <c r="G74" s="22" t="s">
        <v>901</v>
      </c>
      <c r="H74" s="55" t="s">
        <v>873</v>
      </c>
      <c r="I74" s="91" t="s">
        <v>404</v>
      </c>
      <c r="J74" s="94">
        <v>39683</v>
      </c>
      <c r="K74" s="91" t="s">
        <v>404</v>
      </c>
      <c r="L74" s="92">
        <v>39812</v>
      </c>
      <c r="M74" s="92"/>
      <c r="N74" s="80">
        <f t="shared" si="1"/>
        <v>39675</v>
      </c>
      <c r="O74" s="80"/>
      <c r="Q74" s="211"/>
      <c r="R74" s="80"/>
      <c r="S74" s="80"/>
      <c r="T74" s="80"/>
      <c r="U74" s="22">
        <v>9094140</v>
      </c>
      <c r="V74" s="80">
        <v>39798</v>
      </c>
      <c r="X74" s="4">
        <v>9094089</v>
      </c>
      <c r="Y74" s="2">
        <v>39665</v>
      </c>
      <c r="AA74" s="22">
        <v>9094140</v>
      </c>
      <c r="AB74" s="38" t="s">
        <v>404</v>
      </c>
      <c r="AC74" s="44">
        <v>39683</v>
      </c>
    </row>
    <row r="75" spans="1:29" x14ac:dyDescent="0.4">
      <c r="A75" s="24" t="s">
        <v>549</v>
      </c>
      <c r="B75" s="24">
        <v>39828</v>
      </c>
      <c r="C75" s="24">
        <v>39675</v>
      </c>
      <c r="D75" s="22" t="s">
        <v>567</v>
      </c>
      <c r="E75" s="22">
        <v>9094269</v>
      </c>
      <c r="F75" s="22">
        <v>1010</v>
      </c>
      <c r="G75" s="22" t="s">
        <v>905</v>
      </c>
      <c r="H75" s="55" t="s">
        <v>873</v>
      </c>
      <c r="I75" s="91" t="s">
        <v>404</v>
      </c>
      <c r="J75" s="94">
        <v>39700</v>
      </c>
      <c r="K75" s="91" t="s">
        <v>404</v>
      </c>
      <c r="L75" s="92">
        <v>39848</v>
      </c>
      <c r="M75" s="92"/>
      <c r="N75" s="80">
        <f t="shared" si="1"/>
        <v>39675</v>
      </c>
      <c r="O75" s="80"/>
      <c r="Q75" s="211"/>
      <c r="R75" s="80"/>
      <c r="S75" s="80"/>
      <c r="T75" s="80"/>
      <c r="U75" s="22">
        <v>9094269</v>
      </c>
      <c r="V75" s="80">
        <v>39813</v>
      </c>
      <c r="X75" s="4">
        <v>9094090</v>
      </c>
      <c r="Y75" s="2">
        <v>39665</v>
      </c>
      <c r="AA75" s="22">
        <v>9094269</v>
      </c>
      <c r="AB75" s="38" t="s">
        <v>404</v>
      </c>
      <c r="AC75" s="44">
        <v>39700</v>
      </c>
    </row>
    <row r="76" spans="1:29" x14ac:dyDescent="0.4">
      <c r="A76" s="24" t="s">
        <v>549</v>
      </c>
      <c r="B76" s="24">
        <v>39797</v>
      </c>
      <c r="C76" s="24">
        <v>39675</v>
      </c>
      <c r="D76" s="22" t="s">
        <v>567</v>
      </c>
      <c r="E76" s="22">
        <v>9094195</v>
      </c>
      <c r="F76" s="22">
        <v>1010</v>
      </c>
      <c r="G76" s="22" t="s">
        <v>906</v>
      </c>
      <c r="H76" s="55" t="s">
        <v>873</v>
      </c>
      <c r="I76" s="91" t="s">
        <v>404</v>
      </c>
      <c r="J76" s="94">
        <v>39794</v>
      </c>
      <c r="K76" s="91" t="s">
        <v>404</v>
      </c>
      <c r="L76" s="92">
        <v>39847</v>
      </c>
      <c r="M76" s="92"/>
      <c r="N76" s="80">
        <f t="shared" si="1"/>
        <v>39675</v>
      </c>
      <c r="O76" s="80"/>
      <c r="Q76" s="211"/>
      <c r="R76" s="80"/>
      <c r="S76" s="80"/>
      <c r="T76" s="80"/>
      <c r="U76" s="22">
        <v>9094195</v>
      </c>
      <c r="V76" s="80">
        <v>39813</v>
      </c>
      <c r="X76" s="187">
        <v>9094101</v>
      </c>
      <c r="Y76" s="2">
        <v>39675</v>
      </c>
      <c r="AA76" s="22">
        <v>9094195</v>
      </c>
      <c r="AB76" s="38" t="s">
        <v>404</v>
      </c>
      <c r="AC76" s="44">
        <v>39794</v>
      </c>
    </row>
    <row r="77" spans="1:29" x14ac:dyDescent="0.4">
      <c r="A77" s="24" t="s">
        <v>549</v>
      </c>
      <c r="B77" s="24">
        <v>40009</v>
      </c>
      <c r="C77" s="24">
        <v>39680</v>
      </c>
      <c r="D77" s="22" t="s">
        <v>567</v>
      </c>
      <c r="E77" s="22">
        <v>9094396</v>
      </c>
      <c r="F77" s="22">
        <v>1010</v>
      </c>
      <c r="G77" s="22" t="s">
        <v>907</v>
      </c>
      <c r="H77" s="55" t="s">
        <v>873</v>
      </c>
      <c r="I77" s="91" t="s">
        <v>404</v>
      </c>
      <c r="J77" s="94">
        <v>39704</v>
      </c>
      <c r="K77" s="91" t="s">
        <v>404</v>
      </c>
      <c r="L77" s="92">
        <v>39738</v>
      </c>
      <c r="M77" s="92">
        <v>39738</v>
      </c>
      <c r="N77" s="80">
        <f t="shared" si="1"/>
        <v>39680</v>
      </c>
      <c r="O77" s="80"/>
      <c r="Q77" s="211"/>
      <c r="R77" s="80"/>
      <c r="S77" s="80"/>
      <c r="T77" s="80"/>
      <c r="U77" s="22">
        <v>9094396</v>
      </c>
      <c r="V77" s="80">
        <v>39724</v>
      </c>
      <c r="X77" s="4">
        <v>9094102</v>
      </c>
      <c r="Y77" s="2">
        <v>39703</v>
      </c>
      <c r="AA77" s="22">
        <v>9094396</v>
      </c>
      <c r="AB77" s="38" t="s">
        <v>404</v>
      </c>
      <c r="AC77" s="44">
        <v>39704</v>
      </c>
    </row>
    <row r="78" spans="1:29" x14ac:dyDescent="0.4">
      <c r="A78" s="24" t="s">
        <v>549</v>
      </c>
      <c r="B78" s="24">
        <v>39828</v>
      </c>
      <c r="C78" s="24">
        <v>39675</v>
      </c>
      <c r="D78" s="22" t="s">
        <v>567</v>
      </c>
      <c r="E78" s="22">
        <v>9094266</v>
      </c>
      <c r="F78" s="22">
        <v>715</v>
      </c>
      <c r="G78" s="22" t="s">
        <v>908</v>
      </c>
      <c r="H78" s="55" t="s">
        <v>873</v>
      </c>
      <c r="I78" s="91" t="s">
        <v>404</v>
      </c>
      <c r="J78" s="94">
        <v>39974</v>
      </c>
      <c r="K78" s="91" t="s">
        <v>404</v>
      </c>
      <c r="L78" s="92">
        <v>39979</v>
      </c>
      <c r="M78" s="92"/>
      <c r="N78" s="80">
        <f t="shared" si="1"/>
        <v>39675</v>
      </c>
      <c r="O78" s="80"/>
      <c r="Q78" s="211"/>
      <c r="R78" s="80"/>
      <c r="S78" s="80"/>
      <c r="T78" s="80"/>
      <c r="U78" s="22">
        <v>9094266</v>
      </c>
      <c r="V78" s="80">
        <v>39930</v>
      </c>
      <c r="X78" s="4">
        <v>9094069</v>
      </c>
      <c r="Y78" s="2">
        <v>39675</v>
      </c>
      <c r="AA78" s="22">
        <v>9094266</v>
      </c>
      <c r="AB78" s="38" t="s">
        <v>404</v>
      </c>
      <c r="AC78" s="44">
        <v>39974</v>
      </c>
    </row>
    <row r="79" spans="1:29" x14ac:dyDescent="0.4">
      <c r="A79" s="24" t="s">
        <v>549</v>
      </c>
      <c r="B79" s="24">
        <v>39887</v>
      </c>
      <c r="C79" s="24">
        <v>39675</v>
      </c>
      <c r="D79" s="22" t="s">
        <v>567</v>
      </c>
      <c r="E79" s="22">
        <v>9094360</v>
      </c>
      <c r="F79" s="22">
        <v>1010</v>
      </c>
      <c r="G79" s="22" t="s">
        <v>909</v>
      </c>
      <c r="H79" s="55" t="s">
        <v>873</v>
      </c>
      <c r="I79" s="91" t="s">
        <v>404</v>
      </c>
      <c r="J79" s="94">
        <v>39897</v>
      </c>
      <c r="K79" s="91" t="s">
        <v>404</v>
      </c>
      <c r="L79" s="92">
        <v>39934</v>
      </c>
      <c r="M79" s="92"/>
      <c r="N79" s="80">
        <f t="shared" si="1"/>
        <v>39675</v>
      </c>
      <c r="O79" s="80"/>
      <c r="Q79" s="211"/>
      <c r="R79" s="80"/>
      <c r="S79" s="80"/>
      <c r="T79" s="80"/>
      <c r="U79" s="22">
        <v>9094360</v>
      </c>
      <c r="V79" s="80">
        <v>39925</v>
      </c>
      <c r="X79" s="4">
        <v>9094070</v>
      </c>
      <c r="Y79" s="2">
        <v>39675</v>
      </c>
      <c r="AA79" s="22">
        <v>9094360</v>
      </c>
      <c r="AB79" s="38" t="s">
        <v>404</v>
      </c>
      <c r="AC79" s="44">
        <v>39897</v>
      </c>
    </row>
    <row r="80" spans="1:29" x14ac:dyDescent="0.4">
      <c r="A80" s="24" t="s">
        <v>549</v>
      </c>
      <c r="B80" s="24">
        <v>39887</v>
      </c>
      <c r="C80" s="24">
        <v>39675</v>
      </c>
      <c r="D80" s="22" t="s">
        <v>567</v>
      </c>
      <c r="E80" s="22">
        <v>9094361</v>
      </c>
      <c r="F80" s="22">
        <v>1010</v>
      </c>
      <c r="G80" s="22" t="s">
        <v>913</v>
      </c>
      <c r="H80" s="55" t="s">
        <v>873</v>
      </c>
      <c r="I80" s="91" t="s">
        <v>404</v>
      </c>
      <c r="J80" s="94">
        <v>39920</v>
      </c>
      <c r="K80" s="91" t="s">
        <v>404</v>
      </c>
      <c r="L80" s="92">
        <v>39940</v>
      </c>
      <c r="M80" s="92"/>
      <c r="N80" s="80">
        <f t="shared" si="1"/>
        <v>39675</v>
      </c>
      <c r="O80" s="80"/>
      <c r="Q80" s="211"/>
      <c r="R80" s="80"/>
      <c r="S80" s="80"/>
      <c r="T80" s="80"/>
      <c r="U80" s="22">
        <v>9094361</v>
      </c>
      <c r="V80" s="80">
        <v>39938</v>
      </c>
      <c r="X80" s="4">
        <v>9094074</v>
      </c>
      <c r="Y80" s="2">
        <v>39666</v>
      </c>
      <c r="AA80" s="22">
        <v>9094361</v>
      </c>
      <c r="AB80" s="38" t="s">
        <v>404</v>
      </c>
      <c r="AC80" s="44">
        <v>39920</v>
      </c>
    </row>
    <row r="81" spans="1:29" x14ac:dyDescent="0.4">
      <c r="A81" s="24" t="s">
        <v>549</v>
      </c>
      <c r="B81" s="24">
        <v>39706</v>
      </c>
      <c r="C81" s="24">
        <v>39675</v>
      </c>
      <c r="D81" s="22" t="s">
        <v>567</v>
      </c>
      <c r="E81" s="22">
        <v>9094095</v>
      </c>
      <c r="F81" s="22">
        <v>1010</v>
      </c>
      <c r="G81" s="22" t="s">
        <v>914</v>
      </c>
      <c r="H81" s="55" t="s">
        <v>873</v>
      </c>
      <c r="I81" s="91" t="s">
        <v>404</v>
      </c>
      <c r="J81" s="94">
        <v>39682</v>
      </c>
      <c r="K81" s="91" t="s">
        <v>404</v>
      </c>
      <c r="L81" s="92">
        <v>39794</v>
      </c>
      <c r="M81" s="92">
        <v>39794</v>
      </c>
      <c r="N81" s="80">
        <f t="shared" si="1"/>
        <v>39675</v>
      </c>
      <c r="O81" s="80"/>
      <c r="Q81" s="211"/>
      <c r="R81" s="80"/>
      <c r="S81" s="80"/>
      <c r="T81" s="80"/>
      <c r="U81" s="22">
        <v>9094095</v>
      </c>
      <c r="V81" s="80">
        <v>39752</v>
      </c>
      <c r="X81" s="4">
        <v>9094081</v>
      </c>
      <c r="Y81" s="2">
        <v>39668</v>
      </c>
      <c r="AA81" s="22">
        <v>9094095</v>
      </c>
      <c r="AB81" s="38" t="s">
        <v>404</v>
      </c>
      <c r="AC81" s="44">
        <v>39682</v>
      </c>
    </row>
    <row r="82" spans="1:29" x14ac:dyDescent="0.4">
      <c r="A82" s="24" t="s">
        <v>549</v>
      </c>
      <c r="B82" s="24">
        <v>39736</v>
      </c>
      <c r="C82" s="24">
        <v>39675</v>
      </c>
      <c r="D82" s="22" t="s">
        <v>567</v>
      </c>
      <c r="E82" s="22">
        <v>9094124</v>
      </c>
      <c r="F82" s="22">
        <v>1010</v>
      </c>
      <c r="G82" s="22" t="s">
        <v>915</v>
      </c>
      <c r="H82" s="55" t="s">
        <v>873</v>
      </c>
      <c r="I82" s="91" t="s">
        <v>404</v>
      </c>
      <c r="J82" s="94">
        <v>40101</v>
      </c>
      <c r="K82" s="91" t="s">
        <v>404</v>
      </c>
      <c r="L82" s="92">
        <v>40114</v>
      </c>
      <c r="M82" s="92"/>
      <c r="N82" s="80">
        <f t="shared" si="1"/>
        <v>39675</v>
      </c>
      <c r="O82" s="80"/>
      <c r="Q82" s="211"/>
      <c r="R82" s="80"/>
      <c r="S82" s="80"/>
      <c r="T82" s="80"/>
      <c r="U82" s="22">
        <v>9094124</v>
      </c>
      <c r="V82" s="80">
        <v>39759</v>
      </c>
      <c r="X82" s="4">
        <v>9094104</v>
      </c>
      <c r="Y82" s="2">
        <v>39668</v>
      </c>
      <c r="AA82" s="22">
        <v>9094124</v>
      </c>
      <c r="AB82" s="38" t="s">
        <v>404</v>
      </c>
      <c r="AC82" s="44">
        <v>40101</v>
      </c>
    </row>
    <row r="83" spans="1:29" x14ac:dyDescent="0.4">
      <c r="A83" s="24" t="s">
        <v>549</v>
      </c>
      <c r="B83" s="24">
        <v>39859</v>
      </c>
      <c r="C83" s="24">
        <v>39675</v>
      </c>
      <c r="D83" s="22" t="s">
        <v>567</v>
      </c>
      <c r="E83" s="22">
        <v>9094271</v>
      </c>
      <c r="F83" s="22">
        <v>715</v>
      </c>
      <c r="G83" s="22" t="s">
        <v>916</v>
      </c>
      <c r="H83" s="55" t="s">
        <v>873</v>
      </c>
      <c r="I83" s="91" t="s">
        <v>404</v>
      </c>
      <c r="J83" s="94">
        <v>39960</v>
      </c>
      <c r="K83" s="91" t="s">
        <v>404</v>
      </c>
      <c r="L83" s="92">
        <v>39986</v>
      </c>
      <c r="M83" s="92"/>
      <c r="N83" s="80">
        <f t="shared" si="1"/>
        <v>39675</v>
      </c>
      <c r="O83" s="80"/>
      <c r="Q83" s="211"/>
      <c r="R83" s="80"/>
      <c r="S83" s="80"/>
      <c r="T83" s="80"/>
      <c r="U83" s="22">
        <v>9094271</v>
      </c>
      <c r="V83" s="80">
        <v>39980</v>
      </c>
      <c r="X83" s="4">
        <v>9094033</v>
      </c>
      <c r="Y83" s="2">
        <v>39668</v>
      </c>
      <c r="AA83" s="22">
        <v>9094271</v>
      </c>
      <c r="AB83" s="38" t="s">
        <v>404</v>
      </c>
      <c r="AC83" s="44">
        <v>39960</v>
      </c>
    </row>
    <row r="84" spans="1:29" x14ac:dyDescent="0.4">
      <c r="A84" s="24" t="s">
        <v>549</v>
      </c>
      <c r="B84" s="24">
        <v>39887</v>
      </c>
      <c r="C84" s="24">
        <v>0</v>
      </c>
      <c r="D84" s="22" t="s">
        <v>567</v>
      </c>
      <c r="E84" s="22">
        <v>9094358</v>
      </c>
      <c r="F84" s="22">
        <v>715</v>
      </c>
      <c r="G84" s="22" t="s">
        <v>804</v>
      </c>
      <c r="H84" s="55" t="s">
        <v>873</v>
      </c>
      <c r="I84" s="3" t="s">
        <v>404</v>
      </c>
      <c r="J84" s="42">
        <v>39987</v>
      </c>
      <c r="K84" s="3" t="s">
        <v>404</v>
      </c>
      <c r="L84" s="28">
        <v>39987</v>
      </c>
      <c r="M84" s="92"/>
      <c r="N84" s="80">
        <f t="shared" si="1"/>
        <v>39685</v>
      </c>
      <c r="O84" s="80"/>
      <c r="Q84" s="211"/>
      <c r="R84" s="80"/>
      <c r="S84" s="80"/>
      <c r="T84" s="80"/>
      <c r="U84" s="22">
        <v>9094358</v>
      </c>
      <c r="V84" s="80">
        <v>39849</v>
      </c>
      <c r="X84" s="4">
        <v>9094035</v>
      </c>
      <c r="Y84" s="2">
        <v>39668</v>
      </c>
      <c r="AA84" s="22">
        <v>9094358</v>
      </c>
      <c r="AB84" s="3" t="s">
        <v>404</v>
      </c>
      <c r="AC84" s="42">
        <v>39987</v>
      </c>
    </row>
    <row r="85" spans="1:29" x14ac:dyDescent="0.4">
      <c r="A85" s="24" t="s">
        <v>549</v>
      </c>
      <c r="B85" s="24">
        <v>0</v>
      </c>
      <c r="C85" s="24">
        <v>0</v>
      </c>
      <c r="D85" s="22" t="s">
        <v>567</v>
      </c>
      <c r="E85" s="155">
        <v>9094444</v>
      </c>
      <c r="F85" s="22">
        <v>1010</v>
      </c>
      <c r="G85" s="199" t="s">
        <v>3005</v>
      </c>
      <c r="H85" s="200" t="s">
        <v>567</v>
      </c>
      <c r="I85" s="200" t="s">
        <v>404</v>
      </c>
      <c r="J85" s="201">
        <v>40164</v>
      </c>
      <c r="K85" s="200" t="s">
        <v>404</v>
      </c>
      <c r="L85" s="202"/>
      <c r="M85" s="92"/>
      <c r="N85" s="80">
        <f t="shared" si="1"/>
        <v>39696</v>
      </c>
      <c r="O85" s="80"/>
      <c r="Q85" s="211"/>
      <c r="R85" s="80"/>
      <c r="S85" s="80"/>
      <c r="T85" s="80"/>
      <c r="U85" s="33">
        <v>9094444</v>
      </c>
      <c r="V85" s="80">
        <v>39890</v>
      </c>
      <c r="X85" s="4">
        <v>9094357</v>
      </c>
      <c r="Y85" s="2">
        <v>39696</v>
      </c>
      <c r="AA85" s="33">
        <v>9094444</v>
      </c>
      <c r="AB85" s="115" t="s">
        <v>404</v>
      </c>
      <c r="AC85" s="116">
        <v>40164</v>
      </c>
    </row>
    <row r="86" spans="1:29" x14ac:dyDescent="0.4">
      <c r="A86" s="24" t="s">
        <v>524</v>
      </c>
      <c r="B86" s="24">
        <v>39873</v>
      </c>
      <c r="C86" s="24">
        <v>39675</v>
      </c>
      <c r="D86" s="22" t="s">
        <v>1452</v>
      </c>
      <c r="E86" s="22">
        <v>9094260</v>
      </c>
      <c r="F86" s="22">
        <v>1010</v>
      </c>
      <c r="G86" s="22">
        <v>5</v>
      </c>
      <c r="H86" s="55" t="s">
        <v>3006</v>
      </c>
      <c r="I86" s="91" t="s">
        <v>404</v>
      </c>
      <c r="J86" s="94">
        <v>40268</v>
      </c>
      <c r="K86" s="91" t="s">
        <v>404</v>
      </c>
      <c r="L86" s="92">
        <v>40269</v>
      </c>
      <c r="M86" s="92">
        <v>40129</v>
      </c>
      <c r="N86" s="80">
        <f t="shared" si="1"/>
        <v>39675</v>
      </c>
      <c r="O86" s="80"/>
      <c r="Q86" s="211"/>
      <c r="R86" s="80"/>
      <c r="S86" s="80"/>
      <c r="T86" s="80"/>
      <c r="U86" s="22">
        <v>9094260</v>
      </c>
      <c r="V86" s="80">
        <v>39933</v>
      </c>
      <c r="X86" s="4">
        <v>9094412</v>
      </c>
      <c r="Y86" s="2">
        <v>39682</v>
      </c>
      <c r="AA86" s="22">
        <v>9094260</v>
      </c>
      <c r="AB86" s="38" t="s">
        <v>404</v>
      </c>
      <c r="AC86" s="44">
        <v>40268</v>
      </c>
    </row>
    <row r="87" spans="1:29" x14ac:dyDescent="0.4">
      <c r="A87" s="24" t="s">
        <v>524</v>
      </c>
      <c r="B87" s="24">
        <v>39814</v>
      </c>
      <c r="C87" s="24">
        <v>39675</v>
      </c>
      <c r="D87" s="22" t="s">
        <v>1452</v>
      </c>
      <c r="E87" s="22">
        <v>9094156</v>
      </c>
      <c r="F87" s="22">
        <v>1010</v>
      </c>
      <c r="G87" s="22">
        <v>3</v>
      </c>
      <c r="H87" s="55" t="s">
        <v>3007</v>
      </c>
      <c r="I87" s="91" t="s">
        <v>404</v>
      </c>
      <c r="J87" s="94">
        <v>40214</v>
      </c>
      <c r="K87" s="91" t="s">
        <v>404</v>
      </c>
      <c r="L87" s="92"/>
      <c r="M87" s="28">
        <v>40129</v>
      </c>
      <c r="N87" s="80">
        <f t="shared" si="1"/>
        <v>39675</v>
      </c>
      <c r="O87" s="80"/>
      <c r="Q87" s="211"/>
      <c r="R87" s="80"/>
      <c r="S87" s="80"/>
      <c r="T87" s="80"/>
      <c r="U87" s="22">
        <v>9094156</v>
      </c>
      <c r="V87" s="80">
        <v>39791</v>
      </c>
      <c r="X87" s="4">
        <v>9094047</v>
      </c>
      <c r="Y87" s="2">
        <v>39661</v>
      </c>
      <c r="AA87" s="22">
        <v>9094156</v>
      </c>
      <c r="AB87" s="38" t="s">
        <v>404</v>
      </c>
      <c r="AC87" s="44">
        <v>40214</v>
      </c>
    </row>
    <row r="88" spans="1:29" x14ac:dyDescent="0.4">
      <c r="A88" s="24" t="s">
        <v>524</v>
      </c>
      <c r="B88" s="24">
        <v>39814</v>
      </c>
      <c r="C88" s="24">
        <v>39675</v>
      </c>
      <c r="D88" s="22" t="s">
        <v>1452</v>
      </c>
      <c r="E88" s="22">
        <v>9094157</v>
      </c>
      <c r="F88" s="22">
        <v>715</v>
      </c>
      <c r="G88" s="22">
        <v>4</v>
      </c>
      <c r="H88" s="55" t="s">
        <v>1376</v>
      </c>
      <c r="I88" s="91" t="s">
        <v>406</v>
      </c>
      <c r="J88" s="94"/>
      <c r="K88" s="91" t="s">
        <v>406</v>
      </c>
      <c r="L88" s="92"/>
      <c r="M88" s="28">
        <v>40129</v>
      </c>
      <c r="N88" s="80">
        <f t="shared" si="1"/>
        <v>39675</v>
      </c>
      <c r="O88" s="80"/>
      <c r="Q88" s="211"/>
      <c r="R88" s="80"/>
      <c r="S88" s="80"/>
      <c r="T88" s="80"/>
      <c r="U88" s="22">
        <v>9094157</v>
      </c>
      <c r="V88" s="80">
        <v>39793</v>
      </c>
      <c r="X88" s="4">
        <v>9094155</v>
      </c>
      <c r="Y88" s="2">
        <v>39675</v>
      </c>
      <c r="AA88" s="22">
        <v>9094157</v>
      </c>
      <c r="AB88" s="38" t="s">
        <v>404</v>
      </c>
      <c r="AC88" s="44">
        <v>40428</v>
      </c>
    </row>
    <row r="89" spans="1:29" x14ac:dyDescent="0.4">
      <c r="A89" s="24" t="s">
        <v>524</v>
      </c>
      <c r="B89" s="24">
        <v>39706</v>
      </c>
      <c r="C89" s="24">
        <v>39675</v>
      </c>
      <c r="D89" s="22" t="s">
        <v>564</v>
      </c>
      <c r="E89" s="22">
        <v>9094051</v>
      </c>
      <c r="F89" s="22">
        <v>1010</v>
      </c>
      <c r="G89" s="22" t="s">
        <v>917</v>
      </c>
      <c r="H89" s="55" t="s">
        <v>918</v>
      </c>
      <c r="I89" s="55" t="s">
        <v>404</v>
      </c>
      <c r="J89" s="94">
        <v>39731</v>
      </c>
      <c r="K89" s="55" t="s">
        <v>404</v>
      </c>
      <c r="L89" s="92">
        <v>39731</v>
      </c>
      <c r="M89" s="28">
        <v>39706</v>
      </c>
      <c r="N89" s="80">
        <f t="shared" si="1"/>
        <v>39675</v>
      </c>
      <c r="O89" s="80"/>
      <c r="Q89" s="211"/>
      <c r="R89" s="80"/>
      <c r="S89" s="80"/>
      <c r="T89" s="80"/>
      <c r="U89" s="22">
        <v>9094051</v>
      </c>
      <c r="V89" s="80">
        <v>39728</v>
      </c>
      <c r="X89" s="4">
        <v>9094057</v>
      </c>
      <c r="Y89" s="2">
        <v>39674</v>
      </c>
      <c r="AA89" s="22">
        <v>9094051</v>
      </c>
      <c r="AB89" s="4" t="s">
        <v>404</v>
      </c>
      <c r="AC89" s="44">
        <v>39731</v>
      </c>
    </row>
    <row r="90" spans="1:29" x14ac:dyDescent="0.4">
      <c r="A90" s="24" t="s">
        <v>524</v>
      </c>
      <c r="B90" s="24">
        <v>39706</v>
      </c>
      <c r="C90" s="24">
        <v>39675</v>
      </c>
      <c r="D90" s="22" t="s">
        <v>564</v>
      </c>
      <c r="E90" s="22">
        <v>9094050</v>
      </c>
      <c r="F90" s="22">
        <v>715</v>
      </c>
      <c r="G90" s="22">
        <v>1</v>
      </c>
      <c r="H90" s="55" t="s">
        <v>919</v>
      </c>
      <c r="I90" s="55" t="s">
        <v>404</v>
      </c>
      <c r="J90" s="94">
        <v>39731</v>
      </c>
      <c r="K90" s="55" t="s">
        <v>404</v>
      </c>
      <c r="L90" s="92">
        <v>39731</v>
      </c>
      <c r="M90" s="28">
        <v>39706</v>
      </c>
      <c r="N90" s="80">
        <f t="shared" si="1"/>
        <v>39675</v>
      </c>
      <c r="O90" s="80"/>
      <c r="Q90" s="211"/>
      <c r="R90" s="80"/>
      <c r="S90" s="80"/>
      <c r="T90" s="80"/>
      <c r="U90" s="22">
        <v>9094050</v>
      </c>
      <c r="V90" s="80">
        <v>39736</v>
      </c>
      <c r="X90" s="4">
        <v>9094056</v>
      </c>
      <c r="Y90" s="2">
        <v>39674</v>
      </c>
      <c r="AA90" s="22">
        <v>9094050</v>
      </c>
      <c r="AB90" s="4" t="s">
        <v>404</v>
      </c>
      <c r="AC90" s="44">
        <v>39731</v>
      </c>
    </row>
    <row r="91" spans="1:29" x14ac:dyDescent="0.4">
      <c r="A91" s="66" t="s">
        <v>524</v>
      </c>
      <c r="B91" s="66">
        <v>39736</v>
      </c>
      <c r="C91" s="66">
        <v>39661</v>
      </c>
      <c r="D91" s="65" t="s">
        <v>564</v>
      </c>
      <c r="E91" s="65">
        <v>9094120</v>
      </c>
      <c r="F91" s="22">
        <v>715</v>
      </c>
      <c r="G91" s="65" t="s">
        <v>920</v>
      </c>
      <c r="H91" s="55" t="s">
        <v>937</v>
      </c>
      <c r="I91" s="55" t="s">
        <v>404</v>
      </c>
      <c r="J91" s="71">
        <v>39833</v>
      </c>
      <c r="K91" s="55" t="s">
        <v>404</v>
      </c>
      <c r="L91" s="71">
        <v>39833</v>
      </c>
      <c r="M91" s="150">
        <v>39833</v>
      </c>
      <c r="N91" s="80">
        <f t="shared" si="1"/>
        <v>39661</v>
      </c>
      <c r="O91" s="80"/>
      <c r="Q91" s="211"/>
      <c r="R91" s="80"/>
      <c r="S91" s="80"/>
      <c r="T91" s="80"/>
      <c r="U91" s="65">
        <v>9094120</v>
      </c>
      <c r="V91" s="80">
        <v>39801</v>
      </c>
      <c r="X91" s="4">
        <v>9094095</v>
      </c>
      <c r="Y91" s="2">
        <v>39675</v>
      </c>
      <c r="AA91" s="65">
        <v>9094120</v>
      </c>
      <c r="AB91" s="4" t="s">
        <v>404</v>
      </c>
      <c r="AC91" s="59">
        <v>39833</v>
      </c>
    </row>
    <row r="92" spans="1:29" x14ac:dyDescent="0.4">
      <c r="A92" s="24" t="s">
        <v>524</v>
      </c>
      <c r="B92" s="24">
        <v>0</v>
      </c>
      <c r="C92" s="24">
        <v>0</v>
      </c>
      <c r="D92" s="22" t="s">
        <v>625</v>
      </c>
      <c r="E92" s="155">
        <v>9094440</v>
      </c>
      <c r="F92" s="22">
        <v>1010</v>
      </c>
      <c r="G92" s="22" t="s">
        <v>938</v>
      </c>
      <c r="H92" s="55" t="s">
        <v>939</v>
      </c>
      <c r="I92" s="55" t="s">
        <v>404</v>
      </c>
      <c r="J92" s="94">
        <v>39813</v>
      </c>
      <c r="K92" s="55" t="s">
        <v>404</v>
      </c>
      <c r="L92" s="92"/>
      <c r="M92" s="92">
        <v>39818</v>
      </c>
      <c r="N92" s="80">
        <f t="shared" si="1"/>
        <v>39812</v>
      </c>
      <c r="O92" s="80"/>
      <c r="Q92" s="211"/>
      <c r="R92" s="80"/>
      <c r="S92" s="80"/>
      <c r="T92" s="80"/>
      <c r="U92" s="33">
        <v>9094440</v>
      </c>
      <c r="V92" s="80">
        <v>39857</v>
      </c>
      <c r="X92" s="4">
        <v>9094124</v>
      </c>
      <c r="Y92" s="2">
        <v>39675</v>
      </c>
      <c r="AA92" s="33">
        <v>9094440</v>
      </c>
      <c r="AB92" s="4" t="s">
        <v>404</v>
      </c>
      <c r="AC92" s="44">
        <v>39813</v>
      </c>
    </row>
    <row r="93" spans="1:29" x14ac:dyDescent="0.4">
      <c r="A93" s="24" t="s">
        <v>524</v>
      </c>
      <c r="B93" s="24">
        <v>39767</v>
      </c>
      <c r="C93" s="24">
        <v>0</v>
      </c>
      <c r="D93" s="22" t="s">
        <v>580</v>
      </c>
      <c r="E93" s="22">
        <v>9094241</v>
      </c>
      <c r="F93" s="22">
        <v>1210</v>
      </c>
      <c r="G93" s="22">
        <v>3</v>
      </c>
      <c r="H93" s="55" t="s">
        <v>940</v>
      </c>
      <c r="I93" s="55" t="s">
        <v>406</v>
      </c>
      <c r="J93" s="94"/>
      <c r="K93" s="55" t="s">
        <v>406</v>
      </c>
      <c r="L93" s="92"/>
      <c r="M93" s="92">
        <v>39828</v>
      </c>
      <c r="N93" s="80">
        <f t="shared" si="1"/>
        <v>39675</v>
      </c>
      <c r="O93" s="80"/>
      <c r="Q93" s="211"/>
      <c r="R93" s="80"/>
      <c r="S93" s="80"/>
      <c r="T93" s="80"/>
      <c r="U93" s="22">
        <v>9094241</v>
      </c>
      <c r="V93" s="80">
        <v>39786</v>
      </c>
      <c r="X93" s="4">
        <v>9094126</v>
      </c>
      <c r="Y93" s="2">
        <v>39668</v>
      </c>
      <c r="AA93" s="22">
        <v>9094241</v>
      </c>
      <c r="AB93" s="4" t="s">
        <v>404</v>
      </c>
      <c r="AC93" s="44">
        <v>40423</v>
      </c>
    </row>
    <row r="94" spans="1:29" x14ac:dyDescent="0.4">
      <c r="A94" s="24" t="s">
        <v>524</v>
      </c>
      <c r="B94" s="24">
        <v>0</v>
      </c>
      <c r="C94" s="24">
        <v>0</v>
      </c>
      <c r="D94" s="22" t="s">
        <v>580</v>
      </c>
      <c r="E94" s="22">
        <v>9094024</v>
      </c>
      <c r="F94" s="22">
        <v>715</v>
      </c>
      <c r="G94" s="22" t="s">
        <v>941</v>
      </c>
      <c r="H94" s="55" t="s">
        <v>3008</v>
      </c>
      <c r="I94" s="55" t="s">
        <v>404</v>
      </c>
      <c r="J94" s="94">
        <v>40298</v>
      </c>
      <c r="K94" s="55" t="s">
        <v>404</v>
      </c>
      <c r="L94" s="92"/>
      <c r="M94" s="28">
        <v>39706</v>
      </c>
      <c r="N94" s="80">
        <f t="shared" si="1"/>
        <v>39700</v>
      </c>
      <c r="O94" s="80"/>
      <c r="Q94" s="211"/>
      <c r="R94" s="80"/>
      <c r="S94" s="80"/>
      <c r="T94" s="80"/>
      <c r="U94" s="22">
        <v>9094024</v>
      </c>
      <c r="V94" s="80">
        <v>39702</v>
      </c>
      <c r="X94" s="4">
        <v>9094098</v>
      </c>
      <c r="Y94" s="2">
        <v>39668</v>
      </c>
      <c r="AA94" s="22">
        <v>9094024</v>
      </c>
      <c r="AB94" s="4" t="s">
        <v>404</v>
      </c>
      <c r="AC94" s="44">
        <v>40298</v>
      </c>
    </row>
    <row r="95" spans="1:29" x14ac:dyDescent="0.4">
      <c r="A95" s="24" t="s">
        <v>524</v>
      </c>
      <c r="B95" s="24">
        <v>39736</v>
      </c>
      <c r="C95" s="24">
        <v>0</v>
      </c>
      <c r="D95" s="22" t="s">
        <v>580</v>
      </c>
      <c r="E95" s="22">
        <v>9094131</v>
      </c>
      <c r="F95" s="22">
        <v>715</v>
      </c>
      <c r="G95" s="22">
        <v>1</v>
      </c>
      <c r="H95" s="55" t="s">
        <v>3009</v>
      </c>
      <c r="I95" s="55" t="s">
        <v>404</v>
      </c>
      <c r="J95" s="94">
        <v>39869</v>
      </c>
      <c r="K95" s="55" t="s">
        <v>404</v>
      </c>
      <c r="L95" s="92">
        <v>39883</v>
      </c>
      <c r="M95" s="28">
        <v>39884</v>
      </c>
      <c r="N95" s="80">
        <f t="shared" si="1"/>
        <v>39675</v>
      </c>
      <c r="O95" s="80"/>
      <c r="Q95" s="211"/>
      <c r="R95" s="80"/>
      <c r="S95" s="80"/>
      <c r="T95" s="80"/>
      <c r="U95" s="22">
        <v>9094131</v>
      </c>
      <c r="V95" s="80">
        <v>39785</v>
      </c>
      <c r="X95" s="4">
        <v>9094125</v>
      </c>
      <c r="Y95" s="2">
        <v>39668</v>
      </c>
      <c r="AA95" s="22">
        <v>9094131</v>
      </c>
      <c r="AB95" s="4" t="s">
        <v>404</v>
      </c>
      <c r="AC95" s="44">
        <v>39869</v>
      </c>
    </row>
    <row r="96" spans="1:29" x14ac:dyDescent="0.4">
      <c r="A96" s="24" t="s">
        <v>524</v>
      </c>
      <c r="B96" s="24">
        <v>39767</v>
      </c>
      <c r="C96" s="24">
        <v>0</v>
      </c>
      <c r="D96" s="22" t="s">
        <v>580</v>
      </c>
      <c r="E96" s="22">
        <v>9094242</v>
      </c>
      <c r="F96" s="22">
        <v>1010</v>
      </c>
      <c r="G96" s="22">
        <v>4</v>
      </c>
      <c r="H96" s="55" t="s">
        <v>940</v>
      </c>
      <c r="I96" s="55" t="s">
        <v>406</v>
      </c>
      <c r="J96" s="94"/>
      <c r="K96" s="55" t="s">
        <v>406</v>
      </c>
      <c r="L96" s="92"/>
      <c r="M96" s="92">
        <v>39986</v>
      </c>
      <c r="N96" s="80">
        <f t="shared" si="1"/>
        <v>39917</v>
      </c>
      <c r="O96" s="80"/>
      <c r="Q96" s="211"/>
      <c r="R96" s="80"/>
      <c r="S96" s="80"/>
      <c r="T96" s="80"/>
      <c r="U96" s="22">
        <v>9094242</v>
      </c>
      <c r="V96" s="80">
        <v>39924</v>
      </c>
      <c r="X96" s="4">
        <v>9094097</v>
      </c>
      <c r="Y96" s="2">
        <v>39668</v>
      </c>
      <c r="AA96" s="22">
        <v>9094242</v>
      </c>
      <c r="AB96" s="4" t="s">
        <v>404</v>
      </c>
      <c r="AC96" s="44">
        <v>40423</v>
      </c>
    </row>
    <row r="97" spans="1:29" x14ac:dyDescent="0.4">
      <c r="A97" s="24" t="s">
        <v>524</v>
      </c>
      <c r="B97" s="24">
        <v>39736</v>
      </c>
      <c r="C97" s="24">
        <v>0</v>
      </c>
      <c r="D97" s="22" t="s">
        <v>580</v>
      </c>
      <c r="E97" s="22">
        <v>9094132</v>
      </c>
      <c r="F97" s="22">
        <v>1010</v>
      </c>
      <c r="G97" s="22">
        <v>2</v>
      </c>
      <c r="H97" s="55" t="s">
        <v>940</v>
      </c>
      <c r="I97" s="55" t="s">
        <v>406</v>
      </c>
      <c r="J97" s="94"/>
      <c r="K97" s="55" t="s">
        <v>406</v>
      </c>
      <c r="L97" s="92"/>
      <c r="M97" s="28">
        <v>39986</v>
      </c>
      <c r="N97" s="80">
        <f t="shared" si="1"/>
        <v>39917</v>
      </c>
      <c r="O97" s="80"/>
      <c r="Q97" s="211"/>
      <c r="R97" s="80"/>
      <c r="S97" s="80"/>
      <c r="T97" s="80"/>
      <c r="U97" s="22">
        <v>9094132</v>
      </c>
      <c r="V97" s="80">
        <v>39924</v>
      </c>
      <c r="X97" s="4">
        <v>9094112</v>
      </c>
      <c r="Y97" s="2">
        <v>39669</v>
      </c>
      <c r="AA97" s="65">
        <v>9094132</v>
      </c>
      <c r="AB97" s="4" t="s">
        <v>404</v>
      </c>
      <c r="AC97" s="44">
        <v>40380</v>
      </c>
    </row>
    <row r="98" spans="1:29" x14ac:dyDescent="0.4">
      <c r="A98" s="24" t="s">
        <v>524</v>
      </c>
      <c r="B98" s="24">
        <v>0</v>
      </c>
      <c r="C98" s="24">
        <v>39675</v>
      </c>
      <c r="D98" s="22" t="s">
        <v>582</v>
      </c>
      <c r="E98" s="22">
        <v>9094407</v>
      </c>
      <c r="F98" s="22">
        <v>1010</v>
      </c>
      <c r="G98" s="22">
        <v>40575</v>
      </c>
      <c r="H98" s="55" t="s">
        <v>3010</v>
      </c>
      <c r="I98" s="55" t="s">
        <v>404</v>
      </c>
      <c r="J98" s="94">
        <v>40198</v>
      </c>
      <c r="K98" s="55" t="s">
        <v>404</v>
      </c>
      <c r="L98" s="92">
        <v>40200</v>
      </c>
      <c r="M98" s="92">
        <v>39890</v>
      </c>
      <c r="N98" s="80">
        <f t="shared" si="1"/>
        <v>39675</v>
      </c>
      <c r="O98" s="80"/>
      <c r="Q98" s="211"/>
      <c r="R98" s="80"/>
      <c r="S98" s="80"/>
      <c r="T98" s="80"/>
      <c r="U98" s="22">
        <v>9094407</v>
      </c>
      <c r="V98" s="80">
        <v>39847</v>
      </c>
      <c r="X98" s="4">
        <v>9094405</v>
      </c>
      <c r="Y98" s="2">
        <v>39669</v>
      </c>
      <c r="AA98" s="22">
        <v>9094407</v>
      </c>
      <c r="AB98" s="4" t="s">
        <v>404</v>
      </c>
      <c r="AC98" s="44">
        <v>40198</v>
      </c>
    </row>
    <row r="99" spans="1:29" x14ac:dyDescent="0.4">
      <c r="A99" s="24" t="s">
        <v>524</v>
      </c>
      <c r="B99" s="24">
        <v>0</v>
      </c>
      <c r="C99" s="24">
        <v>39675</v>
      </c>
      <c r="D99" s="22" t="s">
        <v>582</v>
      </c>
      <c r="E99" s="22">
        <v>9094406</v>
      </c>
      <c r="F99" s="22">
        <v>715</v>
      </c>
      <c r="G99" s="22">
        <v>40574</v>
      </c>
      <c r="H99" s="55" t="s">
        <v>942</v>
      </c>
      <c r="I99" s="55" t="s">
        <v>406</v>
      </c>
      <c r="J99" s="94"/>
      <c r="K99" s="55" t="s">
        <v>406</v>
      </c>
      <c r="L99" s="92"/>
      <c r="M99" s="28">
        <v>39890</v>
      </c>
      <c r="N99" s="80">
        <f t="shared" si="1"/>
        <v>39675</v>
      </c>
      <c r="O99" s="80"/>
      <c r="Q99" s="211"/>
      <c r="R99" s="80"/>
      <c r="S99" s="80"/>
      <c r="T99" s="80"/>
      <c r="U99" s="22">
        <v>9094406</v>
      </c>
      <c r="V99" s="80">
        <v>39759</v>
      </c>
      <c r="X99" s="4">
        <v>9094406</v>
      </c>
      <c r="Y99" s="2">
        <v>39675</v>
      </c>
      <c r="AA99" s="22">
        <v>9094406</v>
      </c>
      <c r="AB99" s="4" t="s">
        <v>404</v>
      </c>
      <c r="AC99" s="44">
        <v>40459</v>
      </c>
    </row>
    <row r="100" spans="1:29" x14ac:dyDescent="0.4">
      <c r="A100" s="24" t="s">
        <v>524</v>
      </c>
      <c r="B100" s="24">
        <v>0</v>
      </c>
      <c r="C100" s="24">
        <v>39675</v>
      </c>
      <c r="D100" s="22" t="s">
        <v>582</v>
      </c>
      <c r="E100" s="22">
        <v>9094408</v>
      </c>
      <c r="F100" s="22">
        <v>1010</v>
      </c>
      <c r="G100" s="22">
        <v>40576</v>
      </c>
      <c r="H100" s="55" t="s">
        <v>3011</v>
      </c>
      <c r="I100" s="55" t="s">
        <v>404</v>
      </c>
      <c r="J100" s="94">
        <v>40130</v>
      </c>
      <c r="K100" s="55" t="s">
        <v>404</v>
      </c>
      <c r="L100" s="92">
        <v>40191</v>
      </c>
      <c r="M100" s="203">
        <v>39832</v>
      </c>
      <c r="N100" s="80">
        <f t="shared" si="1"/>
        <v>39675</v>
      </c>
      <c r="O100" s="80"/>
      <c r="Q100" s="211"/>
      <c r="R100" s="80"/>
      <c r="S100" s="80"/>
      <c r="T100" s="80"/>
      <c r="U100" s="22">
        <v>9094408</v>
      </c>
      <c r="V100" s="80">
        <v>39847</v>
      </c>
      <c r="X100" s="4">
        <v>9094158</v>
      </c>
      <c r="Y100" s="2">
        <v>39698</v>
      </c>
      <c r="AA100" s="22">
        <v>9094408</v>
      </c>
      <c r="AB100" s="4" t="s">
        <v>404</v>
      </c>
      <c r="AC100" s="44">
        <v>40130</v>
      </c>
    </row>
    <row r="101" spans="1:29" x14ac:dyDescent="0.4">
      <c r="A101" s="24" t="s">
        <v>524</v>
      </c>
      <c r="B101" s="24">
        <v>39680</v>
      </c>
      <c r="C101" s="24">
        <v>39660</v>
      </c>
      <c r="D101" s="22" t="s">
        <v>582</v>
      </c>
      <c r="E101" s="22">
        <v>9094028</v>
      </c>
      <c r="F101" s="22">
        <v>1010</v>
      </c>
      <c r="G101" s="22">
        <v>40265</v>
      </c>
      <c r="H101" s="55" t="s">
        <v>3012</v>
      </c>
      <c r="I101" s="55" t="s">
        <v>404</v>
      </c>
      <c r="J101" s="94">
        <v>40163</v>
      </c>
      <c r="K101" s="55" t="s">
        <v>404</v>
      </c>
      <c r="L101" s="92">
        <v>40191</v>
      </c>
      <c r="M101" s="28">
        <v>39708</v>
      </c>
      <c r="N101" s="80">
        <f t="shared" si="1"/>
        <v>39660</v>
      </c>
      <c r="O101" s="80"/>
      <c r="Q101" s="211"/>
      <c r="R101" s="80"/>
      <c r="S101" s="80"/>
      <c r="T101" s="80"/>
      <c r="U101" s="22">
        <v>9094028</v>
      </c>
      <c r="V101" s="80">
        <v>39682</v>
      </c>
      <c r="X101" s="4">
        <v>9094159</v>
      </c>
      <c r="Y101" s="2">
        <v>39698</v>
      </c>
      <c r="AA101" s="22">
        <v>9094028</v>
      </c>
      <c r="AB101" s="4" t="s">
        <v>404</v>
      </c>
      <c r="AC101" s="44">
        <v>40163</v>
      </c>
    </row>
    <row r="102" spans="1:29" x14ac:dyDescent="0.4">
      <c r="A102" s="24" t="s">
        <v>524</v>
      </c>
      <c r="B102" s="24">
        <v>0</v>
      </c>
      <c r="C102" s="24">
        <v>39669</v>
      </c>
      <c r="D102" s="22" t="s">
        <v>582</v>
      </c>
      <c r="E102" s="22">
        <v>9094404</v>
      </c>
      <c r="F102" s="22">
        <v>1010</v>
      </c>
      <c r="G102" s="22" t="s">
        <v>943</v>
      </c>
      <c r="H102" s="55" t="s">
        <v>944</v>
      </c>
      <c r="I102" s="55" t="s">
        <v>404</v>
      </c>
      <c r="J102" s="94">
        <v>39738</v>
      </c>
      <c r="K102" s="55" t="s">
        <v>404</v>
      </c>
      <c r="L102" s="92">
        <v>39738</v>
      </c>
      <c r="M102" s="28">
        <v>39741</v>
      </c>
      <c r="N102" s="80">
        <f t="shared" si="1"/>
        <v>39669</v>
      </c>
      <c r="O102" s="80"/>
      <c r="Q102" s="211"/>
      <c r="R102" s="80"/>
      <c r="S102" s="80"/>
      <c r="T102" s="80"/>
      <c r="U102" s="22">
        <v>9094404</v>
      </c>
      <c r="V102" s="80">
        <v>39828</v>
      </c>
      <c r="X102" s="4">
        <v>9094232</v>
      </c>
      <c r="Y102" s="2">
        <v>39668</v>
      </c>
      <c r="AA102" s="22">
        <v>9094404</v>
      </c>
      <c r="AB102" s="4" t="s">
        <v>404</v>
      </c>
      <c r="AC102" s="44">
        <v>39738</v>
      </c>
    </row>
    <row r="103" spans="1:29" x14ac:dyDescent="0.4">
      <c r="A103" s="24" t="s">
        <v>524</v>
      </c>
      <c r="B103" s="24">
        <v>39680</v>
      </c>
      <c r="C103" s="24">
        <v>39660</v>
      </c>
      <c r="D103" s="22" t="s">
        <v>582</v>
      </c>
      <c r="E103" s="22">
        <v>9094029</v>
      </c>
      <c r="F103" s="22">
        <v>715</v>
      </c>
      <c r="G103" s="22">
        <v>40264</v>
      </c>
      <c r="H103" s="55" t="s">
        <v>3013</v>
      </c>
      <c r="I103" s="55" t="s">
        <v>404</v>
      </c>
      <c r="J103" s="94">
        <v>39693</v>
      </c>
      <c r="K103" s="55" t="s">
        <v>404</v>
      </c>
      <c r="L103" s="92">
        <v>39693</v>
      </c>
      <c r="M103" s="28">
        <v>39708</v>
      </c>
      <c r="N103" s="80">
        <f t="shared" si="1"/>
        <v>39660</v>
      </c>
      <c r="O103" s="80"/>
      <c r="Q103" s="211"/>
      <c r="R103" s="80"/>
      <c r="S103" s="80"/>
      <c r="T103" s="80"/>
      <c r="U103" s="22">
        <v>9094029</v>
      </c>
      <c r="V103" s="80">
        <v>39743</v>
      </c>
      <c r="X103" s="4">
        <v>9094034</v>
      </c>
      <c r="Y103" s="2">
        <v>39668</v>
      </c>
      <c r="AA103" s="22">
        <v>9094029</v>
      </c>
      <c r="AB103" s="4" t="s">
        <v>404</v>
      </c>
      <c r="AC103" s="44">
        <v>39693</v>
      </c>
    </row>
    <row r="104" spans="1:29" x14ac:dyDescent="0.4">
      <c r="A104" s="24" t="s">
        <v>524</v>
      </c>
      <c r="B104" s="24">
        <v>0</v>
      </c>
      <c r="C104" s="24">
        <v>39669</v>
      </c>
      <c r="D104" s="22" t="s">
        <v>582</v>
      </c>
      <c r="E104" s="22">
        <v>9094111</v>
      </c>
      <c r="F104" s="22">
        <v>1010</v>
      </c>
      <c r="G104" s="22">
        <v>40508</v>
      </c>
      <c r="H104" s="55" t="s">
        <v>945</v>
      </c>
      <c r="I104" s="55" t="s">
        <v>404</v>
      </c>
      <c r="J104" s="94">
        <v>39914</v>
      </c>
      <c r="K104" s="55" t="s">
        <v>404</v>
      </c>
      <c r="L104" s="92">
        <v>39948</v>
      </c>
      <c r="M104" s="28">
        <v>39708</v>
      </c>
      <c r="N104" s="80">
        <f t="shared" si="1"/>
        <v>39669</v>
      </c>
      <c r="O104" s="80"/>
      <c r="Q104" s="211"/>
      <c r="R104" s="80"/>
      <c r="S104" s="80"/>
      <c r="T104" s="80"/>
      <c r="U104" s="22">
        <v>9094111</v>
      </c>
      <c r="V104" s="80">
        <v>39742</v>
      </c>
      <c r="X104" s="4">
        <v>9094336</v>
      </c>
      <c r="Y104" s="2">
        <v>39696</v>
      </c>
      <c r="AA104" s="22">
        <v>9094111</v>
      </c>
      <c r="AB104" s="4" t="s">
        <v>404</v>
      </c>
      <c r="AC104" s="44">
        <v>39914</v>
      </c>
    </row>
    <row r="105" spans="1:29" x14ac:dyDescent="0.4">
      <c r="A105" s="24" t="s">
        <v>524</v>
      </c>
      <c r="B105" s="24">
        <v>0</v>
      </c>
      <c r="C105" s="24">
        <v>39669</v>
      </c>
      <c r="D105" s="22" t="s">
        <v>582</v>
      </c>
      <c r="E105" s="22">
        <v>9094112</v>
      </c>
      <c r="F105" s="22">
        <v>715</v>
      </c>
      <c r="G105" s="22">
        <v>40507</v>
      </c>
      <c r="H105" s="55" t="s">
        <v>946</v>
      </c>
      <c r="I105" s="55" t="s">
        <v>404</v>
      </c>
      <c r="J105" s="94">
        <v>39866</v>
      </c>
      <c r="K105" s="55" t="s">
        <v>404</v>
      </c>
      <c r="L105" s="92">
        <v>39871</v>
      </c>
      <c r="M105" s="28">
        <v>39708</v>
      </c>
      <c r="N105" s="80">
        <f t="shared" si="1"/>
        <v>39669</v>
      </c>
      <c r="O105" s="80"/>
      <c r="Q105" s="211"/>
      <c r="R105" s="80"/>
      <c r="S105" s="80"/>
      <c r="T105" s="80"/>
      <c r="U105" s="22">
        <v>9094112</v>
      </c>
      <c r="V105" s="80">
        <v>39759</v>
      </c>
      <c r="X105" s="4">
        <v>9094153</v>
      </c>
      <c r="Y105" s="2">
        <v>39703</v>
      </c>
      <c r="AA105" s="22">
        <v>9094112</v>
      </c>
      <c r="AB105" s="4" t="s">
        <v>404</v>
      </c>
      <c r="AC105" s="44">
        <v>39866</v>
      </c>
    </row>
    <row r="106" spans="1:29" x14ac:dyDescent="0.4">
      <c r="A106" s="24" t="s">
        <v>524</v>
      </c>
      <c r="B106" s="24">
        <v>0</v>
      </c>
      <c r="C106" s="24">
        <v>39669</v>
      </c>
      <c r="D106" s="22" t="s">
        <v>583</v>
      </c>
      <c r="E106" s="22">
        <v>9094405</v>
      </c>
      <c r="F106" s="22">
        <v>1010</v>
      </c>
      <c r="G106" s="22">
        <v>40510</v>
      </c>
      <c r="H106" s="161" t="s">
        <v>3014</v>
      </c>
      <c r="I106" s="55" t="s">
        <v>404</v>
      </c>
      <c r="J106" s="94">
        <v>40325</v>
      </c>
      <c r="K106" s="55" t="s">
        <v>404</v>
      </c>
      <c r="L106" s="92"/>
      <c r="M106" s="28">
        <v>39890</v>
      </c>
      <c r="N106" s="80">
        <f t="shared" si="1"/>
        <v>39669</v>
      </c>
      <c r="O106" s="80"/>
      <c r="Q106" s="211"/>
      <c r="R106" s="80"/>
      <c r="S106" s="80"/>
      <c r="T106" s="80"/>
      <c r="U106" s="22">
        <v>9094405</v>
      </c>
      <c r="V106" s="80">
        <v>39762</v>
      </c>
      <c r="X106" s="4">
        <v>9094139</v>
      </c>
      <c r="Y106" s="2">
        <v>39675</v>
      </c>
      <c r="AA106" s="22">
        <v>9094405</v>
      </c>
      <c r="AB106" s="4" t="s">
        <v>404</v>
      </c>
      <c r="AC106" s="44">
        <v>40325</v>
      </c>
    </row>
    <row r="107" spans="1:29" x14ac:dyDescent="0.4">
      <c r="A107" s="24" t="s">
        <v>524</v>
      </c>
      <c r="B107" s="24">
        <v>39767</v>
      </c>
      <c r="C107" s="24">
        <v>0</v>
      </c>
      <c r="D107" s="22" t="s">
        <v>583</v>
      </c>
      <c r="E107" s="22">
        <v>9094158</v>
      </c>
      <c r="F107" s="22">
        <v>1010</v>
      </c>
      <c r="G107" s="22" t="s">
        <v>947</v>
      </c>
      <c r="H107" s="55" t="s">
        <v>948</v>
      </c>
      <c r="I107" s="55" t="s">
        <v>404</v>
      </c>
      <c r="J107" s="94">
        <v>39738</v>
      </c>
      <c r="K107" s="55" t="s">
        <v>404</v>
      </c>
      <c r="L107" s="92">
        <v>39738</v>
      </c>
      <c r="M107" s="28">
        <v>39741</v>
      </c>
      <c r="N107" s="80">
        <f t="shared" si="1"/>
        <v>39698</v>
      </c>
      <c r="O107" s="80"/>
      <c r="Q107" s="211"/>
      <c r="R107" s="80"/>
      <c r="S107" s="80"/>
      <c r="T107" s="80"/>
      <c r="U107" s="22">
        <v>9094158</v>
      </c>
      <c r="V107" s="80">
        <v>39759</v>
      </c>
      <c r="X107" s="4">
        <v>9094168</v>
      </c>
      <c r="Y107" s="2">
        <v>39675</v>
      </c>
      <c r="AA107" s="22">
        <v>9094158</v>
      </c>
      <c r="AB107" s="4" t="s">
        <v>404</v>
      </c>
      <c r="AC107" s="44">
        <v>39738</v>
      </c>
    </row>
    <row r="108" spans="1:29" x14ac:dyDescent="0.4">
      <c r="A108" s="24" t="s">
        <v>524</v>
      </c>
      <c r="B108" s="24">
        <v>39767</v>
      </c>
      <c r="C108" s="24">
        <v>0</v>
      </c>
      <c r="D108" s="22" t="s">
        <v>583</v>
      </c>
      <c r="E108" s="22">
        <v>9094159</v>
      </c>
      <c r="F108" s="22">
        <v>1010</v>
      </c>
      <c r="G108" s="22" t="s">
        <v>949</v>
      </c>
      <c r="H108" s="55" t="s">
        <v>950</v>
      </c>
      <c r="I108" s="55" t="s">
        <v>404</v>
      </c>
      <c r="J108" s="94">
        <v>39738</v>
      </c>
      <c r="K108" s="55" t="s">
        <v>404</v>
      </c>
      <c r="L108" s="92">
        <v>39738</v>
      </c>
      <c r="M108" s="28">
        <v>39741</v>
      </c>
      <c r="N108" s="80">
        <f t="shared" si="1"/>
        <v>39698</v>
      </c>
      <c r="O108" s="80"/>
      <c r="Q108" s="211"/>
      <c r="R108" s="80"/>
      <c r="S108" s="80"/>
      <c r="T108" s="80"/>
      <c r="U108" s="22">
        <v>9094159</v>
      </c>
      <c r="V108" s="80">
        <v>39762</v>
      </c>
      <c r="X108" s="4">
        <v>9094082</v>
      </c>
      <c r="Y108" s="2">
        <v>39668</v>
      </c>
      <c r="AA108" s="22">
        <v>9094159</v>
      </c>
      <c r="AB108" s="4" t="s">
        <v>404</v>
      </c>
      <c r="AC108" s="44">
        <v>39738</v>
      </c>
    </row>
    <row r="109" spans="1:29" x14ac:dyDescent="0.4">
      <c r="A109" s="24" t="s">
        <v>524</v>
      </c>
      <c r="B109" s="24">
        <v>39828</v>
      </c>
      <c r="C109" s="24">
        <v>0</v>
      </c>
      <c r="D109" s="22" t="s">
        <v>583</v>
      </c>
      <c r="E109" s="22">
        <v>9094307</v>
      </c>
      <c r="F109" s="22">
        <v>1010</v>
      </c>
      <c r="G109" s="22" t="s">
        <v>951</v>
      </c>
      <c r="H109" s="55" t="s">
        <v>952</v>
      </c>
      <c r="I109" s="55" t="s">
        <v>404</v>
      </c>
      <c r="J109" s="94">
        <v>39794</v>
      </c>
      <c r="K109" s="55" t="s">
        <v>404</v>
      </c>
      <c r="L109" s="92"/>
      <c r="M109" s="92">
        <v>39799</v>
      </c>
      <c r="N109" s="80">
        <f t="shared" si="1"/>
        <v>39794</v>
      </c>
      <c r="O109" s="80"/>
      <c r="Q109" s="211"/>
      <c r="R109" s="80"/>
      <c r="S109" s="80"/>
      <c r="T109" s="80"/>
      <c r="U109" s="22">
        <v>9094307</v>
      </c>
      <c r="V109" s="80">
        <v>39884</v>
      </c>
      <c r="X109" s="187">
        <v>9094061</v>
      </c>
      <c r="Y109" s="83">
        <v>39672</v>
      </c>
      <c r="AA109" s="22">
        <v>9094307</v>
      </c>
      <c r="AB109" s="4" t="s">
        <v>404</v>
      </c>
      <c r="AC109" s="44">
        <v>39794</v>
      </c>
    </row>
    <row r="110" spans="1:29" x14ac:dyDescent="0.4">
      <c r="A110" s="24" t="s">
        <v>524</v>
      </c>
      <c r="B110" s="24">
        <v>39797</v>
      </c>
      <c r="C110" s="24">
        <v>0</v>
      </c>
      <c r="D110" s="22" t="s">
        <v>583</v>
      </c>
      <c r="E110" s="22">
        <v>9094257</v>
      </c>
      <c r="F110" s="22">
        <v>1010</v>
      </c>
      <c r="G110" s="22" t="s">
        <v>953</v>
      </c>
      <c r="H110" s="55" t="s">
        <v>954</v>
      </c>
      <c r="I110" s="55" t="s">
        <v>404</v>
      </c>
      <c r="J110" s="94">
        <v>39738</v>
      </c>
      <c r="K110" s="55" t="s">
        <v>404</v>
      </c>
      <c r="L110" s="92">
        <v>39738</v>
      </c>
      <c r="M110" s="92">
        <v>39741</v>
      </c>
      <c r="N110" s="80">
        <f t="shared" si="1"/>
        <v>39742</v>
      </c>
      <c r="O110" s="80"/>
      <c r="Q110" s="211"/>
      <c r="R110" s="80"/>
      <c r="S110" s="80"/>
      <c r="T110" s="80"/>
      <c r="U110" s="22">
        <v>9094257</v>
      </c>
      <c r="V110" s="80">
        <v>39828</v>
      </c>
      <c r="X110" s="187">
        <v>9094062</v>
      </c>
      <c r="Y110" s="83">
        <v>39672</v>
      </c>
      <c r="AA110" s="22">
        <v>9094257</v>
      </c>
      <c r="AB110" s="4" t="s">
        <v>404</v>
      </c>
      <c r="AC110" s="44">
        <v>39738</v>
      </c>
    </row>
    <row r="111" spans="1:29" x14ac:dyDescent="0.4">
      <c r="A111" s="24" t="s">
        <v>524</v>
      </c>
      <c r="B111" s="24">
        <v>39828</v>
      </c>
      <c r="C111" s="24">
        <v>0</v>
      </c>
      <c r="D111" s="22" t="s">
        <v>583</v>
      </c>
      <c r="E111" s="22">
        <v>9094308</v>
      </c>
      <c r="F111" s="22">
        <v>1010</v>
      </c>
      <c r="G111" s="22" t="s">
        <v>955</v>
      </c>
      <c r="H111" s="55" t="s">
        <v>956</v>
      </c>
      <c r="I111" s="55" t="s">
        <v>404</v>
      </c>
      <c r="J111" s="94">
        <v>39801</v>
      </c>
      <c r="K111" s="55" t="s">
        <v>404</v>
      </c>
      <c r="L111" s="92"/>
      <c r="M111" s="92">
        <v>39799</v>
      </c>
      <c r="N111" s="80">
        <f t="shared" si="1"/>
        <v>39797</v>
      </c>
      <c r="O111" s="80"/>
      <c r="Q111" s="211"/>
      <c r="R111" s="80"/>
      <c r="S111" s="80"/>
      <c r="T111" s="80"/>
      <c r="U111" s="22">
        <v>9094308</v>
      </c>
      <c r="V111" s="80">
        <v>39884</v>
      </c>
      <c r="X111" s="4">
        <v>9094190</v>
      </c>
      <c r="Y111" s="2">
        <v>39675</v>
      </c>
      <c r="AA111" s="22">
        <v>9094308</v>
      </c>
      <c r="AB111" s="4" t="s">
        <v>404</v>
      </c>
      <c r="AC111" s="44">
        <v>39801</v>
      </c>
    </row>
    <row r="112" spans="1:29" x14ac:dyDescent="0.4">
      <c r="A112" s="24" t="s">
        <v>524</v>
      </c>
      <c r="B112" s="24">
        <v>39706</v>
      </c>
      <c r="C112" s="24">
        <v>39688</v>
      </c>
      <c r="D112" s="22" t="s">
        <v>583</v>
      </c>
      <c r="E112" s="22">
        <v>9094052</v>
      </c>
      <c r="F112" s="22">
        <v>715</v>
      </c>
      <c r="G112" s="22" t="s">
        <v>957</v>
      </c>
      <c r="H112" s="55" t="s">
        <v>958</v>
      </c>
      <c r="I112" s="55" t="s">
        <v>404</v>
      </c>
      <c r="J112" s="94">
        <v>39794</v>
      </c>
      <c r="K112" s="55" t="s">
        <v>404</v>
      </c>
      <c r="L112" s="92"/>
      <c r="M112" s="28">
        <v>39708</v>
      </c>
      <c r="N112" s="80">
        <f t="shared" si="1"/>
        <v>39688</v>
      </c>
      <c r="O112" s="80"/>
      <c r="Q112" s="211"/>
      <c r="R112" s="80"/>
      <c r="S112" s="80"/>
      <c r="T112" s="80"/>
      <c r="U112" s="22">
        <v>9094052</v>
      </c>
      <c r="V112" s="80">
        <v>39715</v>
      </c>
      <c r="X112" s="4">
        <v>9094293</v>
      </c>
      <c r="Y112" s="2">
        <v>39694</v>
      </c>
      <c r="AA112" s="22">
        <v>9094052</v>
      </c>
      <c r="AB112" s="4" t="s">
        <v>404</v>
      </c>
      <c r="AC112" s="44">
        <v>39794</v>
      </c>
    </row>
    <row r="113" spans="1:29" x14ac:dyDescent="0.4">
      <c r="A113" s="24" t="s">
        <v>524</v>
      </c>
      <c r="B113" s="24">
        <v>39722</v>
      </c>
      <c r="C113" s="24">
        <v>39688</v>
      </c>
      <c r="D113" s="22" t="s">
        <v>583</v>
      </c>
      <c r="E113" s="22">
        <v>9094053</v>
      </c>
      <c r="F113" s="22">
        <v>1010</v>
      </c>
      <c r="G113" s="22" t="s">
        <v>959</v>
      </c>
      <c r="H113" s="55" t="s">
        <v>960</v>
      </c>
      <c r="I113" s="55" t="s">
        <v>404</v>
      </c>
      <c r="J113" s="94">
        <v>39731</v>
      </c>
      <c r="K113" s="55" t="s">
        <v>404</v>
      </c>
      <c r="L113" s="92">
        <v>39731</v>
      </c>
      <c r="M113" s="28">
        <v>39708</v>
      </c>
      <c r="N113" s="80">
        <f t="shared" si="1"/>
        <v>39688</v>
      </c>
      <c r="O113" s="80"/>
      <c r="Q113" s="211"/>
      <c r="R113" s="80"/>
      <c r="S113" s="80"/>
      <c r="T113" s="80"/>
      <c r="U113" s="22">
        <v>9094053</v>
      </c>
      <c r="V113" s="80">
        <v>39709</v>
      </c>
      <c r="X113" s="4">
        <v>9094143</v>
      </c>
      <c r="Y113" s="2">
        <v>39672</v>
      </c>
      <c r="AA113" s="22">
        <v>9094053</v>
      </c>
      <c r="AB113" s="4" t="s">
        <v>404</v>
      </c>
      <c r="AC113" s="44">
        <v>39731</v>
      </c>
    </row>
    <row r="114" spans="1:29" x14ac:dyDescent="0.4">
      <c r="A114" s="24" t="s">
        <v>524</v>
      </c>
      <c r="B114" s="24">
        <v>39828</v>
      </c>
      <c r="C114" s="24">
        <v>0</v>
      </c>
      <c r="D114" s="22" t="s">
        <v>583</v>
      </c>
      <c r="E114" s="22">
        <v>9094310</v>
      </c>
      <c r="F114" s="22">
        <v>1010</v>
      </c>
      <c r="G114" s="22" t="s">
        <v>961</v>
      </c>
      <c r="H114" s="55" t="s">
        <v>3015</v>
      </c>
      <c r="I114" s="55" t="s">
        <v>404</v>
      </c>
      <c r="J114" s="94">
        <v>40065</v>
      </c>
      <c r="K114" s="55" t="s">
        <v>404</v>
      </c>
      <c r="L114" s="92">
        <v>40066</v>
      </c>
      <c r="M114" s="92">
        <v>39832</v>
      </c>
      <c r="N114" s="80">
        <f t="shared" si="1"/>
        <v>39703</v>
      </c>
      <c r="O114" s="80"/>
      <c r="Q114" s="211"/>
      <c r="R114" s="80"/>
      <c r="S114" s="80"/>
      <c r="T114" s="80"/>
      <c r="U114" s="22">
        <v>9094310</v>
      </c>
      <c r="V114" s="80">
        <v>39917</v>
      </c>
      <c r="X114" s="4">
        <v>9094207</v>
      </c>
      <c r="Y114" s="2">
        <v>39672</v>
      </c>
      <c r="AA114" s="22">
        <v>9094310</v>
      </c>
      <c r="AB114" s="4" t="s">
        <v>404</v>
      </c>
      <c r="AC114" s="44">
        <v>40065</v>
      </c>
    </row>
    <row r="115" spans="1:29" x14ac:dyDescent="0.4">
      <c r="A115" s="24" t="s">
        <v>524</v>
      </c>
      <c r="B115" s="24">
        <v>39797</v>
      </c>
      <c r="C115" s="24">
        <v>0</v>
      </c>
      <c r="D115" s="22" t="s">
        <v>583</v>
      </c>
      <c r="E115" s="22">
        <v>9094259</v>
      </c>
      <c r="F115" s="22">
        <v>1010</v>
      </c>
      <c r="G115" s="22" t="s">
        <v>962</v>
      </c>
      <c r="H115" s="55" t="s">
        <v>963</v>
      </c>
      <c r="I115" s="55" t="s">
        <v>404</v>
      </c>
      <c r="J115" s="94">
        <v>39766</v>
      </c>
      <c r="K115" s="55" t="s">
        <v>404</v>
      </c>
      <c r="L115" s="92"/>
      <c r="M115" s="92">
        <v>39799</v>
      </c>
      <c r="N115" s="80">
        <f t="shared" si="1"/>
        <v>39748</v>
      </c>
      <c r="O115" s="80"/>
      <c r="Q115" s="211"/>
      <c r="R115" s="80"/>
      <c r="S115" s="80"/>
      <c r="T115" s="80"/>
      <c r="U115" s="22">
        <v>9094259</v>
      </c>
      <c r="V115" s="80">
        <v>39773</v>
      </c>
      <c r="X115" s="4">
        <v>9094108</v>
      </c>
      <c r="Y115" s="2">
        <v>39665</v>
      </c>
      <c r="AA115" s="22">
        <v>9094259</v>
      </c>
      <c r="AB115" s="4" t="s">
        <v>404</v>
      </c>
      <c r="AC115" s="44">
        <v>39766</v>
      </c>
    </row>
    <row r="116" spans="1:29" x14ac:dyDescent="0.4">
      <c r="A116" s="24" t="s">
        <v>524</v>
      </c>
      <c r="B116" s="24">
        <v>39797</v>
      </c>
      <c r="C116" s="24">
        <v>0</v>
      </c>
      <c r="D116" s="22" t="s">
        <v>583</v>
      </c>
      <c r="E116" s="22">
        <v>9094245</v>
      </c>
      <c r="F116" s="22">
        <v>715</v>
      </c>
      <c r="G116" s="22" t="s">
        <v>964</v>
      </c>
      <c r="H116" s="55" t="s">
        <v>965</v>
      </c>
      <c r="I116" s="55" t="s">
        <v>404</v>
      </c>
      <c r="J116" s="94">
        <v>39738</v>
      </c>
      <c r="K116" s="55" t="s">
        <v>404</v>
      </c>
      <c r="L116" s="92">
        <v>39738</v>
      </c>
      <c r="M116" s="28">
        <v>39741</v>
      </c>
      <c r="N116" s="80">
        <f t="shared" si="1"/>
        <v>39698</v>
      </c>
      <c r="O116" s="80"/>
      <c r="Q116" s="211"/>
      <c r="R116" s="80"/>
      <c r="S116" s="80"/>
      <c r="T116" s="80"/>
      <c r="U116" s="22">
        <v>9094245</v>
      </c>
      <c r="V116" s="80">
        <v>39776</v>
      </c>
      <c r="X116" s="4">
        <v>9094162</v>
      </c>
      <c r="Y116" s="2">
        <v>39665</v>
      </c>
      <c r="AA116" s="22">
        <v>9094245</v>
      </c>
      <c r="AB116" s="4" t="s">
        <v>404</v>
      </c>
      <c r="AC116" s="44">
        <v>39738</v>
      </c>
    </row>
    <row r="117" spans="1:29" x14ac:dyDescent="0.4">
      <c r="A117" s="24" t="s">
        <v>524</v>
      </c>
      <c r="B117" s="24">
        <v>39797</v>
      </c>
      <c r="C117" s="24">
        <v>0</v>
      </c>
      <c r="D117" s="22" t="s">
        <v>583</v>
      </c>
      <c r="E117" s="22">
        <v>9094246</v>
      </c>
      <c r="F117" s="22">
        <v>1010</v>
      </c>
      <c r="G117" s="22" t="s">
        <v>966</v>
      </c>
      <c r="H117" s="55" t="s">
        <v>967</v>
      </c>
      <c r="I117" s="55" t="s">
        <v>404</v>
      </c>
      <c r="J117" s="94">
        <v>39752</v>
      </c>
      <c r="K117" s="55" t="s">
        <v>404</v>
      </c>
      <c r="L117" s="92"/>
      <c r="M117" s="28">
        <v>39799</v>
      </c>
      <c r="N117" s="80">
        <f t="shared" si="1"/>
        <v>39698</v>
      </c>
      <c r="O117" s="80"/>
      <c r="Q117" s="211"/>
      <c r="R117" s="80"/>
      <c r="S117" s="80"/>
      <c r="T117" s="80"/>
      <c r="U117" s="22">
        <v>9094246</v>
      </c>
      <c r="V117" s="80">
        <v>39777</v>
      </c>
      <c r="X117" s="4">
        <v>9094154</v>
      </c>
      <c r="Y117" s="2">
        <v>39675</v>
      </c>
      <c r="AA117" s="22">
        <v>9094246</v>
      </c>
      <c r="AB117" s="4" t="s">
        <v>404</v>
      </c>
      <c r="AC117" s="44">
        <v>39752</v>
      </c>
    </row>
    <row r="118" spans="1:29" x14ac:dyDescent="0.4">
      <c r="A118" s="24" t="s">
        <v>524</v>
      </c>
      <c r="B118" s="24">
        <v>39828</v>
      </c>
      <c r="C118" s="24">
        <v>0</v>
      </c>
      <c r="D118" s="22" t="s">
        <v>583</v>
      </c>
      <c r="E118" s="22">
        <v>9094309</v>
      </c>
      <c r="F118" s="22">
        <v>1010</v>
      </c>
      <c r="G118" s="22" t="s">
        <v>968</v>
      </c>
      <c r="H118" s="55" t="s">
        <v>969</v>
      </c>
      <c r="I118" s="55" t="s">
        <v>404</v>
      </c>
      <c r="J118" s="94">
        <v>39801</v>
      </c>
      <c r="K118" s="55" t="s">
        <v>404</v>
      </c>
      <c r="L118" s="92"/>
      <c r="M118" s="28">
        <v>39799</v>
      </c>
      <c r="N118" s="80">
        <f t="shared" si="1"/>
        <v>39801</v>
      </c>
      <c r="O118" s="80"/>
      <c r="Q118" s="211"/>
      <c r="R118" s="80"/>
      <c r="S118" s="80"/>
      <c r="T118" s="80"/>
      <c r="U118" s="22">
        <v>9094309</v>
      </c>
      <c r="V118" s="80">
        <v>39874</v>
      </c>
      <c r="X118" s="4">
        <v>9094144</v>
      </c>
      <c r="Y118" s="2">
        <v>39668</v>
      </c>
      <c r="AA118" s="22">
        <v>9094309</v>
      </c>
      <c r="AB118" s="4" t="s">
        <v>404</v>
      </c>
      <c r="AC118" s="44">
        <v>39801</v>
      </c>
    </row>
    <row r="119" spans="1:29" x14ac:dyDescent="0.4">
      <c r="A119" s="24" t="s">
        <v>524</v>
      </c>
      <c r="B119" s="24">
        <v>39859</v>
      </c>
      <c r="C119" s="24">
        <v>0</v>
      </c>
      <c r="D119" s="22" t="s">
        <v>583</v>
      </c>
      <c r="E119" s="22">
        <v>9094335</v>
      </c>
      <c r="F119" s="22">
        <v>715</v>
      </c>
      <c r="G119" s="22" t="s">
        <v>972</v>
      </c>
      <c r="H119" s="55" t="s">
        <v>3016</v>
      </c>
      <c r="I119" s="55" t="s">
        <v>404</v>
      </c>
      <c r="J119" s="94">
        <v>40148</v>
      </c>
      <c r="K119" s="55" t="s">
        <v>404</v>
      </c>
      <c r="L119" s="92"/>
      <c r="M119" s="28">
        <v>39890</v>
      </c>
      <c r="N119" s="80">
        <f t="shared" si="1"/>
        <v>39696</v>
      </c>
      <c r="O119" s="80"/>
      <c r="Q119" s="211"/>
      <c r="R119" s="80"/>
      <c r="S119" s="80"/>
      <c r="T119" s="80"/>
      <c r="U119" s="22">
        <v>9094335</v>
      </c>
      <c r="V119" s="80">
        <v>39723</v>
      </c>
      <c r="X119" s="4">
        <v>9094084</v>
      </c>
      <c r="Y119" s="2">
        <v>39665</v>
      </c>
      <c r="AA119" s="22">
        <v>9094335</v>
      </c>
      <c r="AB119" s="4" t="s">
        <v>404</v>
      </c>
      <c r="AC119" s="44">
        <v>40148</v>
      </c>
    </row>
    <row r="120" spans="1:29" x14ac:dyDescent="0.4">
      <c r="A120" s="24" t="s">
        <v>524</v>
      </c>
      <c r="B120" s="24">
        <v>39887</v>
      </c>
      <c r="C120" s="24">
        <v>0</v>
      </c>
      <c r="D120" s="22" t="s">
        <v>1380</v>
      </c>
      <c r="E120" s="22">
        <v>9094359</v>
      </c>
      <c r="F120" s="22">
        <v>1010</v>
      </c>
      <c r="G120" s="22" t="s">
        <v>804</v>
      </c>
      <c r="H120" s="55" t="s">
        <v>1604</v>
      </c>
      <c r="I120" s="91" t="s">
        <v>404</v>
      </c>
      <c r="J120" s="94">
        <v>40207</v>
      </c>
      <c r="K120" s="91" t="s">
        <v>404</v>
      </c>
      <c r="L120" s="92"/>
      <c r="M120" s="92"/>
      <c r="N120" s="80">
        <f t="shared" si="1"/>
        <v>39696</v>
      </c>
      <c r="O120" s="80"/>
      <c r="Q120" s="211"/>
      <c r="R120" s="80"/>
      <c r="S120" s="80"/>
      <c r="T120" s="80"/>
      <c r="U120" s="22">
        <v>9094359</v>
      </c>
      <c r="V120" s="80">
        <v>39853</v>
      </c>
      <c r="X120" s="4">
        <v>9094259</v>
      </c>
      <c r="Y120" s="2">
        <v>39748</v>
      </c>
      <c r="AA120" s="22">
        <v>9094359</v>
      </c>
      <c r="AB120" s="38" t="s">
        <v>404</v>
      </c>
      <c r="AC120" s="44">
        <v>40207</v>
      </c>
    </row>
    <row r="121" spans="1:29" x14ac:dyDescent="0.4">
      <c r="A121" s="24" t="s">
        <v>524</v>
      </c>
      <c r="B121" s="24">
        <v>0</v>
      </c>
      <c r="C121" s="24">
        <v>39674</v>
      </c>
      <c r="D121" s="22" t="s">
        <v>1380</v>
      </c>
      <c r="E121" s="22">
        <v>9094057</v>
      </c>
      <c r="F121" s="22">
        <v>1010</v>
      </c>
      <c r="G121" s="22">
        <v>62613</v>
      </c>
      <c r="H121" s="55" t="s">
        <v>3017</v>
      </c>
      <c r="I121" s="55" t="s">
        <v>404</v>
      </c>
      <c r="J121" s="94">
        <v>40170</v>
      </c>
      <c r="K121" s="55" t="s">
        <v>404</v>
      </c>
      <c r="L121" s="92">
        <v>40540</v>
      </c>
      <c r="M121" s="28">
        <v>39737</v>
      </c>
      <c r="N121" s="80">
        <f t="shared" si="1"/>
        <v>39674</v>
      </c>
      <c r="O121" s="80"/>
      <c r="Q121" s="211"/>
      <c r="R121" s="80"/>
      <c r="S121" s="80"/>
      <c r="T121" s="80"/>
      <c r="U121" s="22">
        <v>9094057</v>
      </c>
      <c r="V121" s="80">
        <v>39752</v>
      </c>
      <c r="X121" s="4">
        <v>9094449</v>
      </c>
      <c r="Y121" s="2">
        <v>39707</v>
      </c>
      <c r="AA121" s="22">
        <v>9094057</v>
      </c>
      <c r="AB121" s="4" t="s">
        <v>404</v>
      </c>
      <c r="AC121" s="44">
        <v>40170</v>
      </c>
    </row>
    <row r="122" spans="1:29" x14ac:dyDescent="0.4">
      <c r="A122" s="24" t="s">
        <v>524</v>
      </c>
      <c r="B122" s="24">
        <v>0</v>
      </c>
      <c r="C122" s="24">
        <v>39674</v>
      </c>
      <c r="D122" s="22" t="s">
        <v>1380</v>
      </c>
      <c r="E122" s="22">
        <v>9094056</v>
      </c>
      <c r="F122" s="22">
        <v>1010</v>
      </c>
      <c r="G122" s="22">
        <v>62577</v>
      </c>
      <c r="H122" s="55" t="s">
        <v>3018</v>
      </c>
      <c r="I122" s="55" t="s">
        <v>404</v>
      </c>
      <c r="J122" s="94">
        <v>40198</v>
      </c>
      <c r="K122" s="55" t="s">
        <v>404</v>
      </c>
      <c r="L122" s="92"/>
      <c r="M122" s="28">
        <v>39737</v>
      </c>
      <c r="N122" s="80">
        <f t="shared" si="1"/>
        <v>39674</v>
      </c>
      <c r="O122" s="80"/>
      <c r="Q122" s="211"/>
      <c r="R122" s="80"/>
      <c r="S122" s="80"/>
      <c r="T122" s="80"/>
      <c r="U122" s="22">
        <v>9094056</v>
      </c>
      <c r="V122" s="80">
        <v>39752</v>
      </c>
      <c r="X122" s="4">
        <v>9094245</v>
      </c>
      <c r="Y122" s="2">
        <v>39698</v>
      </c>
      <c r="AA122" s="22">
        <v>9094056</v>
      </c>
      <c r="AB122" s="4" t="s">
        <v>404</v>
      </c>
      <c r="AC122" s="44">
        <v>40198</v>
      </c>
    </row>
    <row r="123" spans="1:29" x14ac:dyDescent="0.4">
      <c r="A123" s="24" t="s">
        <v>524</v>
      </c>
      <c r="B123" s="24">
        <v>0</v>
      </c>
      <c r="C123" s="24">
        <v>0</v>
      </c>
      <c r="D123" s="22" t="s">
        <v>1380</v>
      </c>
      <c r="E123" s="22">
        <v>9094472</v>
      </c>
      <c r="F123" s="22">
        <v>1010</v>
      </c>
      <c r="G123" s="22"/>
      <c r="H123" s="55" t="s">
        <v>3019</v>
      </c>
      <c r="I123" s="3" t="s">
        <v>404</v>
      </c>
      <c r="J123" s="42">
        <v>40192</v>
      </c>
      <c r="K123" s="3" t="s">
        <v>404</v>
      </c>
      <c r="L123" s="28"/>
      <c r="M123" s="92"/>
      <c r="N123" s="80" t="e">
        <f t="shared" si="1"/>
        <v>#N/A</v>
      </c>
      <c r="O123" s="80"/>
      <c r="Q123" s="211"/>
      <c r="R123" s="80"/>
      <c r="S123" s="80"/>
      <c r="T123" s="80"/>
      <c r="U123" s="22">
        <v>9094472</v>
      </c>
      <c r="V123" s="80">
        <v>39962</v>
      </c>
      <c r="X123" s="4">
        <v>9094450</v>
      </c>
      <c r="Y123" s="2">
        <v>39707</v>
      </c>
      <c r="AA123" s="22" t="s">
        <v>1689</v>
      </c>
      <c r="AB123" s="3" t="s">
        <v>404</v>
      </c>
      <c r="AC123" s="42">
        <v>40192</v>
      </c>
    </row>
    <row r="124" spans="1:29" x14ac:dyDescent="0.4">
      <c r="A124" s="24" t="s">
        <v>524</v>
      </c>
      <c r="B124" s="24">
        <v>39859</v>
      </c>
      <c r="C124" s="24">
        <v>0</v>
      </c>
      <c r="D124" s="22" t="s">
        <v>586</v>
      </c>
      <c r="E124" s="22">
        <v>9094336</v>
      </c>
      <c r="F124" s="22">
        <v>1010</v>
      </c>
      <c r="G124" s="22" t="s">
        <v>970</v>
      </c>
      <c r="H124" s="55" t="s">
        <v>971</v>
      </c>
      <c r="I124" s="55" t="s">
        <v>404</v>
      </c>
      <c r="J124" s="94">
        <v>39741</v>
      </c>
      <c r="K124" s="55" t="s">
        <v>404</v>
      </c>
      <c r="L124" s="92"/>
      <c r="M124" s="28">
        <v>39748</v>
      </c>
      <c r="N124" s="80">
        <f t="shared" si="1"/>
        <v>39696</v>
      </c>
      <c r="O124" s="80"/>
      <c r="Q124" s="211"/>
      <c r="R124" s="80"/>
      <c r="S124" s="80"/>
      <c r="T124" s="80"/>
      <c r="U124" s="22">
        <v>9094336</v>
      </c>
      <c r="V124" s="80">
        <v>39764</v>
      </c>
      <c r="X124" s="4">
        <v>9094246</v>
      </c>
      <c r="Y124" s="2">
        <v>39698</v>
      </c>
      <c r="AA124" s="22">
        <v>9094336</v>
      </c>
      <c r="AB124" s="4" t="s">
        <v>404</v>
      </c>
      <c r="AC124" s="44">
        <v>39741</v>
      </c>
    </row>
    <row r="125" spans="1:29" x14ac:dyDescent="0.4">
      <c r="A125" s="24" t="s">
        <v>524</v>
      </c>
      <c r="B125" s="24">
        <v>39859</v>
      </c>
      <c r="C125" s="24">
        <v>0</v>
      </c>
      <c r="D125" s="22" t="s">
        <v>586</v>
      </c>
      <c r="E125" s="22">
        <v>9094334</v>
      </c>
      <c r="F125" s="22">
        <v>1010</v>
      </c>
      <c r="G125" s="22" t="s">
        <v>972</v>
      </c>
      <c r="H125" s="55" t="s">
        <v>973</v>
      </c>
      <c r="I125" s="55" t="s">
        <v>404</v>
      </c>
      <c r="J125" s="94">
        <v>39813</v>
      </c>
      <c r="K125" s="55" t="s">
        <v>404</v>
      </c>
      <c r="L125" s="92">
        <v>39813</v>
      </c>
      <c r="M125" s="28">
        <v>39818</v>
      </c>
      <c r="N125" s="80">
        <f t="shared" si="1"/>
        <v>39696</v>
      </c>
      <c r="O125" s="80"/>
      <c r="Q125" s="211"/>
      <c r="R125" s="80"/>
      <c r="S125" s="80"/>
      <c r="T125" s="80"/>
      <c r="U125" s="22">
        <v>9094334</v>
      </c>
      <c r="V125" s="80">
        <v>39723</v>
      </c>
      <c r="X125" s="4">
        <v>9094210</v>
      </c>
      <c r="Y125" s="2">
        <v>39672</v>
      </c>
      <c r="AA125" s="22">
        <v>9094334</v>
      </c>
      <c r="AB125" s="4" t="s">
        <v>404</v>
      </c>
      <c r="AC125" s="44">
        <v>39813</v>
      </c>
    </row>
    <row r="126" spans="1:29" x14ac:dyDescent="0.4">
      <c r="A126" s="24" t="s">
        <v>524</v>
      </c>
      <c r="B126" s="24">
        <v>39887</v>
      </c>
      <c r="C126" s="24">
        <v>0</v>
      </c>
      <c r="D126" s="22" t="s">
        <v>586</v>
      </c>
      <c r="E126" s="22">
        <v>9094357</v>
      </c>
      <c r="F126" s="22">
        <v>715</v>
      </c>
      <c r="G126" s="22" t="s">
        <v>974</v>
      </c>
      <c r="H126" s="55" t="s">
        <v>975</v>
      </c>
      <c r="I126" s="55" t="s">
        <v>404</v>
      </c>
      <c r="J126" s="94">
        <v>39731</v>
      </c>
      <c r="K126" s="55" t="s">
        <v>404</v>
      </c>
      <c r="L126" s="92">
        <v>39731</v>
      </c>
      <c r="M126" s="28">
        <v>39738</v>
      </c>
      <c r="N126" s="80">
        <f t="shared" si="1"/>
        <v>39696</v>
      </c>
      <c r="O126" s="80"/>
      <c r="Q126" s="211"/>
      <c r="R126" s="80"/>
      <c r="S126" s="80"/>
      <c r="T126" s="80"/>
      <c r="U126" s="22">
        <v>9094357</v>
      </c>
      <c r="V126" s="80">
        <v>39751</v>
      </c>
      <c r="X126" s="4">
        <v>9094206</v>
      </c>
      <c r="Y126" s="2">
        <v>39672</v>
      </c>
      <c r="AA126" s="22">
        <v>9094357</v>
      </c>
      <c r="AB126" s="4" t="s">
        <v>404</v>
      </c>
      <c r="AC126" s="44">
        <v>39731</v>
      </c>
    </row>
    <row r="127" spans="1:29" x14ac:dyDescent="0.4">
      <c r="A127" s="24" t="s">
        <v>411</v>
      </c>
      <c r="B127" s="24">
        <v>39736</v>
      </c>
      <c r="C127" s="24">
        <v>39667</v>
      </c>
      <c r="D127" s="22" t="s">
        <v>556</v>
      </c>
      <c r="E127" s="22">
        <v>9094117</v>
      </c>
      <c r="F127" s="22">
        <v>1010</v>
      </c>
      <c r="G127" s="22" t="s">
        <v>1686</v>
      </c>
      <c r="H127" s="3" t="s">
        <v>3020</v>
      </c>
      <c r="I127" s="1" t="s">
        <v>404</v>
      </c>
      <c r="J127" s="42">
        <v>40255</v>
      </c>
      <c r="K127" s="91"/>
      <c r="L127" s="1"/>
      <c r="M127" s="92">
        <v>40277</v>
      </c>
      <c r="N127" s="80">
        <f t="shared" si="1"/>
        <v>39667</v>
      </c>
      <c r="O127" s="80"/>
      <c r="Q127" s="211"/>
      <c r="R127" s="80"/>
      <c r="S127" s="80"/>
      <c r="T127" s="80"/>
      <c r="U127" s="22">
        <v>9094117</v>
      </c>
      <c r="V127" s="80">
        <v>39962</v>
      </c>
      <c r="X127" s="4">
        <v>9094236</v>
      </c>
      <c r="Y127" s="2">
        <v>39668</v>
      </c>
      <c r="AA127" s="22">
        <v>9094117</v>
      </c>
      <c r="AB127" s="1" t="s">
        <v>404</v>
      </c>
      <c r="AC127" s="42">
        <v>40255</v>
      </c>
    </row>
    <row r="128" spans="1:29" x14ac:dyDescent="0.4">
      <c r="A128" s="24" t="s">
        <v>411</v>
      </c>
      <c r="B128" s="24">
        <v>39797</v>
      </c>
      <c r="C128" s="24">
        <v>39667</v>
      </c>
      <c r="D128" s="22" t="s">
        <v>556</v>
      </c>
      <c r="E128" s="22">
        <v>9094118</v>
      </c>
      <c r="F128" s="22">
        <v>1010</v>
      </c>
      <c r="G128" s="22">
        <v>4</v>
      </c>
      <c r="H128" s="55" t="s">
        <v>3021</v>
      </c>
      <c r="I128" s="3" t="s">
        <v>406</v>
      </c>
      <c r="J128" s="28"/>
      <c r="K128" s="3" t="s">
        <v>406</v>
      </c>
      <c r="L128" s="28"/>
      <c r="M128" s="92">
        <v>40277</v>
      </c>
      <c r="N128" s="80">
        <f t="shared" si="1"/>
        <v>39667</v>
      </c>
      <c r="O128" s="80"/>
      <c r="Q128" s="211"/>
      <c r="R128" s="80"/>
      <c r="S128" s="80"/>
      <c r="T128" s="80"/>
      <c r="U128" s="22">
        <v>9094118</v>
      </c>
      <c r="V128" s="80">
        <v>39962</v>
      </c>
      <c r="X128" s="4">
        <v>9094165</v>
      </c>
      <c r="Y128" s="2">
        <v>39668</v>
      </c>
      <c r="AA128" s="22">
        <v>9094118</v>
      </c>
      <c r="AB128" s="3" t="s">
        <v>404</v>
      </c>
      <c r="AC128" s="28">
        <v>40816</v>
      </c>
    </row>
    <row r="129" spans="1:29" x14ac:dyDescent="0.4">
      <c r="A129" s="24" t="s">
        <v>411</v>
      </c>
      <c r="B129" s="24">
        <v>39706</v>
      </c>
      <c r="C129" s="24">
        <v>39667</v>
      </c>
      <c r="D129" s="22" t="s">
        <v>556</v>
      </c>
      <c r="E129" s="22">
        <v>9094075</v>
      </c>
      <c r="F129" s="22">
        <v>1210</v>
      </c>
      <c r="G129" s="22">
        <v>1</v>
      </c>
      <c r="H129" s="55" t="s">
        <v>976</v>
      </c>
      <c r="I129" s="3" t="s">
        <v>404</v>
      </c>
      <c r="J129" s="28">
        <v>39934</v>
      </c>
      <c r="K129" s="3" t="s">
        <v>404</v>
      </c>
      <c r="L129" s="28">
        <v>39941</v>
      </c>
      <c r="M129" s="28">
        <v>39952</v>
      </c>
      <c r="N129" s="80">
        <f t="shared" si="1"/>
        <v>39667</v>
      </c>
      <c r="O129" s="80"/>
      <c r="Q129" s="211"/>
      <c r="R129" s="80"/>
      <c r="S129" s="80"/>
      <c r="T129" s="80"/>
      <c r="U129" s="22">
        <v>9094075</v>
      </c>
      <c r="V129" s="80">
        <v>39736</v>
      </c>
      <c r="X129" s="4">
        <v>9094134</v>
      </c>
      <c r="Y129" s="2">
        <v>39665</v>
      </c>
      <c r="AA129" s="22">
        <v>9094075</v>
      </c>
      <c r="AB129" s="3" t="s">
        <v>404</v>
      </c>
      <c r="AC129" s="28">
        <v>39934</v>
      </c>
    </row>
    <row r="130" spans="1:29" x14ac:dyDescent="0.4">
      <c r="A130" s="24" t="s">
        <v>411</v>
      </c>
      <c r="B130" s="24">
        <v>39736</v>
      </c>
      <c r="C130" s="24">
        <v>39667</v>
      </c>
      <c r="D130" s="22" t="s">
        <v>556</v>
      </c>
      <c r="E130" s="22">
        <v>9094076</v>
      </c>
      <c r="F130" s="22">
        <v>1010</v>
      </c>
      <c r="G130" s="22">
        <v>2</v>
      </c>
      <c r="H130" s="55" t="s">
        <v>3022</v>
      </c>
      <c r="I130" s="3" t="s">
        <v>404</v>
      </c>
      <c r="J130" s="28">
        <v>40263</v>
      </c>
      <c r="K130" s="3" t="s">
        <v>404</v>
      </c>
      <c r="L130" s="28">
        <v>40283</v>
      </c>
      <c r="M130" s="28">
        <v>40277</v>
      </c>
      <c r="N130" s="80">
        <f t="shared" si="1"/>
        <v>39667</v>
      </c>
      <c r="O130" s="80"/>
      <c r="Q130" s="211"/>
      <c r="R130" s="80"/>
      <c r="S130" s="80"/>
      <c r="T130" s="80"/>
      <c r="U130" s="22">
        <v>9094076</v>
      </c>
      <c r="V130" s="80">
        <v>39737</v>
      </c>
      <c r="X130" s="4">
        <v>9094142</v>
      </c>
      <c r="Y130" s="2">
        <v>39668</v>
      </c>
      <c r="AA130" s="22">
        <v>9094076</v>
      </c>
      <c r="AB130" s="3" t="s">
        <v>404</v>
      </c>
      <c r="AC130" s="28">
        <v>40263</v>
      </c>
    </row>
    <row r="131" spans="1:29" x14ac:dyDescent="0.4">
      <c r="A131" s="24" t="s">
        <v>411</v>
      </c>
      <c r="B131" s="24">
        <v>0</v>
      </c>
      <c r="C131" s="24">
        <v>0</v>
      </c>
      <c r="D131" s="22" t="s">
        <v>562</v>
      </c>
      <c r="E131" s="155">
        <v>9094449</v>
      </c>
      <c r="F131" s="22">
        <v>1010</v>
      </c>
      <c r="G131" s="22" t="s">
        <v>977</v>
      </c>
      <c r="H131" s="55" t="s">
        <v>978</v>
      </c>
      <c r="I131" s="3" t="s">
        <v>404</v>
      </c>
      <c r="J131" s="28">
        <v>40165</v>
      </c>
      <c r="K131" s="3" t="s">
        <v>404</v>
      </c>
      <c r="L131" s="28">
        <v>40193</v>
      </c>
      <c r="M131" s="28">
        <v>40176</v>
      </c>
      <c r="N131" s="80">
        <f t="shared" ref="N131:N194" si="2">VLOOKUP(E131,PO_Dates2009,2,FALSE)</f>
        <v>39707</v>
      </c>
      <c r="O131" s="80"/>
      <c r="Q131" s="211"/>
      <c r="R131" s="80"/>
      <c r="S131" s="80"/>
      <c r="T131" s="80"/>
      <c r="U131" s="33">
        <v>9094449</v>
      </c>
      <c r="V131" s="80">
        <v>39776</v>
      </c>
      <c r="X131" s="4">
        <v>9094109</v>
      </c>
      <c r="Y131" s="2">
        <v>39668</v>
      </c>
      <c r="AA131" s="33">
        <v>9094449</v>
      </c>
      <c r="AB131" s="3" t="s">
        <v>404</v>
      </c>
      <c r="AC131" s="28">
        <v>40165</v>
      </c>
    </row>
    <row r="132" spans="1:29" x14ac:dyDescent="0.4">
      <c r="A132" s="24" t="s">
        <v>411</v>
      </c>
      <c r="B132" s="24">
        <v>0</v>
      </c>
      <c r="C132" s="24">
        <v>0</v>
      </c>
      <c r="D132" s="22" t="s">
        <v>562</v>
      </c>
      <c r="E132" s="155">
        <v>9094451</v>
      </c>
      <c r="F132" s="22">
        <v>1010</v>
      </c>
      <c r="G132" s="22" t="s">
        <v>979</v>
      </c>
      <c r="H132" s="55" t="s">
        <v>978</v>
      </c>
      <c r="I132" s="3" t="s">
        <v>406</v>
      </c>
      <c r="J132" s="28"/>
      <c r="K132" s="3" t="s">
        <v>406</v>
      </c>
      <c r="L132" s="28"/>
      <c r="M132" s="92"/>
      <c r="N132" s="80">
        <f t="shared" si="2"/>
        <v>39707</v>
      </c>
      <c r="O132" s="80"/>
      <c r="Q132" s="211"/>
      <c r="R132" s="80"/>
      <c r="S132" s="80"/>
      <c r="T132" s="80"/>
      <c r="U132" s="33">
        <v>9094451</v>
      </c>
      <c r="V132" s="80">
        <v>39966</v>
      </c>
      <c r="X132" s="4">
        <v>9094131</v>
      </c>
      <c r="Y132" s="2">
        <v>39675</v>
      </c>
      <c r="AA132" s="33">
        <v>9094451</v>
      </c>
      <c r="AB132" s="3" t="s">
        <v>404</v>
      </c>
      <c r="AC132" s="28">
        <v>40613</v>
      </c>
    </row>
    <row r="133" spans="1:29" x14ac:dyDescent="0.4">
      <c r="A133" s="24" t="s">
        <v>411</v>
      </c>
      <c r="B133" s="24">
        <v>0</v>
      </c>
      <c r="C133" s="24">
        <v>0</v>
      </c>
      <c r="D133" s="22" t="s">
        <v>562</v>
      </c>
      <c r="E133" s="155">
        <v>9094450</v>
      </c>
      <c r="F133" s="22">
        <v>1010</v>
      </c>
      <c r="G133" s="22" t="s">
        <v>980</v>
      </c>
      <c r="H133" s="55" t="s">
        <v>981</v>
      </c>
      <c r="I133" s="3" t="s">
        <v>404</v>
      </c>
      <c r="J133" s="28">
        <v>39963</v>
      </c>
      <c r="K133" s="3" t="s">
        <v>404</v>
      </c>
      <c r="L133" s="28">
        <v>39963</v>
      </c>
      <c r="M133" s="92">
        <v>39965</v>
      </c>
      <c r="N133" s="80">
        <f t="shared" si="2"/>
        <v>39707</v>
      </c>
      <c r="O133" s="80"/>
      <c r="Q133" s="211"/>
      <c r="R133" s="80"/>
      <c r="S133" s="80"/>
      <c r="T133" s="80"/>
      <c r="U133" s="33">
        <v>9094450</v>
      </c>
      <c r="V133" s="80">
        <v>39776</v>
      </c>
      <c r="X133" s="4">
        <v>9094110</v>
      </c>
      <c r="Y133" s="2">
        <v>39668</v>
      </c>
      <c r="AA133" s="33">
        <v>9094450</v>
      </c>
      <c r="AB133" s="3" t="s">
        <v>404</v>
      </c>
      <c r="AC133" s="28">
        <v>39963</v>
      </c>
    </row>
    <row r="134" spans="1:29" x14ac:dyDescent="0.4">
      <c r="A134" s="24" t="s">
        <v>411</v>
      </c>
      <c r="B134" s="24">
        <v>0</v>
      </c>
      <c r="C134" s="24">
        <v>0</v>
      </c>
      <c r="D134" s="22" t="s">
        <v>562</v>
      </c>
      <c r="E134" s="155">
        <v>9094452</v>
      </c>
      <c r="F134" s="22">
        <v>1010</v>
      </c>
      <c r="G134" s="22" t="s">
        <v>982</v>
      </c>
      <c r="H134" s="55" t="s">
        <v>981</v>
      </c>
      <c r="I134" s="3" t="s">
        <v>404</v>
      </c>
      <c r="J134" s="28">
        <v>40154</v>
      </c>
      <c r="K134" s="3" t="s">
        <v>404</v>
      </c>
      <c r="L134" s="28">
        <v>40162</v>
      </c>
      <c r="M134" s="92">
        <v>40165</v>
      </c>
      <c r="N134" s="80">
        <f t="shared" si="2"/>
        <v>39707</v>
      </c>
      <c r="O134" s="80"/>
      <c r="Q134" s="211"/>
      <c r="R134" s="80"/>
      <c r="S134" s="80"/>
      <c r="T134" s="80"/>
      <c r="U134" s="33">
        <v>9094452</v>
      </c>
      <c r="V134" s="80">
        <v>39973</v>
      </c>
      <c r="X134" s="4">
        <v>9094241</v>
      </c>
      <c r="Y134" s="2">
        <v>39675</v>
      </c>
      <c r="AA134" s="33">
        <v>9094452</v>
      </c>
      <c r="AB134" s="3" t="s">
        <v>404</v>
      </c>
      <c r="AC134" s="28">
        <v>40154</v>
      </c>
    </row>
    <row r="135" spans="1:29" x14ac:dyDescent="0.4">
      <c r="A135" s="24" t="s">
        <v>411</v>
      </c>
      <c r="B135" s="24">
        <v>39675</v>
      </c>
      <c r="C135" s="24">
        <v>39666</v>
      </c>
      <c r="D135" s="22" t="s">
        <v>566</v>
      </c>
      <c r="E135" s="22">
        <v>9094073</v>
      </c>
      <c r="F135" s="22">
        <v>1210</v>
      </c>
      <c r="G135" s="22" t="s">
        <v>983</v>
      </c>
      <c r="H135" s="55" t="s">
        <v>984</v>
      </c>
      <c r="I135" s="3" t="s">
        <v>404</v>
      </c>
      <c r="J135" s="28">
        <v>39688</v>
      </c>
      <c r="K135" s="3" t="s">
        <v>404</v>
      </c>
      <c r="L135" s="28">
        <v>39766</v>
      </c>
      <c r="M135" s="28">
        <v>39773</v>
      </c>
      <c r="N135" s="80">
        <f t="shared" si="2"/>
        <v>39666</v>
      </c>
      <c r="O135" s="80"/>
      <c r="Q135" s="211"/>
      <c r="R135" s="80"/>
      <c r="S135" s="80"/>
      <c r="T135" s="80"/>
      <c r="U135" s="22">
        <v>9094073</v>
      </c>
      <c r="V135" s="80">
        <v>39741</v>
      </c>
      <c r="X135" s="4">
        <v>9094100</v>
      </c>
      <c r="Y135" s="2">
        <v>39665</v>
      </c>
      <c r="AA135" s="22">
        <v>9094073</v>
      </c>
      <c r="AB135" s="3" t="s">
        <v>404</v>
      </c>
      <c r="AC135" s="28">
        <v>39688</v>
      </c>
    </row>
    <row r="136" spans="1:29" x14ac:dyDescent="0.4">
      <c r="A136" s="24" t="s">
        <v>411</v>
      </c>
      <c r="B136" s="24">
        <v>39736</v>
      </c>
      <c r="C136" s="24">
        <v>39666</v>
      </c>
      <c r="D136" s="22" t="s">
        <v>566</v>
      </c>
      <c r="E136" s="22">
        <v>9094121</v>
      </c>
      <c r="F136" s="22">
        <v>1210</v>
      </c>
      <c r="G136" s="22">
        <v>3</v>
      </c>
      <c r="H136" s="55" t="s">
        <v>984</v>
      </c>
      <c r="I136" s="3" t="s">
        <v>404</v>
      </c>
      <c r="J136" s="28">
        <v>40130</v>
      </c>
      <c r="K136" s="3" t="s">
        <v>404</v>
      </c>
      <c r="L136" s="28">
        <v>40135</v>
      </c>
      <c r="M136" s="92">
        <v>40135</v>
      </c>
      <c r="N136" s="80">
        <f t="shared" si="2"/>
        <v>39666</v>
      </c>
      <c r="O136" s="80"/>
      <c r="Q136" s="211"/>
      <c r="R136" s="80"/>
      <c r="S136" s="80"/>
      <c r="T136" s="80"/>
      <c r="U136" s="22">
        <v>9094121</v>
      </c>
      <c r="V136" s="80">
        <v>39835</v>
      </c>
      <c r="X136" s="4">
        <v>9094152</v>
      </c>
      <c r="Y136" s="2">
        <v>39703</v>
      </c>
      <c r="AA136" s="22">
        <v>9094121</v>
      </c>
      <c r="AB136" s="3" t="s">
        <v>404</v>
      </c>
      <c r="AC136" s="28">
        <v>40130</v>
      </c>
    </row>
    <row r="137" spans="1:29" x14ac:dyDescent="0.4">
      <c r="A137" s="24" t="s">
        <v>411</v>
      </c>
      <c r="B137" s="24">
        <v>39797</v>
      </c>
      <c r="C137" s="24">
        <v>39666</v>
      </c>
      <c r="D137" s="22" t="s">
        <v>566</v>
      </c>
      <c r="E137" s="22">
        <v>9094122</v>
      </c>
      <c r="F137" s="22">
        <v>1010</v>
      </c>
      <c r="G137" s="22">
        <v>4</v>
      </c>
      <c r="H137" s="55" t="s">
        <v>984</v>
      </c>
      <c r="I137" s="3" t="s">
        <v>406</v>
      </c>
      <c r="J137" s="28"/>
      <c r="K137" s="3" t="s">
        <v>406</v>
      </c>
      <c r="L137" s="28"/>
      <c r="M137" s="92">
        <v>40231</v>
      </c>
      <c r="N137" s="80">
        <f t="shared" si="2"/>
        <v>39666</v>
      </c>
      <c r="O137" s="80"/>
      <c r="Q137" s="211"/>
      <c r="R137" s="80"/>
      <c r="S137" s="80"/>
      <c r="T137" s="80"/>
      <c r="U137" s="22">
        <v>9094122</v>
      </c>
      <c r="V137" s="80">
        <v>39836</v>
      </c>
      <c r="X137" s="4">
        <v>9094071</v>
      </c>
      <c r="Y137" s="2">
        <v>39672</v>
      </c>
      <c r="AA137" s="22">
        <v>9094122</v>
      </c>
      <c r="AB137" s="3" t="s">
        <v>404</v>
      </c>
      <c r="AC137" s="28">
        <v>40626</v>
      </c>
    </row>
    <row r="138" spans="1:29" x14ac:dyDescent="0.4">
      <c r="A138" s="24" t="s">
        <v>411</v>
      </c>
      <c r="B138" s="24">
        <v>39675</v>
      </c>
      <c r="C138" s="24">
        <v>39666</v>
      </c>
      <c r="D138" s="22" t="s">
        <v>566</v>
      </c>
      <c r="E138" s="22">
        <v>9094074</v>
      </c>
      <c r="F138" s="22">
        <v>1010</v>
      </c>
      <c r="G138" s="22" t="s">
        <v>985</v>
      </c>
      <c r="H138" s="55" t="s">
        <v>984</v>
      </c>
      <c r="I138" s="3" t="s">
        <v>404</v>
      </c>
      <c r="J138" s="28">
        <v>39680</v>
      </c>
      <c r="K138" s="3" t="s">
        <v>404</v>
      </c>
      <c r="L138" s="28">
        <v>39766</v>
      </c>
      <c r="M138" s="28">
        <v>39773</v>
      </c>
      <c r="N138" s="80">
        <f t="shared" si="2"/>
        <v>39666</v>
      </c>
      <c r="O138" s="80"/>
      <c r="Q138" s="211"/>
      <c r="R138" s="80"/>
      <c r="S138" s="80"/>
      <c r="T138" s="80"/>
      <c r="U138" s="22">
        <v>9094074</v>
      </c>
      <c r="V138" s="80">
        <v>39746</v>
      </c>
      <c r="X138" s="4">
        <v>9094171</v>
      </c>
      <c r="Y138" s="2">
        <v>39672</v>
      </c>
      <c r="AA138" s="22">
        <v>9094074</v>
      </c>
      <c r="AB138" s="3" t="s">
        <v>404</v>
      </c>
      <c r="AC138" s="28">
        <v>39680</v>
      </c>
    </row>
    <row r="139" spans="1:29" x14ac:dyDescent="0.4">
      <c r="A139" s="24" t="s">
        <v>411</v>
      </c>
      <c r="B139" s="24">
        <v>39828</v>
      </c>
      <c r="C139" s="24">
        <v>39666</v>
      </c>
      <c r="D139" s="22" t="s">
        <v>566</v>
      </c>
      <c r="E139" s="22">
        <v>9094264</v>
      </c>
      <c r="F139" s="22">
        <v>1010</v>
      </c>
      <c r="G139" s="22">
        <v>5</v>
      </c>
      <c r="H139" s="55" t="s">
        <v>984</v>
      </c>
      <c r="I139" s="3" t="s">
        <v>406</v>
      </c>
      <c r="J139" s="28"/>
      <c r="K139" s="3" t="s">
        <v>406</v>
      </c>
      <c r="L139" s="28"/>
      <c r="M139" s="28">
        <v>40242</v>
      </c>
      <c r="N139" s="80">
        <f t="shared" si="2"/>
        <v>39666</v>
      </c>
      <c r="O139" s="80"/>
      <c r="Q139" s="211"/>
      <c r="R139" s="80"/>
      <c r="S139" s="80"/>
      <c r="T139" s="80"/>
      <c r="U139" s="22">
        <v>9094264</v>
      </c>
      <c r="V139" s="80">
        <v>39954</v>
      </c>
      <c r="X139" s="4">
        <v>9094211</v>
      </c>
      <c r="Y139" s="2">
        <v>39672</v>
      </c>
      <c r="AA139" s="22">
        <v>9094264</v>
      </c>
      <c r="AB139" s="3" t="s">
        <v>404</v>
      </c>
      <c r="AC139" s="28">
        <v>40417</v>
      </c>
    </row>
    <row r="140" spans="1:29" x14ac:dyDescent="0.4">
      <c r="A140" s="24" t="s">
        <v>411</v>
      </c>
      <c r="B140" s="24">
        <v>39859</v>
      </c>
      <c r="C140" s="24">
        <v>39666</v>
      </c>
      <c r="D140" s="22" t="s">
        <v>566</v>
      </c>
      <c r="E140" s="22">
        <v>9094265</v>
      </c>
      <c r="F140" s="22">
        <v>1010</v>
      </c>
      <c r="G140" s="22">
        <v>6</v>
      </c>
      <c r="H140" s="55" t="s">
        <v>984</v>
      </c>
      <c r="I140" s="3" t="s">
        <v>404</v>
      </c>
      <c r="J140" s="28">
        <v>40330</v>
      </c>
      <c r="K140" s="3" t="s">
        <v>404</v>
      </c>
      <c r="L140" s="28">
        <v>40330</v>
      </c>
      <c r="M140" s="28">
        <v>40287</v>
      </c>
      <c r="N140" s="80">
        <f t="shared" si="2"/>
        <v>39666</v>
      </c>
      <c r="O140" s="80"/>
      <c r="Q140" s="211"/>
      <c r="R140" s="80"/>
      <c r="S140" s="80"/>
      <c r="T140" s="80"/>
      <c r="U140" s="22">
        <v>9094265</v>
      </c>
      <c r="V140" s="80">
        <v>39955</v>
      </c>
      <c r="X140" s="4">
        <v>9094214</v>
      </c>
      <c r="Y140" s="2">
        <v>39672</v>
      </c>
      <c r="AA140" s="22">
        <v>9094265</v>
      </c>
      <c r="AB140" s="3" t="s">
        <v>404</v>
      </c>
      <c r="AC140" s="28">
        <v>40330</v>
      </c>
    </row>
    <row r="141" spans="1:29" x14ac:dyDescent="0.4">
      <c r="A141" s="24" t="s">
        <v>411</v>
      </c>
      <c r="B141" s="24">
        <v>39706</v>
      </c>
      <c r="C141" s="24">
        <v>39675</v>
      </c>
      <c r="D141" s="22" t="s">
        <v>572</v>
      </c>
      <c r="E141" s="22">
        <v>9094079</v>
      </c>
      <c r="F141" s="22">
        <v>1010</v>
      </c>
      <c r="G141" s="22" t="s">
        <v>986</v>
      </c>
      <c r="H141" s="55" t="s">
        <v>995</v>
      </c>
      <c r="I141" s="3" t="s">
        <v>404</v>
      </c>
      <c r="J141" s="28">
        <v>40322</v>
      </c>
      <c r="K141" s="3" t="s">
        <v>404</v>
      </c>
      <c r="L141" s="28">
        <v>40322</v>
      </c>
      <c r="M141" s="28">
        <v>39888</v>
      </c>
      <c r="N141" s="80">
        <f t="shared" si="2"/>
        <v>39675</v>
      </c>
      <c r="O141" s="80"/>
      <c r="Q141" s="211"/>
      <c r="R141" s="80"/>
      <c r="S141" s="80"/>
      <c r="T141" s="80"/>
      <c r="U141" s="22">
        <v>9094079</v>
      </c>
      <c r="V141" s="80">
        <v>39878</v>
      </c>
      <c r="X141" s="4">
        <v>9094141</v>
      </c>
      <c r="Y141" s="2">
        <v>39668</v>
      </c>
      <c r="AA141" s="22">
        <v>9094079</v>
      </c>
      <c r="AB141" s="3" t="s">
        <v>404</v>
      </c>
      <c r="AC141" s="28">
        <v>40322</v>
      </c>
    </row>
    <row r="142" spans="1:29" x14ac:dyDescent="0.4">
      <c r="A142" s="24" t="s">
        <v>411</v>
      </c>
      <c r="B142" s="24">
        <v>39722</v>
      </c>
      <c r="C142" s="24">
        <v>39673</v>
      </c>
      <c r="D142" s="22" t="s">
        <v>572</v>
      </c>
      <c r="E142" s="22">
        <v>9094080</v>
      </c>
      <c r="F142" s="22">
        <v>715</v>
      </c>
      <c r="G142" s="22" t="s">
        <v>996</v>
      </c>
      <c r="H142" s="55" t="s">
        <v>997</v>
      </c>
      <c r="I142" s="3" t="s">
        <v>404</v>
      </c>
      <c r="J142" s="28">
        <v>39934</v>
      </c>
      <c r="K142" s="3" t="s">
        <v>404</v>
      </c>
      <c r="L142" s="28">
        <v>39934</v>
      </c>
      <c r="M142" s="28">
        <v>39867</v>
      </c>
      <c r="N142" s="80">
        <f t="shared" si="2"/>
        <v>39673</v>
      </c>
      <c r="O142" s="80"/>
      <c r="Q142" s="211"/>
      <c r="R142" s="80"/>
      <c r="S142" s="80"/>
      <c r="T142" s="80"/>
      <c r="U142" s="22">
        <v>9094080</v>
      </c>
      <c r="V142" s="80">
        <v>39737</v>
      </c>
      <c r="X142" s="4">
        <v>9094156</v>
      </c>
      <c r="Y142" s="2">
        <v>39675</v>
      </c>
      <c r="AA142" s="22">
        <v>9094080</v>
      </c>
      <c r="AB142" s="3" t="s">
        <v>404</v>
      </c>
      <c r="AC142" s="28">
        <v>39934</v>
      </c>
    </row>
    <row r="143" spans="1:29" x14ac:dyDescent="0.4">
      <c r="A143" s="24" t="s">
        <v>411</v>
      </c>
      <c r="B143" s="24">
        <v>39859</v>
      </c>
      <c r="C143" s="24">
        <v>39673</v>
      </c>
      <c r="D143" s="22" t="s">
        <v>572</v>
      </c>
      <c r="E143" s="22">
        <v>9094281</v>
      </c>
      <c r="F143" s="22">
        <v>715</v>
      </c>
      <c r="G143" s="22" t="s">
        <v>998</v>
      </c>
      <c r="H143" s="55" t="s">
        <v>997</v>
      </c>
      <c r="I143" s="3" t="s">
        <v>406</v>
      </c>
      <c r="J143" s="28"/>
      <c r="K143" s="3" t="s">
        <v>406</v>
      </c>
      <c r="L143" s="28"/>
      <c r="M143" s="28">
        <v>39867</v>
      </c>
      <c r="N143" s="80">
        <f t="shared" si="2"/>
        <v>39673</v>
      </c>
      <c r="O143" s="80"/>
      <c r="Q143" s="211"/>
      <c r="R143" s="80"/>
      <c r="S143" s="80"/>
      <c r="T143" s="80"/>
      <c r="U143" s="22">
        <v>9094281</v>
      </c>
      <c r="V143" s="80">
        <v>39746</v>
      </c>
      <c r="X143" s="4">
        <v>9094049</v>
      </c>
      <c r="Y143" s="2">
        <v>39674</v>
      </c>
      <c r="AA143" s="22">
        <v>9094281</v>
      </c>
      <c r="AB143" s="3" t="s">
        <v>404</v>
      </c>
      <c r="AC143" s="28">
        <v>40913</v>
      </c>
    </row>
    <row r="144" spans="1:29" x14ac:dyDescent="0.4">
      <c r="A144" s="24" t="s">
        <v>411</v>
      </c>
      <c r="B144" s="24">
        <v>39736</v>
      </c>
      <c r="C144" s="24">
        <v>39675</v>
      </c>
      <c r="D144" s="22" t="s">
        <v>572</v>
      </c>
      <c r="E144" s="22">
        <v>9094197</v>
      </c>
      <c r="F144" s="22">
        <v>1010</v>
      </c>
      <c r="G144" s="22" t="s">
        <v>999</v>
      </c>
      <c r="H144" s="55" t="s">
        <v>995</v>
      </c>
      <c r="I144" s="3" t="s">
        <v>406</v>
      </c>
      <c r="J144" s="28"/>
      <c r="K144" s="3" t="s">
        <v>406</v>
      </c>
      <c r="L144" s="28"/>
      <c r="M144" s="28">
        <v>40163</v>
      </c>
      <c r="N144" s="80">
        <f t="shared" si="2"/>
        <v>39675</v>
      </c>
      <c r="O144" s="80"/>
      <c r="Q144" s="211"/>
      <c r="R144" s="80"/>
      <c r="S144" s="80"/>
      <c r="T144" s="80"/>
      <c r="U144" s="22">
        <v>9094197</v>
      </c>
      <c r="V144" s="80">
        <v>39962</v>
      </c>
      <c r="X144" s="4">
        <v>9094215</v>
      </c>
      <c r="Y144" s="2">
        <v>39672</v>
      </c>
      <c r="AA144" s="22">
        <v>9094197</v>
      </c>
      <c r="AB144" s="3" t="s">
        <v>404</v>
      </c>
      <c r="AC144" s="28">
        <v>40543</v>
      </c>
    </row>
    <row r="145" spans="1:29" x14ac:dyDescent="0.4">
      <c r="A145" s="24" t="s">
        <v>411</v>
      </c>
      <c r="B145" s="24">
        <v>39828</v>
      </c>
      <c r="C145" s="24">
        <v>39675</v>
      </c>
      <c r="D145" s="22" t="s">
        <v>572</v>
      </c>
      <c r="E145" s="22">
        <v>9094280</v>
      </c>
      <c r="F145" s="22">
        <v>1010</v>
      </c>
      <c r="G145" s="22" t="s">
        <v>1000</v>
      </c>
      <c r="H145" s="55" t="s">
        <v>3023</v>
      </c>
      <c r="I145" s="3" t="s">
        <v>404</v>
      </c>
      <c r="J145" s="28">
        <v>40268</v>
      </c>
      <c r="K145" s="3" t="s">
        <v>404</v>
      </c>
      <c r="L145" s="28">
        <v>40273</v>
      </c>
      <c r="M145" s="28">
        <v>39888</v>
      </c>
      <c r="N145" s="80">
        <f t="shared" si="2"/>
        <v>39675</v>
      </c>
      <c r="O145" s="80"/>
      <c r="Q145" s="211"/>
      <c r="R145" s="80"/>
      <c r="S145" s="80"/>
      <c r="T145" s="80"/>
      <c r="U145" s="22">
        <v>9094280</v>
      </c>
      <c r="V145" s="80">
        <v>39877</v>
      </c>
      <c r="X145" s="4">
        <v>9094200</v>
      </c>
      <c r="Y145" s="2">
        <v>39668</v>
      </c>
      <c r="AA145" s="22">
        <v>9094280</v>
      </c>
      <c r="AB145" s="3" t="s">
        <v>404</v>
      </c>
      <c r="AC145" s="28">
        <v>40268</v>
      </c>
    </row>
    <row r="146" spans="1:29" x14ac:dyDescent="0.4">
      <c r="A146" s="24" t="s">
        <v>411</v>
      </c>
      <c r="B146" s="24">
        <v>39859</v>
      </c>
      <c r="C146" s="24">
        <v>39668</v>
      </c>
      <c r="D146" s="22" t="s">
        <v>573</v>
      </c>
      <c r="E146" s="22">
        <v>9094286</v>
      </c>
      <c r="F146" s="22">
        <v>1010</v>
      </c>
      <c r="G146" s="22" t="s">
        <v>1001</v>
      </c>
      <c r="H146" s="55" t="s">
        <v>604</v>
      </c>
      <c r="I146" s="3" t="s">
        <v>404</v>
      </c>
      <c r="J146" s="28">
        <v>39703</v>
      </c>
      <c r="K146" s="3" t="s">
        <v>404</v>
      </c>
      <c r="L146" s="28">
        <v>39887</v>
      </c>
      <c r="M146" s="92">
        <v>39703</v>
      </c>
      <c r="N146" s="80">
        <f t="shared" si="2"/>
        <v>39668</v>
      </c>
      <c r="O146" s="80"/>
      <c r="Q146" s="211"/>
      <c r="R146" s="80"/>
      <c r="S146" s="80"/>
      <c r="T146" s="80"/>
      <c r="U146" s="22">
        <v>9094286</v>
      </c>
      <c r="V146" s="80">
        <v>39728</v>
      </c>
      <c r="X146" s="4">
        <v>9094157</v>
      </c>
      <c r="Y146" s="2">
        <v>39675</v>
      </c>
      <c r="AA146" s="22">
        <v>9094286</v>
      </c>
      <c r="AB146" s="3" t="s">
        <v>404</v>
      </c>
      <c r="AC146" s="28">
        <v>39703</v>
      </c>
    </row>
    <row r="147" spans="1:29" x14ac:dyDescent="0.4">
      <c r="A147" s="24" t="s">
        <v>411</v>
      </c>
      <c r="B147" s="24">
        <v>39736</v>
      </c>
      <c r="C147" s="24">
        <v>39668</v>
      </c>
      <c r="D147" s="22" t="s">
        <v>573</v>
      </c>
      <c r="E147" s="22">
        <v>9094130</v>
      </c>
      <c r="F147" s="22">
        <v>1010</v>
      </c>
      <c r="G147" s="22">
        <v>4</v>
      </c>
      <c r="H147" s="55" t="s">
        <v>604</v>
      </c>
      <c r="I147" s="3" t="s">
        <v>404</v>
      </c>
      <c r="J147" s="92">
        <v>39766</v>
      </c>
      <c r="K147" s="3" t="s">
        <v>404</v>
      </c>
      <c r="L147" s="28">
        <v>39887</v>
      </c>
      <c r="M147" s="92">
        <v>39818</v>
      </c>
      <c r="N147" s="80">
        <f t="shared" si="2"/>
        <v>39668</v>
      </c>
      <c r="O147" s="80"/>
      <c r="Q147" s="211"/>
      <c r="R147" s="80"/>
      <c r="S147" s="80"/>
      <c r="T147" s="80"/>
      <c r="U147" s="22">
        <v>9094130</v>
      </c>
      <c r="V147" s="80">
        <v>39730</v>
      </c>
      <c r="X147" s="4">
        <v>9094256</v>
      </c>
      <c r="Y147" s="2">
        <v>39675</v>
      </c>
      <c r="AA147" s="22">
        <v>9094130</v>
      </c>
      <c r="AB147" s="3" t="s">
        <v>404</v>
      </c>
      <c r="AC147" s="9">
        <v>39766</v>
      </c>
    </row>
    <row r="148" spans="1:29" x14ac:dyDescent="0.4">
      <c r="A148" s="24" t="s">
        <v>411</v>
      </c>
      <c r="B148" s="24">
        <v>39706</v>
      </c>
      <c r="C148" s="24">
        <v>39668</v>
      </c>
      <c r="D148" s="22" t="s">
        <v>573</v>
      </c>
      <c r="E148" s="22">
        <v>9094082</v>
      </c>
      <c r="F148" s="22">
        <v>1010</v>
      </c>
      <c r="G148" s="22" t="s">
        <v>1002</v>
      </c>
      <c r="H148" s="55" t="s">
        <v>604</v>
      </c>
      <c r="I148" s="3" t="s">
        <v>404</v>
      </c>
      <c r="J148" s="28">
        <v>39692</v>
      </c>
      <c r="K148" s="3" t="s">
        <v>404</v>
      </c>
      <c r="L148" s="28">
        <v>39887</v>
      </c>
      <c r="M148" s="28">
        <v>39703</v>
      </c>
      <c r="N148" s="80">
        <f t="shared" si="2"/>
        <v>39668</v>
      </c>
      <c r="O148" s="80"/>
      <c r="Q148" s="211"/>
      <c r="R148" s="80"/>
      <c r="S148" s="80"/>
      <c r="T148" s="80"/>
      <c r="U148" s="22">
        <v>9094082</v>
      </c>
      <c r="V148" s="80">
        <v>39770</v>
      </c>
      <c r="X148" s="4">
        <v>9094258</v>
      </c>
      <c r="Y148" s="2">
        <v>39675</v>
      </c>
      <c r="AA148" s="22">
        <v>9094082</v>
      </c>
      <c r="AB148" s="3" t="s">
        <v>404</v>
      </c>
      <c r="AC148" s="28">
        <v>39692</v>
      </c>
    </row>
    <row r="149" spans="1:29" x14ac:dyDescent="0.4">
      <c r="A149" s="24" t="s">
        <v>411</v>
      </c>
      <c r="B149" s="24">
        <v>39797</v>
      </c>
      <c r="C149" s="24">
        <v>39668</v>
      </c>
      <c r="D149" s="22" t="s">
        <v>573</v>
      </c>
      <c r="E149" s="22">
        <v>9094283</v>
      </c>
      <c r="F149" s="22">
        <v>1010</v>
      </c>
      <c r="G149" s="22">
        <v>6</v>
      </c>
      <c r="H149" s="55" t="s">
        <v>604</v>
      </c>
      <c r="I149" s="3" t="s">
        <v>404</v>
      </c>
      <c r="J149" s="28">
        <v>40039</v>
      </c>
      <c r="K149" s="3" t="s">
        <v>404</v>
      </c>
      <c r="L149" s="28">
        <v>40053</v>
      </c>
      <c r="M149" s="92">
        <v>40046</v>
      </c>
      <c r="N149" s="80">
        <f t="shared" si="2"/>
        <v>39668</v>
      </c>
      <c r="O149" s="80"/>
      <c r="Q149" s="211"/>
      <c r="R149" s="80"/>
      <c r="S149" s="80"/>
      <c r="T149" s="80"/>
      <c r="U149" s="22">
        <v>9094283</v>
      </c>
      <c r="V149" s="80">
        <v>39953</v>
      </c>
      <c r="X149" s="4">
        <v>9094140</v>
      </c>
      <c r="Y149" s="2">
        <v>39675</v>
      </c>
      <c r="AA149" s="22">
        <v>9094283</v>
      </c>
      <c r="AB149" s="3" t="s">
        <v>404</v>
      </c>
      <c r="AC149" s="28">
        <v>40039</v>
      </c>
    </row>
    <row r="150" spans="1:29" x14ac:dyDescent="0.4">
      <c r="A150" s="24" t="s">
        <v>411</v>
      </c>
      <c r="B150" s="24">
        <v>39736</v>
      </c>
      <c r="C150" s="24">
        <v>39668</v>
      </c>
      <c r="D150" s="22" t="s">
        <v>573</v>
      </c>
      <c r="E150" s="22">
        <v>9094282</v>
      </c>
      <c r="F150" s="22">
        <v>1010</v>
      </c>
      <c r="G150" s="22">
        <v>5</v>
      </c>
      <c r="H150" s="55" t="s">
        <v>1003</v>
      </c>
      <c r="I150" s="3" t="s">
        <v>404</v>
      </c>
      <c r="J150" s="28">
        <v>40039</v>
      </c>
      <c r="K150" s="3" t="s">
        <v>404</v>
      </c>
      <c r="L150" s="28">
        <v>40053</v>
      </c>
      <c r="M150" s="92">
        <v>40058</v>
      </c>
      <c r="N150" s="80">
        <f t="shared" si="2"/>
        <v>39668</v>
      </c>
      <c r="O150" s="80"/>
      <c r="Q150" s="211"/>
      <c r="R150" s="80"/>
      <c r="S150" s="80"/>
      <c r="T150" s="80"/>
      <c r="U150" s="22">
        <v>9094282</v>
      </c>
      <c r="V150" s="80">
        <v>39862</v>
      </c>
      <c r="X150" s="4">
        <v>9094072</v>
      </c>
      <c r="Y150" s="2">
        <v>39672</v>
      </c>
      <c r="AA150" s="22">
        <v>9094282</v>
      </c>
      <c r="AB150" s="3" t="s">
        <v>404</v>
      </c>
      <c r="AC150" s="28">
        <v>40039</v>
      </c>
    </row>
    <row r="151" spans="1:29" x14ac:dyDescent="0.4">
      <c r="A151" s="24" t="s">
        <v>411</v>
      </c>
      <c r="B151" s="24">
        <v>39736</v>
      </c>
      <c r="C151" s="24">
        <v>39668</v>
      </c>
      <c r="D151" s="22" t="s">
        <v>573</v>
      </c>
      <c r="E151" s="22">
        <v>9094129</v>
      </c>
      <c r="F151" s="22">
        <v>1210</v>
      </c>
      <c r="G151" s="22">
        <v>3</v>
      </c>
      <c r="H151" s="55" t="s">
        <v>604</v>
      </c>
      <c r="I151" s="3" t="s">
        <v>404</v>
      </c>
      <c r="J151" s="28">
        <v>39795</v>
      </c>
      <c r="K151" s="3" t="s">
        <v>404</v>
      </c>
      <c r="L151" s="28">
        <v>39887</v>
      </c>
      <c r="M151" s="92">
        <v>39794</v>
      </c>
      <c r="N151" s="80">
        <f t="shared" si="2"/>
        <v>39668</v>
      </c>
      <c r="O151" s="80"/>
      <c r="Q151" s="211"/>
      <c r="R151" s="80"/>
      <c r="S151" s="80"/>
      <c r="T151" s="80"/>
      <c r="U151" s="22">
        <v>9094129</v>
      </c>
      <c r="V151" s="80">
        <v>39863</v>
      </c>
      <c r="X151" s="4">
        <v>9094299</v>
      </c>
      <c r="Y151" s="2">
        <v>39665</v>
      </c>
      <c r="AA151" s="22">
        <v>9094129</v>
      </c>
      <c r="AB151" s="3" t="s">
        <v>404</v>
      </c>
      <c r="AC151" s="28">
        <v>39795</v>
      </c>
    </row>
    <row r="152" spans="1:29" x14ac:dyDescent="0.4">
      <c r="A152" s="24" t="s">
        <v>411</v>
      </c>
      <c r="B152" s="24">
        <v>39887</v>
      </c>
      <c r="C152" s="24">
        <v>39668</v>
      </c>
      <c r="D152" s="22" t="s">
        <v>573</v>
      </c>
      <c r="E152" s="22">
        <v>9094288</v>
      </c>
      <c r="F152" s="22">
        <v>1210</v>
      </c>
      <c r="G152" s="22">
        <v>11</v>
      </c>
      <c r="H152" s="55" t="s">
        <v>604</v>
      </c>
      <c r="I152" s="3" t="s">
        <v>404</v>
      </c>
      <c r="J152" s="28">
        <v>40199</v>
      </c>
      <c r="K152" s="3" t="s">
        <v>404</v>
      </c>
      <c r="L152" s="28">
        <v>40229</v>
      </c>
      <c r="M152" s="28">
        <v>40245</v>
      </c>
      <c r="N152" s="80">
        <f t="shared" si="2"/>
        <v>39668</v>
      </c>
      <c r="O152" s="80"/>
      <c r="Q152" s="211"/>
      <c r="R152" s="80"/>
      <c r="S152" s="80"/>
      <c r="T152" s="80"/>
      <c r="U152" s="22">
        <v>9094288</v>
      </c>
      <c r="V152" s="80">
        <v>39864</v>
      </c>
      <c r="X152" s="4">
        <v>9094048</v>
      </c>
      <c r="Y152" s="2">
        <v>39674</v>
      </c>
      <c r="AA152" s="22">
        <v>9094288</v>
      </c>
      <c r="AB152" s="3" t="s">
        <v>404</v>
      </c>
      <c r="AC152" s="28">
        <v>40199</v>
      </c>
    </row>
    <row r="153" spans="1:29" x14ac:dyDescent="0.4">
      <c r="A153" s="24" t="s">
        <v>411</v>
      </c>
      <c r="B153" s="24">
        <v>39859</v>
      </c>
      <c r="C153" s="24">
        <v>39668</v>
      </c>
      <c r="D153" s="22" t="s">
        <v>573</v>
      </c>
      <c r="E153" s="22">
        <v>9094285</v>
      </c>
      <c r="F153" s="22">
        <v>1210</v>
      </c>
      <c r="G153" s="22">
        <v>8</v>
      </c>
      <c r="H153" s="55" t="s">
        <v>1003</v>
      </c>
      <c r="I153" s="3" t="s">
        <v>404</v>
      </c>
      <c r="J153" s="28">
        <v>40046</v>
      </c>
      <c r="K153" s="3" t="s">
        <v>404</v>
      </c>
      <c r="L153" s="28">
        <v>40067</v>
      </c>
      <c r="M153" s="92">
        <v>40067</v>
      </c>
      <c r="N153" s="80">
        <f t="shared" si="2"/>
        <v>39668</v>
      </c>
      <c r="O153" s="80"/>
      <c r="Q153" s="211"/>
      <c r="R153" s="80"/>
      <c r="S153" s="80"/>
      <c r="T153" s="80"/>
      <c r="U153" s="22">
        <v>9094285</v>
      </c>
      <c r="V153" s="80">
        <v>39867</v>
      </c>
      <c r="X153" s="4">
        <v>9094150</v>
      </c>
      <c r="Y153" s="2">
        <v>39675</v>
      </c>
      <c r="AA153" s="22">
        <v>9094285</v>
      </c>
      <c r="AB153" s="3" t="s">
        <v>404</v>
      </c>
      <c r="AC153" s="28">
        <v>40046</v>
      </c>
    </row>
    <row r="154" spans="1:29" x14ac:dyDescent="0.4">
      <c r="A154" s="24" t="s">
        <v>411</v>
      </c>
      <c r="B154" s="24">
        <v>39706</v>
      </c>
      <c r="C154" s="24">
        <v>39668</v>
      </c>
      <c r="D154" s="22" t="s">
        <v>573</v>
      </c>
      <c r="E154" s="22">
        <v>9094081</v>
      </c>
      <c r="F154" s="22">
        <v>1210</v>
      </c>
      <c r="G154" s="22" t="s">
        <v>1004</v>
      </c>
      <c r="H154" s="55" t="s">
        <v>604</v>
      </c>
      <c r="I154" s="3" t="s">
        <v>404</v>
      </c>
      <c r="J154" s="28">
        <v>39692</v>
      </c>
      <c r="K154" s="3" t="s">
        <v>404</v>
      </c>
      <c r="L154" s="28">
        <v>39887</v>
      </c>
      <c r="M154" s="28">
        <v>39703</v>
      </c>
      <c r="N154" s="80">
        <f t="shared" si="2"/>
        <v>39668</v>
      </c>
      <c r="O154" s="80"/>
      <c r="Q154" s="211"/>
      <c r="R154" s="80"/>
      <c r="S154" s="80"/>
      <c r="T154" s="80"/>
      <c r="U154" s="22">
        <v>9094081</v>
      </c>
      <c r="V154" s="80">
        <v>39746</v>
      </c>
      <c r="X154" s="4">
        <v>9094151</v>
      </c>
      <c r="Y154" s="2">
        <v>39675</v>
      </c>
      <c r="AA154" s="22">
        <v>9094081</v>
      </c>
      <c r="AB154" s="3" t="s">
        <v>404</v>
      </c>
      <c r="AC154" s="28">
        <v>39692</v>
      </c>
    </row>
    <row r="155" spans="1:29" x14ac:dyDescent="0.4">
      <c r="A155" s="24" t="s">
        <v>411</v>
      </c>
      <c r="B155" s="24">
        <v>39797</v>
      </c>
      <c r="C155" s="24">
        <v>39668</v>
      </c>
      <c r="D155" s="22" t="s">
        <v>573</v>
      </c>
      <c r="E155" s="22">
        <v>9094284</v>
      </c>
      <c r="F155" s="22">
        <v>715</v>
      </c>
      <c r="G155" s="22">
        <v>7</v>
      </c>
      <c r="H155" s="55" t="s">
        <v>604</v>
      </c>
      <c r="I155" s="3" t="s">
        <v>404</v>
      </c>
      <c r="J155" s="28">
        <v>40088</v>
      </c>
      <c r="K155" s="3" t="s">
        <v>404</v>
      </c>
      <c r="L155" s="28">
        <v>40093</v>
      </c>
      <c r="M155" s="92">
        <v>40093</v>
      </c>
      <c r="N155" s="80">
        <f t="shared" si="2"/>
        <v>39668</v>
      </c>
      <c r="O155" s="80"/>
      <c r="Q155" s="211"/>
      <c r="R155" s="80"/>
      <c r="S155" s="80"/>
      <c r="T155" s="80"/>
      <c r="U155" s="22">
        <v>9094284</v>
      </c>
      <c r="V155" s="80">
        <v>39954</v>
      </c>
      <c r="X155" s="4">
        <v>9094305</v>
      </c>
      <c r="Y155" s="2">
        <v>39703</v>
      </c>
      <c r="AA155" s="22">
        <v>9094284</v>
      </c>
      <c r="AB155" s="3" t="s">
        <v>404</v>
      </c>
      <c r="AC155" s="28">
        <v>40088</v>
      </c>
    </row>
    <row r="156" spans="1:29" x14ac:dyDescent="0.4">
      <c r="A156" s="24" t="s">
        <v>411</v>
      </c>
      <c r="B156" s="24">
        <v>39736</v>
      </c>
      <c r="C156" s="24">
        <v>39665</v>
      </c>
      <c r="D156" s="22" t="s">
        <v>575</v>
      </c>
      <c r="E156" s="22">
        <v>9094192</v>
      </c>
      <c r="F156" s="22">
        <v>1010</v>
      </c>
      <c r="G156" s="22" t="s">
        <v>1005</v>
      </c>
      <c r="H156" s="55" t="s">
        <v>683</v>
      </c>
      <c r="I156" s="3" t="s">
        <v>404</v>
      </c>
      <c r="J156" s="28">
        <v>40091</v>
      </c>
      <c r="K156" s="3" t="s">
        <v>404</v>
      </c>
      <c r="L156" s="28">
        <v>40466</v>
      </c>
      <c r="M156" s="28">
        <v>40116</v>
      </c>
      <c r="N156" s="80">
        <f t="shared" si="2"/>
        <v>39665</v>
      </c>
      <c r="O156" s="80"/>
      <c r="Q156" s="211"/>
      <c r="R156" s="80"/>
      <c r="S156" s="80"/>
      <c r="T156" s="80"/>
      <c r="U156" s="22">
        <v>9094192</v>
      </c>
      <c r="V156" s="80">
        <v>39820</v>
      </c>
      <c r="X156" s="4">
        <v>9094306</v>
      </c>
      <c r="Y156" s="2">
        <v>39706</v>
      </c>
      <c r="AA156" s="22">
        <v>9094192</v>
      </c>
      <c r="AB156" s="3" t="s">
        <v>404</v>
      </c>
      <c r="AC156" s="28">
        <v>40091</v>
      </c>
    </row>
    <row r="157" spans="1:29" x14ac:dyDescent="0.4">
      <c r="A157" s="24" t="s">
        <v>411</v>
      </c>
      <c r="B157" s="24">
        <v>39736</v>
      </c>
      <c r="C157" s="24">
        <v>39665</v>
      </c>
      <c r="D157" s="22" t="s">
        <v>575</v>
      </c>
      <c r="E157" s="22">
        <v>9094193</v>
      </c>
      <c r="F157" s="22">
        <v>1010</v>
      </c>
      <c r="G157" s="22" t="s">
        <v>1006</v>
      </c>
      <c r="H157" s="55" t="s">
        <v>683</v>
      </c>
      <c r="I157" s="3" t="s">
        <v>404</v>
      </c>
      <c r="J157" s="28">
        <v>39939</v>
      </c>
      <c r="K157" s="3" t="s">
        <v>404</v>
      </c>
      <c r="L157" s="28">
        <v>39994</v>
      </c>
      <c r="M157" s="28">
        <v>39994</v>
      </c>
      <c r="N157" s="80">
        <f t="shared" si="2"/>
        <v>39665</v>
      </c>
      <c r="O157" s="80"/>
      <c r="Q157" s="211"/>
      <c r="R157" s="80"/>
      <c r="S157" s="80"/>
      <c r="T157" s="80"/>
      <c r="U157" s="22">
        <v>9094193</v>
      </c>
      <c r="V157" s="80">
        <v>39821</v>
      </c>
      <c r="X157" s="81">
        <v>9094120</v>
      </c>
      <c r="Y157" s="2">
        <v>39661</v>
      </c>
      <c r="AA157" s="22">
        <v>9094193</v>
      </c>
      <c r="AB157" s="3" t="s">
        <v>404</v>
      </c>
      <c r="AC157" s="28">
        <v>39939</v>
      </c>
    </row>
    <row r="158" spans="1:29" x14ac:dyDescent="0.4">
      <c r="A158" s="24" t="s">
        <v>411</v>
      </c>
      <c r="B158" s="24">
        <v>39736</v>
      </c>
      <c r="C158" s="24">
        <v>39665</v>
      </c>
      <c r="D158" s="22" t="s">
        <v>575</v>
      </c>
      <c r="E158" s="22">
        <v>9094212</v>
      </c>
      <c r="F158" s="22">
        <v>1010</v>
      </c>
      <c r="G158" s="22" t="s">
        <v>1007</v>
      </c>
      <c r="H158" s="55" t="s">
        <v>683</v>
      </c>
      <c r="I158" s="3" t="s">
        <v>404</v>
      </c>
      <c r="J158" s="28">
        <v>39856</v>
      </c>
      <c r="K158" s="3" t="s">
        <v>404</v>
      </c>
      <c r="L158" s="28">
        <v>39887</v>
      </c>
      <c r="M158" s="28">
        <v>39867</v>
      </c>
      <c r="N158" s="80">
        <f t="shared" si="2"/>
        <v>39665</v>
      </c>
      <c r="O158" s="80"/>
      <c r="Q158" s="211"/>
      <c r="R158" s="80"/>
      <c r="S158" s="80"/>
      <c r="T158" s="80"/>
      <c r="U158" s="22">
        <v>9094212</v>
      </c>
      <c r="V158" s="80">
        <v>39825</v>
      </c>
      <c r="X158" s="4">
        <v>9094415</v>
      </c>
      <c r="Y158" s="2">
        <v>39682</v>
      </c>
      <c r="AA158" s="22">
        <v>9094212</v>
      </c>
      <c r="AB158" s="3" t="s">
        <v>404</v>
      </c>
      <c r="AC158" s="28">
        <v>39856</v>
      </c>
    </row>
    <row r="159" spans="1:29" x14ac:dyDescent="0.4">
      <c r="A159" s="24" t="s">
        <v>411</v>
      </c>
      <c r="B159" s="24">
        <v>39797</v>
      </c>
      <c r="C159" s="24">
        <v>39665</v>
      </c>
      <c r="D159" s="22" t="s">
        <v>575</v>
      </c>
      <c r="E159" s="22">
        <v>9094213</v>
      </c>
      <c r="F159" s="22">
        <v>715</v>
      </c>
      <c r="G159" s="22" t="s">
        <v>1008</v>
      </c>
      <c r="H159" s="55" t="s">
        <v>1009</v>
      </c>
      <c r="I159" s="3" t="s">
        <v>404</v>
      </c>
      <c r="J159" s="28">
        <v>39764</v>
      </c>
      <c r="K159" s="3" t="s">
        <v>404</v>
      </c>
      <c r="L159" s="28">
        <v>39887</v>
      </c>
      <c r="M159" s="28">
        <v>39799</v>
      </c>
      <c r="N159" s="80">
        <f t="shared" si="2"/>
        <v>39665</v>
      </c>
      <c r="O159" s="80"/>
      <c r="Q159" s="211"/>
      <c r="R159" s="80"/>
      <c r="S159" s="80"/>
      <c r="T159" s="80"/>
      <c r="U159" s="22">
        <v>9094213</v>
      </c>
      <c r="V159" s="80">
        <v>39832</v>
      </c>
      <c r="X159" s="4">
        <v>9094269</v>
      </c>
      <c r="Y159" s="2">
        <v>39675</v>
      </c>
      <c r="AA159" s="22">
        <v>9094213</v>
      </c>
      <c r="AB159" s="3" t="s">
        <v>404</v>
      </c>
      <c r="AC159" s="28">
        <v>39764</v>
      </c>
    </row>
    <row r="160" spans="1:29" x14ac:dyDescent="0.4">
      <c r="A160" s="24" t="s">
        <v>411</v>
      </c>
      <c r="B160" s="24">
        <v>39797</v>
      </c>
      <c r="C160" s="24">
        <v>39665</v>
      </c>
      <c r="D160" s="22" t="s">
        <v>575</v>
      </c>
      <c r="E160" s="22">
        <v>9094296</v>
      </c>
      <c r="F160" s="22">
        <v>1010</v>
      </c>
      <c r="G160" s="22" t="s">
        <v>1010</v>
      </c>
      <c r="H160" s="55" t="s">
        <v>3024</v>
      </c>
      <c r="I160" s="3" t="s">
        <v>404</v>
      </c>
      <c r="J160" s="28">
        <v>40263</v>
      </c>
      <c r="K160" s="3" t="s">
        <v>404</v>
      </c>
      <c r="L160" s="28">
        <v>40283</v>
      </c>
      <c r="M160" s="92">
        <v>40277</v>
      </c>
      <c r="N160" s="80">
        <f t="shared" si="2"/>
        <v>39665</v>
      </c>
      <c r="O160" s="80"/>
      <c r="Q160" s="211"/>
      <c r="R160" s="80"/>
      <c r="S160" s="80"/>
      <c r="T160" s="80"/>
      <c r="U160" s="22">
        <v>9094296</v>
      </c>
      <c r="V160" s="80">
        <v>39933</v>
      </c>
      <c r="X160" s="4">
        <v>9094195</v>
      </c>
      <c r="Y160" s="2">
        <v>39675</v>
      </c>
      <c r="AA160" s="22">
        <v>9094296</v>
      </c>
      <c r="AB160" s="3" t="s">
        <v>404</v>
      </c>
      <c r="AC160" s="28">
        <v>40263</v>
      </c>
    </row>
    <row r="161" spans="1:29" x14ac:dyDescent="0.4">
      <c r="A161" s="24" t="s">
        <v>411</v>
      </c>
      <c r="B161" s="24">
        <v>39797</v>
      </c>
      <c r="C161" s="24">
        <v>39665</v>
      </c>
      <c r="D161" s="22" t="s">
        <v>575</v>
      </c>
      <c r="E161" s="22">
        <v>9094297</v>
      </c>
      <c r="F161" s="22">
        <v>1010</v>
      </c>
      <c r="G161" s="22" t="s">
        <v>1014</v>
      </c>
      <c r="H161" s="55" t="s">
        <v>3025</v>
      </c>
      <c r="I161" s="3" t="s">
        <v>404</v>
      </c>
      <c r="J161" s="28">
        <v>40268</v>
      </c>
      <c r="K161" s="3" t="s">
        <v>404</v>
      </c>
      <c r="L161" s="28">
        <v>40283</v>
      </c>
      <c r="M161" s="92">
        <v>40277</v>
      </c>
      <c r="N161" s="80">
        <f t="shared" si="2"/>
        <v>39665</v>
      </c>
      <c r="O161" s="80"/>
      <c r="Q161" s="211"/>
      <c r="R161" s="80"/>
      <c r="S161" s="80"/>
      <c r="T161" s="80"/>
      <c r="U161" s="22">
        <v>9094297</v>
      </c>
      <c r="V161" s="80">
        <v>39937</v>
      </c>
      <c r="X161" s="4">
        <v>9094105</v>
      </c>
      <c r="Y161" s="2">
        <v>39672</v>
      </c>
      <c r="AA161" s="22">
        <v>9094297</v>
      </c>
      <c r="AB161" s="3" t="s">
        <v>404</v>
      </c>
      <c r="AC161" s="28">
        <v>40268</v>
      </c>
    </row>
    <row r="162" spans="1:29" x14ac:dyDescent="0.4">
      <c r="A162" s="24" t="s">
        <v>411</v>
      </c>
      <c r="B162" s="24">
        <v>39736</v>
      </c>
      <c r="C162" s="24">
        <v>39665</v>
      </c>
      <c r="D162" s="22" t="s">
        <v>575</v>
      </c>
      <c r="E162" s="22">
        <v>9094163</v>
      </c>
      <c r="F162" s="22">
        <v>1210</v>
      </c>
      <c r="G162" s="22" t="s">
        <v>1015</v>
      </c>
      <c r="H162" s="55" t="s">
        <v>1013</v>
      </c>
      <c r="I162" s="3" t="s">
        <v>404</v>
      </c>
      <c r="J162" s="28">
        <v>39694</v>
      </c>
      <c r="K162" s="3" t="s">
        <v>404</v>
      </c>
      <c r="L162" s="92">
        <v>39736</v>
      </c>
      <c r="M162" s="28">
        <v>39713</v>
      </c>
      <c r="N162" s="80">
        <f t="shared" si="2"/>
        <v>39665</v>
      </c>
      <c r="O162" s="80"/>
      <c r="Q162" s="211"/>
      <c r="R162" s="80"/>
      <c r="S162" s="80"/>
      <c r="T162" s="80"/>
      <c r="U162" s="22">
        <v>9094163</v>
      </c>
      <c r="V162" s="80">
        <v>39720</v>
      </c>
      <c r="X162" s="4">
        <v>9094457</v>
      </c>
      <c r="Y162" s="2">
        <v>39718</v>
      </c>
      <c r="AA162" s="22">
        <v>9094163</v>
      </c>
      <c r="AB162" s="3" t="s">
        <v>404</v>
      </c>
      <c r="AC162" s="28">
        <v>39694</v>
      </c>
    </row>
    <row r="163" spans="1:29" x14ac:dyDescent="0.4">
      <c r="A163" s="24" t="s">
        <v>411</v>
      </c>
      <c r="B163" s="24">
        <v>39736</v>
      </c>
      <c r="C163" s="24">
        <v>39665</v>
      </c>
      <c r="D163" s="22" t="s">
        <v>575</v>
      </c>
      <c r="E163" s="22">
        <v>9094108</v>
      </c>
      <c r="F163" s="22">
        <v>715</v>
      </c>
      <c r="G163" s="22" t="s">
        <v>1016</v>
      </c>
      <c r="H163" s="55" t="s">
        <v>1013</v>
      </c>
      <c r="I163" s="3" t="s">
        <v>404</v>
      </c>
      <c r="J163" s="28">
        <v>39962</v>
      </c>
      <c r="K163" s="3" t="s">
        <v>404</v>
      </c>
      <c r="L163" s="28">
        <v>39994</v>
      </c>
      <c r="M163" s="28">
        <v>39994</v>
      </c>
      <c r="N163" s="80">
        <f t="shared" si="2"/>
        <v>39665</v>
      </c>
      <c r="O163" s="80"/>
      <c r="Q163" s="211"/>
      <c r="R163" s="80"/>
      <c r="S163" s="80"/>
      <c r="T163" s="80"/>
      <c r="U163" s="22">
        <v>9094108</v>
      </c>
      <c r="V163" s="80">
        <v>39772</v>
      </c>
      <c r="X163" s="4">
        <v>9094456</v>
      </c>
      <c r="Y163" s="2">
        <v>39716</v>
      </c>
      <c r="AA163" s="22">
        <v>9094108</v>
      </c>
      <c r="AB163" s="3" t="s">
        <v>404</v>
      </c>
      <c r="AC163" s="28">
        <v>39962</v>
      </c>
    </row>
    <row r="164" spans="1:29" x14ac:dyDescent="0.4">
      <c r="A164" s="24" t="s">
        <v>411</v>
      </c>
      <c r="B164" s="24">
        <v>39736</v>
      </c>
      <c r="C164" s="24">
        <v>39665</v>
      </c>
      <c r="D164" s="22" t="s">
        <v>575</v>
      </c>
      <c r="E164" s="22">
        <v>9094162</v>
      </c>
      <c r="F164" s="22">
        <v>1010</v>
      </c>
      <c r="G164" s="22" t="s">
        <v>1017</v>
      </c>
      <c r="H164" s="55" t="s">
        <v>3026</v>
      </c>
      <c r="I164" s="3" t="s">
        <v>404</v>
      </c>
      <c r="J164" s="28">
        <v>40273</v>
      </c>
      <c r="K164" s="3" t="s">
        <v>404</v>
      </c>
      <c r="L164" s="28">
        <v>40283</v>
      </c>
      <c r="M164" s="28">
        <v>40277</v>
      </c>
      <c r="N164" s="80">
        <f t="shared" si="2"/>
        <v>39665</v>
      </c>
      <c r="O164" s="80"/>
      <c r="Q164" s="211"/>
      <c r="R164" s="80"/>
      <c r="S164" s="80"/>
      <c r="T164" s="80"/>
      <c r="U164" s="22">
        <v>9094162</v>
      </c>
      <c r="V164" s="80">
        <v>39772</v>
      </c>
      <c r="X164" s="4">
        <v>9094176</v>
      </c>
      <c r="Y164" s="2">
        <v>39668</v>
      </c>
      <c r="AA164" s="22">
        <v>9094162</v>
      </c>
      <c r="AB164" s="3" t="s">
        <v>404</v>
      </c>
      <c r="AC164" s="28">
        <v>40273</v>
      </c>
    </row>
    <row r="165" spans="1:29" x14ac:dyDescent="0.4">
      <c r="A165" s="24" t="s">
        <v>411</v>
      </c>
      <c r="B165" s="24">
        <v>39797</v>
      </c>
      <c r="C165" s="24">
        <v>39665</v>
      </c>
      <c r="D165" s="22" t="s">
        <v>575</v>
      </c>
      <c r="E165" s="22">
        <v>9094299</v>
      </c>
      <c r="F165" s="22">
        <v>1210</v>
      </c>
      <c r="G165" s="22" t="s">
        <v>1018</v>
      </c>
      <c r="H165" s="55" t="s">
        <v>1013</v>
      </c>
      <c r="I165" s="3" t="s">
        <v>406</v>
      </c>
      <c r="J165" s="28"/>
      <c r="K165" s="3" t="s">
        <v>406</v>
      </c>
      <c r="L165" s="28"/>
      <c r="M165" s="92">
        <v>40277</v>
      </c>
      <c r="N165" s="80">
        <f t="shared" si="2"/>
        <v>39665</v>
      </c>
      <c r="O165" s="80"/>
      <c r="Q165" s="211"/>
      <c r="R165" s="80"/>
      <c r="S165" s="80"/>
      <c r="T165" s="80"/>
      <c r="U165" s="22">
        <v>9094299</v>
      </c>
      <c r="V165" s="80">
        <v>39799</v>
      </c>
      <c r="X165" s="4">
        <v>9094177</v>
      </c>
      <c r="Y165" s="2">
        <v>39668</v>
      </c>
      <c r="AA165" s="22">
        <v>9094299</v>
      </c>
      <c r="AB165" s="3" t="s">
        <v>404</v>
      </c>
      <c r="AC165" s="28">
        <v>40472</v>
      </c>
    </row>
    <row r="166" spans="1:29" x14ac:dyDescent="0.4">
      <c r="A166" s="24" t="s">
        <v>411</v>
      </c>
      <c r="B166" s="24">
        <v>39706</v>
      </c>
      <c r="C166" s="24">
        <v>39665</v>
      </c>
      <c r="D166" s="22" t="s">
        <v>575</v>
      </c>
      <c r="E166" s="22">
        <v>9094084</v>
      </c>
      <c r="F166" s="22">
        <v>1010</v>
      </c>
      <c r="G166" s="22" t="s">
        <v>1019</v>
      </c>
      <c r="H166" s="55" t="s">
        <v>3027</v>
      </c>
      <c r="I166" s="3" t="s">
        <v>404</v>
      </c>
      <c r="J166" s="28">
        <v>40263</v>
      </c>
      <c r="K166" s="3" t="s">
        <v>404</v>
      </c>
      <c r="L166" s="28">
        <v>40283</v>
      </c>
      <c r="M166" s="28">
        <v>40277</v>
      </c>
      <c r="N166" s="80">
        <f t="shared" si="2"/>
        <v>39665</v>
      </c>
      <c r="O166" s="80"/>
      <c r="Q166" s="211"/>
      <c r="R166" s="80"/>
      <c r="S166" s="80"/>
      <c r="T166" s="80"/>
      <c r="U166" s="22">
        <v>9094084</v>
      </c>
      <c r="V166" s="80">
        <v>39776</v>
      </c>
      <c r="X166" s="4">
        <v>9094137</v>
      </c>
      <c r="Y166" s="2">
        <v>39672</v>
      </c>
      <c r="AA166" s="22">
        <v>9094084</v>
      </c>
      <c r="AB166" s="3" t="s">
        <v>404</v>
      </c>
      <c r="AC166" s="28">
        <v>40263</v>
      </c>
    </row>
    <row r="167" spans="1:29" x14ac:dyDescent="0.4">
      <c r="A167" s="24" t="s">
        <v>411</v>
      </c>
      <c r="B167" s="24">
        <v>39706</v>
      </c>
      <c r="C167" s="24">
        <v>39665</v>
      </c>
      <c r="D167" s="22" t="s">
        <v>575</v>
      </c>
      <c r="E167" s="22">
        <v>9094083</v>
      </c>
      <c r="F167" s="22">
        <v>1010</v>
      </c>
      <c r="G167" s="22" t="s">
        <v>1020</v>
      </c>
      <c r="H167" s="55" t="s">
        <v>1021</v>
      </c>
      <c r="I167" s="3" t="s">
        <v>404</v>
      </c>
      <c r="J167" s="28">
        <v>39703</v>
      </c>
      <c r="K167" s="3" t="s">
        <v>404</v>
      </c>
      <c r="L167" s="92">
        <v>39745</v>
      </c>
      <c r="M167" s="28">
        <v>39745</v>
      </c>
      <c r="N167" s="80">
        <f t="shared" si="2"/>
        <v>39665</v>
      </c>
      <c r="O167" s="80"/>
      <c r="Q167" s="211"/>
      <c r="R167" s="80"/>
      <c r="S167" s="80"/>
      <c r="T167" s="80"/>
      <c r="U167" s="22">
        <v>9094083</v>
      </c>
      <c r="V167" s="80">
        <v>39720</v>
      </c>
      <c r="X167" s="4">
        <v>9094085</v>
      </c>
      <c r="Y167" s="2">
        <v>39668</v>
      </c>
      <c r="AA167" s="22">
        <v>9094083</v>
      </c>
      <c r="AB167" s="3" t="s">
        <v>404</v>
      </c>
      <c r="AC167" s="28">
        <v>39703</v>
      </c>
    </row>
    <row r="168" spans="1:29" x14ac:dyDescent="0.4">
      <c r="A168" s="24" t="s">
        <v>411</v>
      </c>
      <c r="B168" s="24">
        <v>39706</v>
      </c>
      <c r="C168" s="24">
        <v>39665</v>
      </c>
      <c r="D168" s="22" t="s">
        <v>575</v>
      </c>
      <c r="E168" s="22">
        <v>9094107</v>
      </c>
      <c r="F168" s="22">
        <v>1010</v>
      </c>
      <c r="G168" s="22" t="s">
        <v>1022</v>
      </c>
      <c r="H168" s="55" t="s">
        <v>683</v>
      </c>
      <c r="I168" s="3" t="s">
        <v>404</v>
      </c>
      <c r="J168" s="28">
        <v>40147</v>
      </c>
      <c r="K168" s="3" t="s">
        <v>404</v>
      </c>
      <c r="L168" s="28">
        <v>40255</v>
      </c>
      <c r="M168" s="28">
        <v>40254</v>
      </c>
      <c r="N168" s="80">
        <f t="shared" si="2"/>
        <v>39665</v>
      </c>
      <c r="O168" s="80"/>
      <c r="Q168" s="211"/>
      <c r="R168" s="80"/>
      <c r="S168" s="80"/>
      <c r="T168" s="80"/>
      <c r="U168" s="22">
        <v>9094107</v>
      </c>
      <c r="V168" s="80">
        <v>39960</v>
      </c>
      <c r="X168" s="4">
        <v>9094138</v>
      </c>
      <c r="Y168" s="2">
        <v>39672</v>
      </c>
      <c r="AA168" s="22">
        <v>9094107</v>
      </c>
      <c r="AB168" s="3" t="s">
        <v>404</v>
      </c>
      <c r="AC168" s="28">
        <v>40147</v>
      </c>
    </row>
    <row r="169" spans="1:29" x14ac:dyDescent="0.4">
      <c r="A169" s="24" t="s">
        <v>411</v>
      </c>
      <c r="B169" s="24">
        <v>39797</v>
      </c>
      <c r="C169" s="24">
        <v>39665</v>
      </c>
      <c r="D169" s="22" t="s">
        <v>575</v>
      </c>
      <c r="E169" s="22">
        <v>9094298</v>
      </c>
      <c r="F169" s="22">
        <v>1010</v>
      </c>
      <c r="G169" s="22" t="s">
        <v>1023</v>
      </c>
      <c r="H169" s="55" t="s">
        <v>683</v>
      </c>
      <c r="I169" s="3" t="s">
        <v>404</v>
      </c>
      <c r="J169" s="28">
        <v>40154</v>
      </c>
      <c r="K169" s="3" t="s">
        <v>404</v>
      </c>
      <c r="L169" s="28">
        <v>40224</v>
      </c>
      <c r="M169" s="92">
        <v>40228</v>
      </c>
      <c r="N169" s="80">
        <f t="shared" si="2"/>
        <v>39665</v>
      </c>
      <c r="O169" s="80"/>
      <c r="Q169" s="211"/>
      <c r="R169" s="80"/>
      <c r="S169" s="80"/>
      <c r="T169" s="80"/>
      <c r="U169" s="22">
        <v>9094298</v>
      </c>
      <c r="V169" s="80">
        <v>39961</v>
      </c>
      <c r="X169" s="4">
        <v>9094086</v>
      </c>
      <c r="Y169" s="2">
        <v>39668</v>
      </c>
      <c r="AA169" s="22">
        <v>9094298</v>
      </c>
      <c r="AB169" s="3" t="s">
        <v>404</v>
      </c>
      <c r="AC169" s="28">
        <v>40154</v>
      </c>
    </row>
    <row r="170" spans="1:29" x14ac:dyDescent="0.4">
      <c r="A170" s="24" t="s">
        <v>411</v>
      </c>
      <c r="B170" s="24">
        <v>39797</v>
      </c>
      <c r="C170" s="24">
        <v>39665</v>
      </c>
      <c r="D170" s="22" t="s">
        <v>575</v>
      </c>
      <c r="E170" s="22">
        <v>9094247</v>
      </c>
      <c r="F170" s="22">
        <v>1010</v>
      </c>
      <c r="G170" s="22" t="s">
        <v>1024</v>
      </c>
      <c r="H170" s="55" t="s">
        <v>3028</v>
      </c>
      <c r="I170" s="3" t="s">
        <v>404</v>
      </c>
      <c r="J170" s="28">
        <v>40263</v>
      </c>
      <c r="K170" s="3" t="s">
        <v>404</v>
      </c>
      <c r="L170" s="28">
        <v>40283</v>
      </c>
      <c r="M170" s="92">
        <v>40277</v>
      </c>
      <c r="N170" s="80">
        <f t="shared" si="2"/>
        <v>39665</v>
      </c>
      <c r="O170" s="80"/>
      <c r="Q170" s="211"/>
      <c r="R170" s="80"/>
      <c r="S170" s="80"/>
      <c r="T170" s="80"/>
      <c r="U170" s="22">
        <v>9094247</v>
      </c>
      <c r="V170" s="80">
        <v>39842</v>
      </c>
      <c r="X170" s="4">
        <v>9094174</v>
      </c>
      <c r="Y170" s="2">
        <v>39672</v>
      </c>
      <c r="AA170" s="22">
        <v>9094247</v>
      </c>
      <c r="AB170" s="3" t="s">
        <v>404</v>
      </c>
      <c r="AC170" s="28">
        <v>40263</v>
      </c>
    </row>
    <row r="171" spans="1:29" x14ac:dyDescent="0.4">
      <c r="A171" s="24" t="s">
        <v>411</v>
      </c>
      <c r="B171" s="24">
        <v>39797</v>
      </c>
      <c r="C171" s="24">
        <v>39665</v>
      </c>
      <c r="D171" s="22" t="s">
        <v>575</v>
      </c>
      <c r="E171" s="22">
        <v>9094248</v>
      </c>
      <c r="F171" s="22">
        <v>1010</v>
      </c>
      <c r="G171" s="22" t="s">
        <v>1025</v>
      </c>
      <c r="H171" s="55" t="s">
        <v>1021</v>
      </c>
      <c r="I171" s="3" t="s">
        <v>406</v>
      </c>
      <c r="J171" s="28"/>
      <c r="K171" s="3" t="s">
        <v>406</v>
      </c>
      <c r="L171" s="28"/>
      <c r="M171" s="92">
        <v>40277</v>
      </c>
      <c r="N171" s="80">
        <f t="shared" si="2"/>
        <v>39665</v>
      </c>
      <c r="O171" s="80"/>
      <c r="Q171" s="211"/>
      <c r="R171" s="80"/>
      <c r="S171" s="80"/>
      <c r="T171" s="80"/>
      <c r="U171" s="22">
        <v>9094248</v>
      </c>
      <c r="V171" s="80">
        <v>39842</v>
      </c>
      <c r="X171" s="4">
        <v>9094175</v>
      </c>
      <c r="Y171" s="2">
        <v>39672</v>
      </c>
      <c r="AA171" s="22">
        <v>9094248</v>
      </c>
      <c r="AB171" s="3" t="s">
        <v>404</v>
      </c>
      <c r="AC171" s="28">
        <v>40389</v>
      </c>
    </row>
    <row r="172" spans="1:29" x14ac:dyDescent="0.4">
      <c r="A172" s="24" t="s">
        <v>411</v>
      </c>
      <c r="B172" s="24">
        <v>39797</v>
      </c>
      <c r="C172" s="24">
        <v>39668</v>
      </c>
      <c r="D172" s="22" t="s">
        <v>581</v>
      </c>
      <c r="E172" s="22">
        <v>9094250</v>
      </c>
      <c r="F172" s="22">
        <v>1010</v>
      </c>
      <c r="G172" s="22">
        <v>5</v>
      </c>
      <c r="H172" s="55" t="s">
        <v>1026</v>
      </c>
      <c r="I172" s="3" t="s">
        <v>404</v>
      </c>
      <c r="J172" s="28">
        <v>40252</v>
      </c>
      <c r="K172" s="3" t="s">
        <v>404</v>
      </c>
      <c r="L172" s="28">
        <v>40255</v>
      </c>
      <c r="M172" s="92">
        <v>40163</v>
      </c>
      <c r="N172" s="80">
        <f t="shared" si="2"/>
        <v>39668</v>
      </c>
      <c r="O172" s="80"/>
      <c r="Q172" s="211"/>
      <c r="R172" s="80"/>
      <c r="S172" s="80"/>
      <c r="T172" s="80"/>
      <c r="U172" s="22">
        <v>9094250</v>
      </c>
      <c r="V172" s="80">
        <v>39896</v>
      </c>
      <c r="X172" s="4">
        <v>9094192</v>
      </c>
      <c r="Y172" s="2">
        <v>39665</v>
      </c>
      <c r="AA172" s="22">
        <v>9094250</v>
      </c>
      <c r="AB172" s="3" t="s">
        <v>404</v>
      </c>
      <c r="AC172" s="28">
        <v>40252</v>
      </c>
    </row>
    <row r="173" spans="1:29" x14ac:dyDescent="0.4">
      <c r="A173" s="24" t="s">
        <v>411</v>
      </c>
      <c r="B173" s="24">
        <v>39797</v>
      </c>
      <c r="C173" s="24">
        <v>39668</v>
      </c>
      <c r="D173" s="22" t="s">
        <v>581</v>
      </c>
      <c r="E173" s="22">
        <v>9094249</v>
      </c>
      <c r="F173" s="22">
        <v>1010</v>
      </c>
      <c r="G173" s="22">
        <v>6</v>
      </c>
      <c r="H173" s="55" t="s">
        <v>1027</v>
      </c>
      <c r="I173" s="3" t="s">
        <v>404</v>
      </c>
      <c r="J173" s="28">
        <v>40180</v>
      </c>
      <c r="K173" s="3" t="s">
        <v>404</v>
      </c>
      <c r="L173" s="28">
        <v>40255</v>
      </c>
      <c r="M173" s="92">
        <v>40163</v>
      </c>
      <c r="N173" s="80">
        <f t="shared" si="2"/>
        <v>39668</v>
      </c>
      <c r="O173" s="80"/>
      <c r="Q173" s="211"/>
      <c r="R173" s="80"/>
      <c r="S173" s="80"/>
      <c r="T173" s="80"/>
      <c r="U173" s="22">
        <v>9094249</v>
      </c>
      <c r="V173" s="80">
        <v>39870</v>
      </c>
      <c r="X173" s="4">
        <v>9094193</v>
      </c>
      <c r="Y173" s="2">
        <v>39665</v>
      </c>
      <c r="AA173" s="22">
        <v>9094249</v>
      </c>
      <c r="AB173" s="3" t="s">
        <v>404</v>
      </c>
      <c r="AC173" s="28">
        <v>40180</v>
      </c>
    </row>
    <row r="174" spans="1:29" x14ac:dyDescent="0.4">
      <c r="A174" s="24" t="s">
        <v>411</v>
      </c>
      <c r="B174" s="24">
        <v>39736</v>
      </c>
      <c r="C174" s="24">
        <v>39668</v>
      </c>
      <c r="D174" s="22" t="s">
        <v>581</v>
      </c>
      <c r="E174" s="22">
        <v>9094109</v>
      </c>
      <c r="F174" s="22">
        <v>1010</v>
      </c>
      <c r="G174" s="22">
        <v>3</v>
      </c>
      <c r="H174" s="55" t="s">
        <v>1027</v>
      </c>
      <c r="I174" s="3" t="s">
        <v>404</v>
      </c>
      <c r="J174" s="28">
        <v>40109</v>
      </c>
      <c r="K174" s="3" t="s">
        <v>404</v>
      </c>
      <c r="L174" s="28">
        <v>40113</v>
      </c>
      <c r="M174" s="28">
        <v>39853</v>
      </c>
      <c r="N174" s="80">
        <f t="shared" si="2"/>
        <v>39668</v>
      </c>
      <c r="O174" s="80"/>
      <c r="Q174" s="211"/>
      <c r="R174" s="80"/>
      <c r="S174" s="80"/>
      <c r="T174" s="80"/>
      <c r="U174" s="22">
        <v>9094109</v>
      </c>
      <c r="V174" s="80">
        <v>39783</v>
      </c>
      <c r="X174" s="4">
        <v>9094212</v>
      </c>
      <c r="Y174" s="2">
        <v>39665</v>
      </c>
      <c r="AA174" s="22">
        <v>9094109</v>
      </c>
      <c r="AB174" s="3" t="s">
        <v>404</v>
      </c>
      <c r="AC174" s="28">
        <v>40109</v>
      </c>
    </row>
    <row r="175" spans="1:29" x14ac:dyDescent="0.4">
      <c r="A175" s="24" t="s">
        <v>411</v>
      </c>
      <c r="B175" s="24">
        <v>39706</v>
      </c>
      <c r="C175" s="24">
        <v>39668</v>
      </c>
      <c r="D175" s="22" t="s">
        <v>581</v>
      </c>
      <c r="E175" s="22">
        <v>9094085</v>
      </c>
      <c r="F175" s="22">
        <v>715</v>
      </c>
      <c r="G175" s="22">
        <v>1</v>
      </c>
      <c r="H175" s="55" t="s">
        <v>1026</v>
      </c>
      <c r="I175" s="3" t="s">
        <v>404</v>
      </c>
      <c r="J175" s="28">
        <v>40275</v>
      </c>
      <c r="K175" s="3" t="s">
        <v>404</v>
      </c>
      <c r="L175" s="28">
        <v>40277</v>
      </c>
      <c r="M175" s="28">
        <v>39842</v>
      </c>
      <c r="N175" s="80">
        <f t="shared" si="2"/>
        <v>39668</v>
      </c>
      <c r="O175" s="80"/>
      <c r="Q175" s="211"/>
      <c r="R175" s="80"/>
      <c r="S175" s="80"/>
      <c r="T175" s="80"/>
      <c r="U175" s="22">
        <v>9094085</v>
      </c>
      <c r="V175" s="80">
        <v>39813</v>
      </c>
      <c r="X175" s="4">
        <v>9094209</v>
      </c>
      <c r="Y175" s="2">
        <v>39668</v>
      </c>
      <c r="AA175" s="22">
        <v>9094085</v>
      </c>
      <c r="AB175" s="3" t="s">
        <v>404</v>
      </c>
      <c r="AC175" s="28">
        <v>40275</v>
      </c>
    </row>
    <row r="176" spans="1:29" x14ac:dyDescent="0.4">
      <c r="A176" s="24" t="s">
        <v>411</v>
      </c>
      <c r="B176" s="24">
        <v>39736</v>
      </c>
      <c r="C176" s="24">
        <v>39668</v>
      </c>
      <c r="D176" s="22" t="s">
        <v>581</v>
      </c>
      <c r="E176" s="22">
        <v>9094110</v>
      </c>
      <c r="F176" s="22">
        <v>1010</v>
      </c>
      <c r="G176" s="22">
        <v>2</v>
      </c>
      <c r="H176" s="55" t="s">
        <v>1027</v>
      </c>
      <c r="I176" s="3" t="s">
        <v>404</v>
      </c>
      <c r="J176" s="28">
        <v>40081</v>
      </c>
      <c r="K176" s="3" t="s">
        <v>404</v>
      </c>
      <c r="L176" s="28">
        <v>40081</v>
      </c>
      <c r="M176" s="28">
        <v>39853</v>
      </c>
      <c r="N176" s="80">
        <f t="shared" si="2"/>
        <v>39668</v>
      </c>
      <c r="O176" s="80"/>
      <c r="Q176" s="211"/>
      <c r="R176" s="80"/>
      <c r="S176" s="80"/>
      <c r="T176" s="80"/>
      <c r="U176" s="22">
        <v>9094110</v>
      </c>
      <c r="V176" s="80">
        <v>39785</v>
      </c>
      <c r="X176" s="4">
        <v>9094208</v>
      </c>
      <c r="Y176" s="2">
        <v>39668</v>
      </c>
      <c r="AA176" s="22">
        <v>9094110</v>
      </c>
      <c r="AB176" s="3" t="s">
        <v>404</v>
      </c>
      <c r="AC176" s="28">
        <v>40081</v>
      </c>
    </row>
    <row r="177" spans="1:29" x14ac:dyDescent="0.4">
      <c r="A177" s="24" t="s">
        <v>411</v>
      </c>
      <c r="B177" s="24">
        <v>39736</v>
      </c>
      <c r="C177" s="24">
        <v>39668</v>
      </c>
      <c r="D177" s="22" t="s">
        <v>581</v>
      </c>
      <c r="E177" s="22">
        <v>9094086</v>
      </c>
      <c r="F177" s="22">
        <v>715</v>
      </c>
      <c r="G177" s="22">
        <v>4</v>
      </c>
      <c r="H177" s="55" t="s">
        <v>1026</v>
      </c>
      <c r="I177" s="3" t="s">
        <v>404</v>
      </c>
      <c r="J177" s="28">
        <v>39951</v>
      </c>
      <c r="K177" s="3" t="s">
        <v>404</v>
      </c>
      <c r="L177" s="28">
        <v>39955</v>
      </c>
      <c r="M177" s="28">
        <v>39842</v>
      </c>
      <c r="N177" s="80">
        <f t="shared" si="2"/>
        <v>39668</v>
      </c>
      <c r="O177" s="80"/>
      <c r="Q177" s="211"/>
      <c r="R177" s="80"/>
      <c r="S177" s="80"/>
      <c r="T177" s="80"/>
      <c r="U177" s="22">
        <v>9094086</v>
      </c>
      <c r="V177" s="80">
        <v>39818</v>
      </c>
      <c r="X177" s="4">
        <v>9094213</v>
      </c>
      <c r="Y177" s="2">
        <v>39665</v>
      </c>
      <c r="AA177" s="22">
        <v>9094086</v>
      </c>
      <c r="AB177" s="3" t="s">
        <v>404</v>
      </c>
      <c r="AC177" s="28">
        <v>39951</v>
      </c>
    </row>
    <row r="178" spans="1:29" x14ac:dyDescent="0.4">
      <c r="A178" s="24" t="s">
        <v>411</v>
      </c>
      <c r="B178" s="24">
        <v>39859</v>
      </c>
      <c r="C178" s="24">
        <v>39665</v>
      </c>
      <c r="D178" s="22" t="s">
        <v>584</v>
      </c>
      <c r="E178" s="22">
        <v>9094348</v>
      </c>
      <c r="F178" s="22">
        <v>1010</v>
      </c>
      <c r="G178" s="22">
        <v>5</v>
      </c>
      <c r="H178" s="55" t="s">
        <v>678</v>
      </c>
      <c r="I178" s="3" t="s">
        <v>404</v>
      </c>
      <c r="J178" s="28">
        <v>40147</v>
      </c>
      <c r="K178" s="3" t="s">
        <v>404</v>
      </c>
      <c r="L178" s="28">
        <v>40203</v>
      </c>
      <c r="M178" s="92">
        <v>40170</v>
      </c>
      <c r="N178" s="80">
        <f t="shared" si="2"/>
        <v>39665</v>
      </c>
      <c r="O178" s="80"/>
      <c r="Q178" s="211"/>
      <c r="R178" s="80"/>
      <c r="S178" s="80"/>
      <c r="T178" s="80"/>
      <c r="U178" s="22">
        <v>9094348</v>
      </c>
      <c r="V178" s="80">
        <v>39883</v>
      </c>
      <c r="X178" s="4">
        <v>9094169</v>
      </c>
      <c r="Y178" s="2">
        <v>39668</v>
      </c>
      <c r="AA178" s="22">
        <v>9094348</v>
      </c>
      <c r="AB178" s="3" t="s">
        <v>404</v>
      </c>
      <c r="AC178" s="28">
        <v>40147</v>
      </c>
    </row>
    <row r="179" spans="1:29" x14ac:dyDescent="0.4">
      <c r="A179" s="24" t="s">
        <v>411</v>
      </c>
      <c r="B179" s="24">
        <v>39859</v>
      </c>
      <c r="C179" s="24">
        <v>39665</v>
      </c>
      <c r="D179" s="22" t="s">
        <v>584</v>
      </c>
      <c r="E179" s="22">
        <v>9094349</v>
      </c>
      <c r="F179" s="22">
        <v>1010</v>
      </c>
      <c r="G179" s="22">
        <v>6</v>
      </c>
      <c r="H179" s="55" t="s">
        <v>678</v>
      </c>
      <c r="I179" s="3" t="s">
        <v>404</v>
      </c>
      <c r="J179" s="28">
        <v>40170</v>
      </c>
      <c r="K179" s="3" t="s">
        <v>404</v>
      </c>
      <c r="L179" s="28">
        <v>40198</v>
      </c>
      <c r="M179" s="92">
        <v>40170</v>
      </c>
      <c r="N179" s="80">
        <f t="shared" si="2"/>
        <v>39665</v>
      </c>
      <c r="O179" s="80"/>
      <c r="Q179" s="211"/>
      <c r="R179" s="80"/>
      <c r="S179" s="80"/>
      <c r="T179" s="80"/>
      <c r="U179" s="22">
        <v>9094349</v>
      </c>
      <c r="V179" s="80">
        <v>39883</v>
      </c>
      <c r="X179" s="4">
        <v>9094220</v>
      </c>
      <c r="Y179" s="2">
        <v>39668</v>
      </c>
      <c r="AA179" s="22">
        <v>9094349</v>
      </c>
      <c r="AB179" s="3" t="s">
        <v>404</v>
      </c>
      <c r="AC179" s="28">
        <v>40170</v>
      </c>
    </row>
    <row r="180" spans="1:29" x14ac:dyDescent="0.4">
      <c r="A180" s="24" t="s">
        <v>411</v>
      </c>
      <c r="B180" s="24">
        <v>39736</v>
      </c>
      <c r="C180" s="24">
        <v>39665</v>
      </c>
      <c r="D180" s="22" t="s">
        <v>584</v>
      </c>
      <c r="E180" s="22">
        <v>9094087</v>
      </c>
      <c r="F180" s="22">
        <v>1010</v>
      </c>
      <c r="G180" s="22">
        <v>1</v>
      </c>
      <c r="H180" s="55" t="s">
        <v>1028</v>
      </c>
      <c r="I180" s="3" t="s">
        <v>404</v>
      </c>
      <c r="J180" s="28">
        <v>39892</v>
      </c>
      <c r="K180" s="3" t="s">
        <v>404</v>
      </c>
      <c r="L180" s="28">
        <v>39918</v>
      </c>
      <c r="M180" s="28">
        <v>39930</v>
      </c>
      <c r="N180" s="80">
        <f t="shared" si="2"/>
        <v>39665</v>
      </c>
      <c r="O180" s="80"/>
      <c r="Q180" s="211"/>
      <c r="R180" s="80"/>
      <c r="S180" s="80"/>
      <c r="T180" s="80"/>
      <c r="U180" s="22">
        <v>9094087</v>
      </c>
      <c r="V180" s="80">
        <v>39745</v>
      </c>
      <c r="X180" s="4">
        <v>9094221</v>
      </c>
      <c r="Y180" s="2">
        <v>39668</v>
      </c>
      <c r="AA180" s="22">
        <v>9094087</v>
      </c>
      <c r="AB180" s="3" t="s">
        <v>404</v>
      </c>
      <c r="AC180" s="28">
        <v>39892</v>
      </c>
    </row>
    <row r="181" spans="1:29" x14ac:dyDescent="0.4">
      <c r="A181" s="24" t="s">
        <v>411</v>
      </c>
      <c r="B181" s="24">
        <v>39736</v>
      </c>
      <c r="C181" s="24">
        <v>39665</v>
      </c>
      <c r="D181" s="22" t="s">
        <v>584</v>
      </c>
      <c r="E181" s="22">
        <v>9094088</v>
      </c>
      <c r="F181" s="22">
        <v>1010</v>
      </c>
      <c r="G181" s="22">
        <v>2</v>
      </c>
      <c r="H181" s="55" t="s">
        <v>678</v>
      </c>
      <c r="I181" s="3" t="s">
        <v>404</v>
      </c>
      <c r="J181" s="28">
        <v>39841</v>
      </c>
      <c r="K181" s="3" t="s">
        <v>404</v>
      </c>
      <c r="L181" s="28">
        <v>39918</v>
      </c>
      <c r="M181" s="28">
        <v>39861</v>
      </c>
      <c r="N181" s="80">
        <f t="shared" si="2"/>
        <v>39665</v>
      </c>
      <c r="O181" s="80"/>
      <c r="Q181" s="211"/>
      <c r="R181" s="80"/>
      <c r="S181" s="80"/>
      <c r="T181" s="80"/>
      <c r="U181" s="22">
        <v>9094088</v>
      </c>
      <c r="V181" s="80">
        <v>39744</v>
      </c>
      <c r="X181" s="4">
        <v>9094253</v>
      </c>
      <c r="Y181" s="2">
        <v>39668</v>
      </c>
      <c r="AA181" s="22">
        <v>9094088</v>
      </c>
      <c r="AB181" s="3" t="s">
        <v>404</v>
      </c>
      <c r="AC181" s="28">
        <v>39841</v>
      </c>
    </row>
    <row r="182" spans="1:29" x14ac:dyDescent="0.4">
      <c r="A182" s="24" t="s">
        <v>411</v>
      </c>
      <c r="B182" s="24">
        <v>39797</v>
      </c>
      <c r="C182" s="24">
        <v>39665</v>
      </c>
      <c r="D182" s="22" t="s">
        <v>584</v>
      </c>
      <c r="E182" s="22">
        <v>9094113</v>
      </c>
      <c r="F182" s="22">
        <v>1010</v>
      </c>
      <c r="G182" s="22">
        <v>3</v>
      </c>
      <c r="H182" s="55" t="s">
        <v>678</v>
      </c>
      <c r="I182" s="3" t="s">
        <v>404</v>
      </c>
      <c r="J182" s="28">
        <v>40164</v>
      </c>
      <c r="K182" s="3" t="s">
        <v>404</v>
      </c>
      <c r="L182" s="28">
        <v>40193</v>
      </c>
      <c r="M182" s="92">
        <v>40170</v>
      </c>
      <c r="N182" s="80">
        <f t="shared" si="2"/>
        <v>39665</v>
      </c>
      <c r="O182" s="80"/>
      <c r="Q182" s="211"/>
      <c r="R182" s="80"/>
      <c r="S182" s="80"/>
      <c r="T182" s="80"/>
      <c r="U182" s="22">
        <v>9094113</v>
      </c>
      <c r="V182" s="80">
        <v>39867</v>
      </c>
      <c r="X182" s="4">
        <v>9094311</v>
      </c>
      <c r="Y182" s="2">
        <v>39668</v>
      </c>
      <c r="AA182" s="22">
        <v>9094113</v>
      </c>
      <c r="AB182" s="3" t="s">
        <v>404</v>
      </c>
      <c r="AC182" s="28">
        <v>40164</v>
      </c>
    </row>
    <row r="183" spans="1:29" x14ac:dyDescent="0.4">
      <c r="A183" s="24" t="s">
        <v>411</v>
      </c>
      <c r="B183" s="24">
        <v>39797</v>
      </c>
      <c r="C183" s="24">
        <v>39665</v>
      </c>
      <c r="D183" s="22" t="s">
        <v>584</v>
      </c>
      <c r="E183" s="22">
        <v>9094114</v>
      </c>
      <c r="F183" s="22">
        <v>1010</v>
      </c>
      <c r="G183" s="22">
        <v>4</v>
      </c>
      <c r="H183" s="55" t="s">
        <v>678</v>
      </c>
      <c r="I183" s="3" t="s">
        <v>404</v>
      </c>
      <c r="J183" s="28">
        <v>39923</v>
      </c>
      <c r="K183" s="3" t="s">
        <v>404</v>
      </c>
      <c r="L183" s="28">
        <v>39923</v>
      </c>
      <c r="M183" s="92">
        <v>39930</v>
      </c>
      <c r="N183" s="80">
        <f t="shared" si="2"/>
        <v>39665</v>
      </c>
      <c r="O183" s="80"/>
      <c r="Q183" s="211"/>
      <c r="R183" s="80"/>
      <c r="S183" s="80"/>
      <c r="T183" s="80"/>
      <c r="U183" s="22">
        <v>9094114</v>
      </c>
      <c r="V183" s="80">
        <v>39868</v>
      </c>
      <c r="X183" s="82">
        <v>9094458</v>
      </c>
      <c r="Y183" s="83">
        <v>39716</v>
      </c>
      <c r="AA183" s="22">
        <v>9094114</v>
      </c>
      <c r="AB183" s="3" t="s">
        <v>404</v>
      </c>
      <c r="AC183" s="28">
        <v>39923</v>
      </c>
    </row>
    <row r="184" spans="1:29" x14ac:dyDescent="0.4">
      <c r="A184" s="24" t="s">
        <v>411</v>
      </c>
      <c r="B184" s="24">
        <v>39706</v>
      </c>
      <c r="C184" s="24">
        <v>39665</v>
      </c>
      <c r="D184" s="22" t="s">
        <v>587</v>
      </c>
      <c r="E184" s="22">
        <v>9094148</v>
      </c>
      <c r="F184" s="22">
        <v>1010</v>
      </c>
      <c r="G184" s="22">
        <v>3</v>
      </c>
      <c r="H184" s="55" t="s">
        <v>679</v>
      </c>
      <c r="I184" s="3" t="s">
        <v>404</v>
      </c>
      <c r="J184" s="28">
        <v>39959</v>
      </c>
      <c r="K184" s="3" t="s">
        <v>404</v>
      </c>
      <c r="L184" s="28">
        <v>39962</v>
      </c>
      <c r="M184" s="92">
        <v>39896</v>
      </c>
      <c r="N184" s="80">
        <f t="shared" si="2"/>
        <v>39665</v>
      </c>
      <c r="O184" s="80"/>
      <c r="Q184" s="211"/>
      <c r="R184" s="80"/>
      <c r="S184" s="80"/>
      <c r="T184" s="80"/>
      <c r="U184" s="22">
        <v>9094148</v>
      </c>
      <c r="V184" s="80">
        <v>39885</v>
      </c>
      <c r="X184" s="4">
        <v>9094257</v>
      </c>
      <c r="Y184" s="2">
        <v>39742</v>
      </c>
      <c r="AA184" s="22">
        <v>9094148</v>
      </c>
      <c r="AB184" s="3" t="s">
        <v>404</v>
      </c>
      <c r="AC184" s="28">
        <v>39959</v>
      </c>
    </row>
    <row r="185" spans="1:29" x14ac:dyDescent="0.4">
      <c r="A185" s="24" t="s">
        <v>411</v>
      </c>
      <c r="B185" s="24">
        <v>39736</v>
      </c>
      <c r="C185" s="24">
        <v>39665</v>
      </c>
      <c r="D185" s="22" t="s">
        <v>587</v>
      </c>
      <c r="E185" s="22">
        <v>9094149</v>
      </c>
      <c r="F185" s="22">
        <v>1010</v>
      </c>
      <c r="G185" s="22">
        <v>4</v>
      </c>
      <c r="H185" s="55" t="s">
        <v>679</v>
      </c>
      <c r="I185" s="3" t="s">
        <v>406</v>
      </c>
      <c r="J185" s="28"/>
      <c r="K185" s="3" t="s">
        <v>406</v>
      </c>
      <c r="L185" s="28"/>
      <c r="M185" s="92">
        <v>39897</v>
      </c>
      <c r="N185" s="80">
        <f t="shared" si="2"/>
        <v>39665</v>
      </c>
      <c r="O185" s="80"/>
      <c r="Q185" s="211"/>
      <c r="R185" s="80"/>
      <c r="S185" s="80"/>
      <c r="T185" s="80"/>
      <c r="U185" s="22">
        <v>9094149</v>
      </c>
      <c r="V185" s="80">
        <v>39888</v>
      </c>
      <c r="X185" s="4">
        <v>9094404</v>
      </c>
      <c r="Y185" s="2">
        <v>39669</v>
      </c>
      <c r="AA185" s="22">
        <v>9094149</v>
      </c>
      <c r="AB185" s="3" t="s">
        <v>404</v>
      </c>
      <c r="AC185" s="28">
        <v>40521</v>
      </c>
    </row>
    <row r="186" spans="1:29" x14ac:dyDescent="0.4">
      <c r="A186" s="24" t="s">
        <v>411</v>
      </c>
      <c r="B186" s="24">
        <v>39706</v>
      </c>
      <c r="C186" s="24">
        <v>39665</v>
      </c>
      <c r="D186" s="22" t="s">
        <v>587</v>
      </c>
      <c r="E186" s="22">
        <v>9094089</v>
      </c>
      <c r="F186" s="22">
        <v>1010</v>
      </c>
      <c r="G186" s="22">
        <v>1</v>
      </c>
      <c r="H186" s="55" t="s">
        <v>1029</v>
      </c>
      <c r="I186" s="3" t="s">
        <v>404</v>
      </c>
      <c r="J186" s="28">
        <v>39944</v>
      </c>
      <c r="K186" s="3" t="s">
        <v>404</v>
      </c>
      <c r="L186" s="28">
        <v>39947</v>
      </c>
      <c r="M186" s="28">
        <v>39833</v>
      </c>
      <c r="N186" s="80">
        <f t="shared" si="2"/>
        <v>39665</v>
      </c>
      <c r="O186" s="80"/>
      <c r="Q186" s="211"/>
      <c r="R186" s="80"/>
      <c r="S186" s="80"/>
      <c r="T186" s="80"/>
      <c r="U186" s="22">
        <v>9094089</v>
      </c>
      <c r="V186" s="80">
        <v>39746</v>
      </c>
      <c r="X186" s="4">
        <v>9094216</v>
      </c>
      <c r="Y186" s="2">
        <v>39668</v>
      </c>
      <c r="AA186" s="22">
        <v>9094089</v>
      </c>
      <c r="AB186" s="3" t="s">
        <v>404</v>
      </c>
      <c r="AC186" s="28">
        <v>39944</v>
      </c>
    </row>
    <row r="187" spans="1:29" x14ac:dyDescent="0.4">
      <c r="A187" s="24" t="s">
        <v>411</v>
      </c>
      <c r="B187" s="24">
        <v>39706</v>
      </c>
      <c r="C187" s="24">
        <v>39665</v>
      </c>
      <c r="D187" s="22" t="s">
        <v>587</v>
      </c>
      <c r="E187" s="22">
        <v>9094090</v>
      </c>
      <c r="F187" s="22">
        <v>1010</v>
      </c>
      <c r="G187" s="22">
        <v>2</v>
      </c>
      <c r="H187" s="55" t="s">
        <v>679</v>
      </c>
      <c r="I187" s="3" t="s">
        <v>404</v>
      </c>
      <c r="J187" s="28">
        <v>39821</v>
      </c>
      <c r="K187" s="3" t="s">
        <v>404</v>
      </c>
      <c r="L187" s="92">
        <v>39918</v>
      </c>
      <c r="M187" s="28">
        <v>39833</v>
      </c>
      <c r="N187" s="80">
        <f t="shared" si="2"/>
        <v>39665</v>
      </c>
      <c r="O187" s="80"/>
      <c r="Q187" s="211"/>
      <c r="R187" s="80"/>
      <c r="S187" s="80"/>
      <c r="T187" s="80"/>
      <c r="U187" s="22">
        <v>9094090</v>
      </c>
      <c r="V187" s="80">
        <v>39748</v>
      </c>
      <c r="X187" s="4">
        <v>9094172</v>
      </c>
      <c r="Y187" s="2">
        <v>39668</v>
      </c>
      <c r="AA187" s="22">
        <v>9094090</v>
      </c>
      <c r="AB187" s="3" t="s">
        <v>404</v>
      </c>
      <c r="AC187" s="28">
        <v>39821</v>
      </c>
    </row>
    <row r="188" spans="1:29" x14ac:dyDescent="0.4">
      <c r="A188" s="24" t="s">
        <v>411</v>
      </c>
      <c r="B188" s="24">
        <v>0</v>
      </c>
      <c r="C188" s="24">
        <v>39675</v>
      </c>
      <c r="D188" s="22" t="s">
        <v>591</v>
      </c>
      <c r="E188" s="22">
        <v>9094411</v>
      </c>
      <c r="F188" s="22">
        <v>1010</v>
      </c>
      <c r="G188" s="22">
        <v>11</v>
      </c>
      <c r="H188" s="55" t="s">
        <v>605</v>
      </c>
      <c r="I188" s="3" t="s">
        <v>404</v>
      </c>
      <c r="J188" s="28">
        <v>40254</v>
      </c>
      <c r="K188" s="3" t="s">
        <v>404</v>
      </c>
      <c r="L188" s="28">
        <v>40254</v>
      </c>
      <c r="M188" s="92">
        <v>39969</v>
      </c>
      <c r="N188" s="80">
        <f t="shared" si="2"/>
        <v>39675</v>
      </c>
      <c r="O188" s="80"/>
      <c r="Q188" s="211"/>
      <c r="R188" s="80"/>
      <c r="S188" s="80"/>
      <c r="T188" s="80"/>
      <c r="U188" s="22">
        <v>9094411</v>
      </c>
      <c r="V188" s="80">
        <v>39940</v>
      </c>
      <c r="X188" s="4">
        <v>9094173</v>
      </c>
      <c r="Y188" s="2">
        <v>39668</v>
      </c>
      <c r="AA188" s="22">
        <v>9094411</v>
      </c>
      <c r="AB188" s="3" t="s">
        <v>404</v>
      </c>
      <c r="AC188" s="28">
        <v>40254</v>
      </c>
    </row>
    <row r="189" spans="1:29" x14ac:dyDescent="0.4">
      <c r="A189" s="24" t="s">
        <v>411</v>
      </c>
      <c r="B189" s="24">
        <v>39706</v>
      </c>
      <c r="C189" s="24">
        <v>39675</v>
      </c>
      <c r="D189" s="22" t="s">
        <v>591</v>
      </c>
      <c r="E189" s="22">
        <v>9094115</v>
      </c>
      <c r="F189" s="22">
        <v>715</v>
      </c>
      <c r="G189" s="22">
        <v>3</v>
      </c>
      <c r="H189" s="55" t="s">
        <v>605</v>
      </c>
      <c r="I189" s="3" t="s">
        <v>404</v>
      </c>
      <c r="J189" s="28">
        <v>39925</v>
      </c>
      <c r="K189" s="3" t="s">
        <v>404</v>
      </c>
      <c r="L189" s="92">
        <v>39918</v>
      </c>
      <c r="M189" s="92">
        <v>39703</v>
      </c>
      <c r="N189" s="80">
        <f t="shared" si="2"/>
        <v>39675</v>
      </c>
      <c r="O189" s="80"/>
      <c r="Q189" s="211"/>
      <c r="R189" s="80"/>
      <c r="S189" s="80"/>
      <c r="T189" s="80"/>
      <c r="U189" s="22">
        <v>9094115</v>
      </c>
      <c r="V189" s="80">
        <v>39877</v>
      </c>
      <c r="X189" s="4">
        <v>9094147</v>
      </c>
      <c r="Y189" s="2">
        <v>39668</v>
      </c>
      <c r="AA189" s="22">
        <v>9094115</v>
      </c>
      <c r="AB189" s="3" t="s">
        <v>404</v>
      </c>
      <c r="AC189" s="28">
        <v>39925</v>
      </c>
    </row>
    <row r="190" spans="1:29" x14ac:dyDescent="0.4">
      <c r="A190" s="24" t="s">
        <v>411</v>
      </c>
      <c r="B190" s="24">
        <v>0</v>
      </c>
      <c r="C190" s="24">
        <v>39675</v>
      </c>
      <c r="D190" s="22" t="s">
        <v>591</v>
      </c>
      <c r="E190" s="22">
        <v>9094154</v>
      </c>
      <c r="F190" s="22">
        <v>1210</v>
      </c>
      <c r="G190" s="22">
        <v>7</v>
      </c>
      <c r="H190" s="55" t="s">
        <v>605</v>
      </c>
      <c r="I190" s="3" t="s">
        <v>404</v>
      </c>
      <c r="J190" s="92">
        <v>39704</v>
      </c>
      <c r="K190" s="3" t="s">
        <v>404</v>
      </c>
      <c r="L190" s="92">
        <v>39928</v>
      </c>
      <c r="M190" s="92">
        <v>39703</v>
      </c>
      <c r="N190" s="80">
        <f t="shared" si="2"/>
        <v>39675</v>
      </c>
      <c r="O190" s="80"/>
      <c r="Q190" s="211"/>
      <c r="R190" s="80"/>
      <c r="S190" s="80"/>
      <c r="T190" s="80"/>
      <c r="U190" s="22">
        <v>9094154</v>
      </c>
      <c r="V190" s="80">
        <v>39773</v>
      </c>
      <c r="X190" s="187">
        <v>9094205</v>
      </c>
      <c r="Y190" s="2">
        <v>39668</v>
      </c>
      <c r="AA190" s="22">
        <v>9094154</v>
      </c>
      <c r="AB190" s="3" t="s">
        <v>404</v>
      </c>
      <c r="AC190" s="9">
        <v>39704</v>
      </c>
    </row>
    <row r="191" spans="1:29" x14ac:dyDescent="0.4">
      <c r="A191" s="24" t="s">
        <v>411</v>
      </c>
      <c r="B191" s="24">
        <v>39706</v>
      </c>
      <c r="C191" s="24">
        <v>39675</v>
      </c>
      <c r="D191" s="22" t="s">
        <v>591</v>
      </c>
      <c r="E191" s="22">
        <v>9094091</v>
      </c>
      <c r="F191" s="22">
        <v>1010</v>
      </c>
      <c r="G191" s="22">
        <v>1</v>
      </c>
      <c r="H191" s="55" t="s">
        <v>605</v>
      </c>
      <c r="I191" s="3" t="s">
        <v>404</v>
      </c>
      <c r="J191" s="28">
        <v>40014</v>
      </c>
      <c r="K191" s="3" t="s">
        <v>404</v>
      </c>
      <c r="L191" s="28">
        <v>40014</v>
      </c>
      <c r="M191" s="28">
        <v>39969</v>
      </c>
      <c r="N191" s="80">
        <f t="shared" si="2"/>
        <v>39675</v>
      </c>
      <c r="O191" s="80"/>
      <c r="Q191" s="211"/>
      <c r="R191" s="80"/>
      <c r="S191" s="80"/>
      <c r="T191" s="80"/>
      <c r="U191" s="22">
        <v>9094091</v>
      </c>
      <c r="V191" s="80">
        <v>39939</v>
      </c>
      <c r="X191" s="4">
        <v>9094181</v>
      </c>
      <c r="Y191" s="2">
        <v>39668</v>
      </c>
      <c r="AA191" s="22">
        <v>9094091</v>
      </c>
      <c r="AB191" s="3" t="s">
        <v>404</v>
      </c>
      <c r="AC191" s="28">
        <v>40014</v>
      </c>
    </row>
    <row r="192" spans="1:29" x14ac:dyDescent="0.4">
      <c r="A192" s="24" t="s">
        <v>411</v>
      </c>
      <c r="B192" s="24">
        <v>39706</v>
      </c>
      <c r="C192" s="24">
        <v>39675</v>
      </c>
      <c r="D192" s="22" t="s">
        <v>591</v>
      </c>
      <c r="E192" s="22">
        <v>9094092</v>
      </c>
      <c r="F192" s="22">
        <v>1010</v>
      </c>
      <c r="G192" s="22">
        <v>2</v>
      </c>
      <c r="H192" s="55" t="s">
        <v>605</v>
      </c>
      <c r="I192" s="3" t="s">
        <v>404</v>
      </c>
      <c r="J192" s="28">
        <v>39936</v>
      </c>
      <c r="K192" s="3" t="s">
        <v>404</v>
      </c>
      <c r="L192" s="28">
        <v>39938</v>
      </c>
      <c r="M192" s="28">
        <v>39969</v>
      </c>
      <c r="N192" s="80">
        <f t="shared" si="2"/>
        <v>39675</v>
      </c>
      <c r="O192" s="80"/>
      <c r="Q192" s="211"/>
      <c r="R192" s="80"/>
      <c r="S192" s="80"/>
      <c r="T192" s="80"/>
      <c r="U192" s="22">
        <v>9094092</v>
      </c>
      <c r="V192" s="80">
        <v>39939</v>
      </c>
      <c r="X192" s="187">
        <v>9094187</v>
      </c>
      <c r="Y192" s="2">
        <v>39706</v>
      </c>
      <c r="AA192" s="22">
        <v>9094092</v>
      </c>
      <c r="AB192" s="3" t="s">
        <v>404</v>
      </c>
      <c r="AC192" s="28">
        <v>39936</v>
      </c>
    </row>
    <row r="193" spans="1:29" x14ac:dyDescent="0.4">
      <c r="A193" s="24" t="s">
        <v>411</v>
      </c>
      <c r="B193" s="24">
        <v>0</v>
      </c>
      <c r="C193" s="24">
        <v>39675</v>
      </c>
      <c r="D193" s="22" t="s">
        <v>591</v>
      </c>
      <c r="E193" s="22">
        <v>9094135</v>
      </c>
      <c r="F193" s="22">
        <v>1010</v>
      </c>
      <c r="G193" s="22">
        <v>5</v>
      </c>
      <c r="H193" s="55" t="s">
        <v>605</v>
      </c>
      <c r="I193" s="3" t="s">
        <v>404</v>
      </c>
      <c r="J193" s="28">
        <v>39798</v>
      </c>
      <c r="K193" s="3" t="s">
        <v>404</v>
      </c>
      <c r="L193" s="92">
        <v>39918</v>
      </c>
      <c r="M193" s="28">
        <v>39703</v>
      </c>
      <c r="N193" s="80">
        <f t="shared" si="2"/>
        <v>39675</v>
      </c>
      <c r="O193" s="80"/>
      <c r="Q193" s="211"/>
      <c r="R193" s="80"/>
      <c r="S193" s="80"/>
      <c r="T193" s="80"/>
      <c r="U193" s="22">
        <v>9094135</v>
      </c>
      <c r="V193" s="80">
        <v>39895</v>
      </c>
      <c r="X193" s="4">
        <v>9094166</v>
      </c>
      <c r="Y193" s="2">
        <v>39665</v>
      </c>
      <c r="AA193" s="22">
        <v>9094135</v>
      </c>
      <c r="AB193" s="3" t="s">
        <v>404</v>
      </c>
      <c r="AC193" s="28">
        <v>39798</v>
      </c>
    </row>
    <row r="194" spans="1:29" x14ac:dyDescent="0.4">
      <c r="A194" s="24" t="s">
        <v>411</v>
      </c>
      <c r="B194" s="24">
        <v>0</v>
      </c>
      <c r="C194" s="24">
        <v>39675</v>
      </c>
      <c r="D194" s="22" t="s">
        <v>591</v>
      </c>
      <c r="E194" s="22">
        <v>9094136</v>
      </c>
      <c r="F194" s="22">
        <v>1010</v>
      </c>
      <c r="G194" s="22">
        <v>6</v>
      </c>
      <c r="H194" s="55" t="s">
        <v>605</v>
      </c>
      <c r="I194" s="3" t="s">
        <v>404</v>
      </c>
      <c r="J194" s="28">
        <v>39799</v>
      </c>
      <c r="K194" s="3" t="s">
        <v>404</v>
      </c>
      <c r="L194" s="92">
        <v>39918</v>
      </c>
      <c r="M194" s="28">
        <v>39703</v>
      </c>
      <c r="N194" s="80">
        <f t="shared" si="2"/>
        <v>39675</v>
      </c>
      <c r="O194" s="80"/>
      <c r="Q194" s="211"/>
      <c r="R194" s="80"/>
      <c r="S194" s="80"/>
      <c r="T194" s="80"/>
      <c r="U194" s="22">
        <v>9094136</v>
      </c>
      <c r="V194" s="80">
        <v>39895</v>
      </c>
      <c r="X194" s="4">
        <v>9094121</v>
      </c>
      <c r="Y194" s="2">
        <v>39666</v>
      </c>
      <c r="AA194" s="22">
        <v>9094136</v>
      </c>
      <c r="AB194" s="3" t="s">
        <v>404</v>
      </c>
      <c r="AC194" s="28">
        <v>39799</v>
      </c>
    </row>
    <row r="195" spans="1:29" x14ac:dyDescent="0.4">
      <c r="A195" s="24" t="s">
        <v>411</v>
      </c>
      <c r="B195" s="24">
        <v>0</v>
      </c>
      <c r="C195" s="24">
        <v>39675</v>
      </c>
      <c r="D195" s="22" t="s">
        <v>591</v>
      </c>
      <c r="E195" s="22">
        <v>9094116</v>
      </c>
      <c r="F195" s="22">
        <v>1010</v>
      </c>
      <c r="G195" s="22">
        <v>4</v>
      </c>
      <c r="H195" s="55" t="s">
        <v>605</v>
      </c>
      <c r="I195" s="3" t="s">
        <v>404</v>
      </c>
      <c r="J195" s="92">
        <v>39751</v>
      </c>
      <c r="K195" s="3" t="s">
        <v>404</v>
      </c>
      <c r="L195" s="92">
        <v>39918</v>
      </c>
      <c r="M195" s="28">
        <v>39703</v>
      </c>
      <c r="N195" s="80">
        <f t="shared" ref="N195:N249" si="3">VLOOKUP(E195,PO_Dates2009,2,FALSE)</f>
        <v>39675</v>
      </c>
      <c r="O195" s="80"/>
      <c r="Q195" s="211"/>
      <c r="R195" s="80"/>
      <c r="S195" s="80"/>
      <c r="T195" s="80"/>
      <c r="U195" s="22">
        <v>9094116</v>
      </c>
      <c r="V195" s="80">
        <v>39870</v>
      </c>
      <c r="X195" s="4">
        <v>9094122</v>
      </c>
      <c r="Y195" s="2">
        <v>39666</v>
      </c>
      <c r="AA195" s="22">
        <v>9094116</v>
      </c>
      <c r="AB195" s="3" t="s">
        <v>404</v>
      </c>
      <c r="AC195" s="9">
        <v>39751</v>
      </c>
    </row>
    <row r="196" spans="1:29" x14ac:dyDescent="0.4">
      <c r="A196" s="24" t="s">
        <v>411</v>
      </c>
      <c r="B196" s="24">
        <v>0</v>
      </c>
      <c r="C196" s="24">
        <v>39675</v>
      </c>
      <c r="D196" s="22" t="s">
        <v>591</v>
      </c>
      <c r="E196" s="22">
        <v>9094155</v>
      </c>
      <c r="F196" s="22">
        <v>1010</v>
      </c>
      <c r="G196" s="22">
        <v>8</v>
      </c>
      <c r="H196" s="55" t="s">
        <v>605</v>
      </c>
      <c r="I196" s="3" t="s">
        <v>404</v>
      </c>
      <c r="J196" s="28">
        <v>39818</v>
      </c>
      <c r="K196" s="3" t="s">
        <v>404</v>
      </c>
      <c r="L196" s="92">
        <v>39918</v>
      </c>
      <c r="M196" s="92">
        <v>39703</v>
      </c>
      <c r="N196" s="80">
        <f t="shared" si="3"/>
        <v>39675</v>
      </c>
      <c r="O196" s="80"/>
      <c r="Q196" s="211"/>
      <c r="R196" s="80"/>
      <c r="S196" s="80"/>
      <c r="T196" s="80"/>
      <c r="U196" s="22">
        <v>9094155</v>
      </c>
      <c r="V196" s="80">
        <v>39751</v>
      </c>
      <c r="X196" s="4">
        <v>9094185</v>
      </c>
      <c r="Y196" s="2">
        <v>39672</v>
      </c>
      <c r="AA196" s="22">
        <v>9094155</v>
      </c>
      <c r="AB196" s="3" t="s">
        <v>404</v>
      </c>
      <c r="AC196" s="28">
        <v>39818</v>
      </c>
    </row>
    <row r="197" spans="1:29" x14ac:dyDescent="0.4">
      <c r="A197" s="24" t="s">
        <v>411</v>
      </c>
      <c r="B197" s="24">
        <v>0</v>
      </c>
      <c r="C197" s="24">
        <v>39675</v>
      </c>
      <c r="D197" s="22" t="s">
        <v>591</v>
      </c>
      <c r="E197" s="34">
        <v>9094409</v>
      </c>
      <c r="F197" s="22">
        <v>1010</v>
      </c>
      <c r="G197" s="22">
        <v>9</v>
      </c>
      <c r="H197" s="55" t="s">
        <v>605</v>
      </c>
      <c r="I197" s="3" t="s">
        <v>404</v>
      </c>
      <c r="J197" s="28">
        <v>39903</v>
      </c>
      <c r="K197" s="3" t="s">
        <v>404</v>
      </c>
      <c r="L197" s="28">
        <v>39947</v>
      </c>
      <c r="M197" s="92">
        <v>39961</v>
      </c>
      <c r="N197" s="80">
        <f t="shared" si="3"/>
        <v>39675</v>
      </c>
      <c r="O197" s="80"/>
      <c r="Q197" s="211"/>
      <c r="R197" s="80"/>
      <c r="S197" s="80"/>
      <c r="T197" s="80"/>
      <c r="U197" s="34">
        <v>9094409</v>
      </c>
      <c r="V197" s="80">
        <v>39918</v>
      </c>
      <c r="X197" s="4">
        <v>9094186</v>
      </c>
      <c r="Y197" s="2">
        <v>39672</v>
      </c>
      <c r="AA197" s="34">
        <v>9094409</v>
      </c>
      <c r="AB197" s="3" t="s">
        <v>404</v>
      </c>
      <c r="AC197" s="28">
        <v>39903</v>
      </c>
    </row>
    <row r="198" spans="1:29" x14ac:dyDescent="0.4">
      <c r="A198" s="24" t="s">
        <v>411</v>
      </c>
      <c r="B198" s="24">
        <v>0</v>
      </c>
      <c r="C198" s="24">
        <v>39675</v>
      </c>
      <c r="D198" s="22" t="s">
        <v>591</v>
      </c>
      <c r="E198" s="34">
        <v>9094410</v>
      </c>
      <c r="F198" s="22">
        <v>1010</v>
      </c>
      <c r="G198" s="22">
        <v>10</v>
      </c>
      <c r="H198" s="55" t="s">
        <v>605</v>
      </c>
      <c r="I198" s="3" t="s">
        <v>404</v>
      </c>
      <c r="J198" s="28">
        <v>39935</v>
      </c>
      <c r="K198" s="3" t="s">
        <v>404</v>
      </c>
      <c r="L198" s="28">
        <v>39938</v>
      </c>
      <c r="M198" s="92">
        <v>39969</v>
      </c>
      <c r="N198" s="80">
        <f t="shared" si="3"/>
        <v>39675</v>
      </c>
      <c r="O198" s="80"/>
      <c r="Q198" s="211"/>
      <c r="R198" s="80"/>
      <c r="S198" s="80"/>
      <c r="T198" s="80"/>
      <c r="U198" s="34">
        <v>9094410</v>
      </c>
      <c r="V198" s="80">
        <v>39919</v>
      </c>
      <c r="X198" s="4">
        <v>9094189</v>
      </c>
      <c r="Y198" s="2">
        <v>39672</v>
      </c>
      <c r="AA198" s="34">
        <v>9094410</v>
      </c>
      <c r="AB198" s="3" t="s">
        <v>404</v>
      </c>
      <c r="AC198" s="28">
        <v>39935</v>
      </c>
    </row>
    <row r="199" spans="1:29" x14ac:dyDescent="0.4">
      <c r="A199" s="24" t="s">
        <v>3029</v>
      </c>
      <c r="B199" s="24">
        <v>39859</v>
      </c>
      <c r="C199" s="24">
        <v>39675</v>
      </c>
      <c r="D199" s="22" t="s">
        <v>1405</v>
      </c>
      <c r="E199" s="22">
        <v>9094274</v>
      </c>
      <c r="F199" s="22">
        <v>1010</v>
      </c>
      <c r="G199" s="22" t="s">
        <v>3030</v>
      </c>
      <c r="H199" s="55"/>
      <c r="I199" s="91" t="s">
        <v>406</v>
      </c>
      <c r="J199" s="94"/>
      <c r="K199" s="91" t="s">
        <v>406</v>
      </c>
      <c r="L199" s="92"/>
      <c r="M199" s="92"/>
      <c r="N199" s="80">
        <f t="shared" si="3"/>
        <v>39675</v>
      </c>
      <c r="O199" s="80"/>
      <c r="Q199" s="211"/>
      <c r="R199" s="80"/>
      <c r="S199" s="80"/>
      <c r="T199" s="80"/>
      <c r="U199" s="22">
        <v>9094274</v>
      </c>
      <c r="V199" s="80">
        <v>0</v>
      </c>
      <c r="X199" s="4">
        <v>9094191</v>
      </c>
      <c r="Y199" s="2">
        <v>39672</v>
      </c>
      <c r="AA199" s="22">
        <v>9094274</v>
      </c>
      <c r="AB199" s="38" t="s">
        <v>406</v>
      </c>
      <c r="AC199" s="44"/>
    </row>
    <row r="200" spans="1:29" x14ac:dyDescent="0.4">
      <c r="A200" s="24" t="s">
        <v>3029</v>
      </c>
      <c r="B200" s="24">
        <v>39887</v>
      </c>
      <c r="C200" s="24">
        <v>39675</v>
      </c>
      <c r="D200" s="22" t="s">
        <v>1405</v>
      </c>
      <c r="E200" s="22">
        <v>9094276</v>
      </c>
      <c r="F200" s="22">
        <v>1010</v>
      </c>
      <c r="G200" s="22" t="s">
        <v>3031</v>
      </c>
      <c r="H200" s="55"/>
      <c r="I200" s="91" t="s">
        <v>406</v>
      </c>
      <c r="J200" s="94"/>
      <c r="K200" s="91" t="s">
        <v>406</v>
      </c>
      <c r="L200" s="92"/>
      <c r="M200" s="92"/>
      <c r="N200" s="80">
        <f t="shared" si="3"/>
        <v>39675</v>
      </c>
      <c r="O200" s="80"/>
      <c r="Q200" s="211"/>
      <c r="R200" s="80"/>
      <c r="S200" s="80"/>
      <c r="T200" s="80"/>
      <c r="U200" s="22">
        <v>9094276</v>
      </c>
      <c r="V200" s="80">
        <v>0</v>
      </c>
      <c r="X200" s="4">
        <v>9094188</v>
      </c>
      <c r="Y200" s="2">
        <v>39675</v>
      </c>
      <c r="AA200" s="22">
        <v>9094276</v>
      </c>
      <c r="AB200" s="38" t="s">
        <v>406</v>
      </c>
      <c r="AC200" s="44"/>
    </row>
    <row r="201" spans="1:29" x14ac:dyDescent="0.4">
      <c r="A201" s="24" t="s">
        <v>3029</v>
      </c>
      <c r="B201" s="24">
        <v>39918</v>
      </c>
      <c r="C201" s="24">
        <v>39675</v>
      </c>
      <c r="D201" s="22" t="s">
        <v>1405</v>
      </c>
      <c r="E201" s="22">
        <v>9094384</v>
      </c>
      <c r="F201" s="22">
        <v>1010</v>
      </c>
      <c r="G201" s="22" t="s">
        <v>3032</v>
      </c>
      <c r="H201" s="55"/>
      <c r="I201" s="91" t="s">
        <v>406</v>
      </c>
      <c r="J201" s="94"/>
      <c r="K201" s="91" t="s">
        <v>406</v>
      </c>
      <c r="L201" s="92"/>
      <c r="M201" s="92"/>
      <c r="N201" s="80">
        <f t="shared" si="3"/>
        <v>39675</v>
      </c>
      <c r="O201" s="80"/>
      <c r="Q201" s="211"/>
      <c r="R201" s="80"/>
      <c r="S201" s="80"/>
      <c r="T201" s="80"/>
      <c r="U201" s="22">
        <v>9094384</v>
      </c>
      <c r="V201" s="80">
        <v>0</v>
      </c>
      <c r="X201" s="4">
        <v>9094167</v>
      </c>
      <c r="Y201" s="2">
        <v>39665</v>
      </c>
      <c r="AA201" s="22">
        <v>9094384</v>
      </c>
      <c r="AB201" s="38" t="s">
        <v>406</v>
      </c>
      <c r="AC201" s="44"/>
    </row>
    <row r="202" spans="1:29" x14ac:dyDescent="0.4">
      <c r="A202" s="24" t="s">
        <v>3029</v>
      </c>
      <c r="B202" s="24">
        <v>39887</v>
      </c>
      <c r="C202" s="24">
        <v>39675</v>
      </c>
      <c r="D202" s="22" t="s">
        <v>1405</v>
      </c>
      <c r="E202" s="22">
        <v>9094362</v>
      </c>
      <c r="F202" s="22">
        <v>1010</v>
      </c>
      <c r="G202" s="22" t="s">
        <v>3033</v>
      </c>
      <c r="H202" s="55"/>
      <c r="I202" s="91" t="s">
        <v>406</v>
      </c>
      <c r="J202" s="94"/>
      <c r="K202" s="91" t="s">
        <v>406</v>
      </c>
      <c r="L202" s="92"/>
      <c r="M202" s="92"/>
      <c r="N202" s="80">
        <f t="shared" si="3"/>
        <v>39675</v>
      </c>
      <c r="O202" s="80"/>
      <c r="Q202" s="211"/>
      <c r="R202" s="80"/>
      <c r="S202" s="80"/>
      <c r="T202" s="80"/>
      <c r="U202" s="22">
        <v>9094362</v>
      </c>
      <c r="V202" s="80">
        <v>0</v>
      </c>
      <c r="X202" s="4">
        <v>9094178</v>
      </c>
      <c r="Y202" s="2">
        <v>39665</v>
      </c>
      <c r="AA202" s="22">
        <v>9094362</v>
      </c>
      <c r="AB202" s="38" t="s">
        <v>406</v>
      </c>
      <c r="AC202" s="44"/>
    </row>
    <row r="203" spans="1:29" x14ac:dyDescent="0.4">
      <c r="A203" s="24" t="s">
        <v>3029</v>
      </c>
      <c r="B203" s="24">
        <v>39859</v>
      </c>
      <c r="C203" s="24">
        <v>39675</v>
      </c>
      <c r="D203" s="22" t="s">
        <v>1405</v>
      </c>
      <c r="E203" s="34">
        <v>9094272</v>
      </c>
      <c r="F203" s="22">
        <v>1010</v>
      </c>
      <c r="G203" s="22" t="s">
        <v>3034</v>
      </c>
      <c r="H203" s="55"/>
      <c r="I203" s="91" t="s">
        <v>406</v>
      </c>
      <c r="J203" s="94"/>
      <c r="K203" s="91" t="s">
        <v>406</v>
      </c>
      <c r="L203" s="92"/>
      <c r="M203" s="92"/>
      <c r="N203" s="80">
        <f t="shared" si="3"/>
        <v>39675</v>
      </c>
      <c r="O203" s="80"/>
      <c r="Q203" s="211"/>
      <c r="R203" s="80"/>
      <c r="S203" s="80"/>
      <c r="T203" s="80"/>
      <c r="U203" s="34">
        <v>9094272</v>
      </c>
      <c r="V203" s="80">
        <v>0</v>
      </c>
      <c r="X203" s="4">
        <v>9094202</v>
      </c>
      <c r="Y203" s="2">
        <v>39672</v>
      </c>
      <c r="AA203" s="34">
        <v>9094272</v>
      </c>
      <c r="AB203" s="38" t="s">
        <v>406</v>
      </c>
      <c r="AC203" s="44"/>
    </row>
    <row r="204" spans="1:29" x14ac:dyDescent="0.4">
      <c r="A204" s="24" t="s">
        <v>3029</v>
      </c>
      <c r="B204" s="24">
        <v>39859</v>
      </c>
      <c r="C204" s="24">
        <v>0</v>
      </c>
      <c r="D204" s="22" t="s">
        <v>1405</v>
      </c>
      <c r="E204" s="34">
        <v>9094344</v>
      </c>
      <c r="F204" s="22">
        <v>715</v>
      </c>
      <c r="G204" s="22">
        <v>5</v>
      </c>
      <c r="H204" s="55"/>
      <c r="I204" s="3" t="s">
        <v>406</v>
      </c>
      <c r="J204" s="42"/>
      <c r="K204" s="3" t="s">
        <v>406</v>
      </c>
      <c r="L204" s="28"/>
      <c r="M204" s="28"/>
      <c r="N204" s="80">
        <f t="shared" si="3"/>
        <v>0</v>
      </c>
      <c r="O204" s="80"/>
      <c r="Q204" s="211"/>
      <c r="R204" s="80"/>
      <c r="S204" s="80"/>
      <c r="T204" s="80"/>
      <c r="U204" s="34">
        <v>9094344</v>
      </c>
      <c r="V204" s="80">
        <v>0</v>
      </c>
      <c r="X204" s="4">
        <v>9094247</v>
      </c>
      <c r="Y204" s="2">
        <v>39665</v>
      </c>
      <c r="AA204" s="34">
        <v>9094344</v>
      </c>
      <c r="AB204" s="3" t="s">
        <v>406</v>
      </c>
      <c r="AC204" s="42"/>
    </row>
    <row r="205" spans="1:29" x14ac:dyDescent="0.4">
      <c r="A205" s="24" t="s">
        <v>3029</v>
      </c>
      <c r="B205" s="24">
        <v>39859</v>
      </c>
      <c r="C205" s="24">
        <v>0</v>
      </c>
      <c r="D205" s="22" t="s">
        <v>1405</v>
      </c>
      <c r="E205" s="22">
        <v>9094345</v>
      </c>
      <c r="F205" s="22">
        <v>1010</v>
      </c>
      <c r="G205" s="22">
        <v>6</v>
      </c>
      <c r="H205" s="55"/>
      <c r="I205" s="3" t="s">
        <v>406</v>
      </c>
      <c r="J205" s="42"/>
      <c r="K205" s="3" t="s">
        <v>406</v>
      </c>
      <c r="L205" s="28"/>
      <c r="M205" s="28"/>
      <c r="N205" s="80">
        <f t="shared" si="3"/>
        <v>0</v>
      </c>
      <c r="O205" s="80"/>
      <c r="Q205" s="211"/>
      <c r="R205" s="80"/>
      <c r="S205" s="80"/>
      <c r="T205" s="80"/>
      <c r="U205" s="22">
        <v>9094345</v>
      </c>
      <c r="V205" s="80">
        <v>0</v>
      </c>
      <c r="X205" s="4">
        <v>9094248</v>
      </c>
      <c r="Y205" s="2">
        <v>39665</v>
      </c>
      <c r="AA205" s="22">
        <v>9094345</v>
      </c>
      <c r="AB205" s="3" t="s">
        <v>406</v>
      </c>
      <c r="AC205" s="42"/>
    </row>
    <row r="206" spans="1:29" x14ac:dyDescent="0.4">
      <c r="A206" s="24" t="s">
        <v>3029</v>
      </c>
      <c r="B206" s="24">
        <v>0</v>
      </c>
      <c r="C206" s="24" t="s">
        <v>1030</v>
      </c>
      <c r="D206" s="22" t="s">
        <v>1405</v>
      </c>
      <c r="E206" s="22" t="s">
        <v>540</v>
      </c>
      <c r="F206" s="22">
        <v>1210</v>
      </c>
      <c r="G206" s="22" t="s">
        <v>3035</v>
      </c>
      <c r="H206" s="55" t="s">
        <v>802</v>
      </c>
      <c r="I206" s="91" t="s">
        <v>406</v>
      </c>
      <c r="J206" s="94"/>
      <c r="K206" s="91" t="s">
        <v>406</v>
      </c>
      <c r="L206" s="92"/>
      <c r="M206" s="92"/>
      <c r="N206" s="80" t="str">
        <f t="shared" si="3"/>
        <v>Verbal</v>
      </c>
      <c r="O206" s="80"/>
      <c r="Q206" s="211"/>
      <c r="R206" s="80"/>
      <c r="S206" s="80"/>
      <c r="T206" s="80"/>
      <c r="U206" s="22" t="s">
        <v>540</v>
      </c>
      <c r="V206" s="80">
        <v>0</v>
      </c>
      <c r="X206" s="4">
        <v>9094315</v>
      </c>
      <c r="Y206" s="2">
        <v>39668</v>
      </c>
      <c r="AA206" s="22" t="s">
        <v>540</v>
      </c>
      <c r="AB206" s="38" t="s">
        <v>406</v>
      </c>
      <c r="AC206" s="44"/>
    </row>
    <row r="207" spans="1:29" x14ac:dyDescent="0.4">
      <c r="A207" s="24" t="s">
        <v>3029</v>
      </c>
      <c r="B207" s="24">
        <v>0</v>
      </c>
      <c r="C207" s="24" t="s">
        <v>1030</v>
      </c>
      <c r="D207" s="22" t="s">
        <v>1405</v>
      </c>
      <c r="E207" s="22" t="s">
        <v>539</v>
      </c>
      <c r="F207" s="22">
        <v>1210</v>
      </c>
      <c r="G207" s="22" t="s">
        <v>3035</v>
      </c>
      <c r="H207" s="55" t="s">
        <v>802</v>
      </c>
      <c r="I207" s="91" t="s">
        <v>406</v>
      </c>
      <c r="J207" s="94"/>
      <c r="K207" s="91" t="s">
        <v>406</v>
      </c>
      <c r="L207" s="92"/>
      <c r="M207" s="92"/>
      <c r="N207" s="80" t="str">
        <f t="shared" si="3"/>
        <v>Verbal</v>
      </c>
      <c r="O207" s="80"/>
      <c r="Q207" s="211"/>
      <c r="R207" s="80"/>
      <c r="S207" s="80"/>
      <c r="T207" s="80"/>
      <c r="U207" s="22" t="s">
        <v>539</v>
      </c>
      <c r="V207" s="80">
        <v>0</v>
      </c>
      <c r="X207" s="4">
        <v>9094316</v>
      </c>
      <c r="Y207" s="2">
        <v>39668</v>
      </c>
      <c r="AA207" s="22" t="s">
        <v>539</v>
      </c>
      <c r="AB207" s="38" t="s">
        <v>406</v>
      </c>
      <c r="AC207" s="44"/>
    </row>
    <row r="208" spans="1:29" x14ac:dyDescent="0.4">
      <c r="A208" s="24" t="s">
        <v>550</v>
      </c>
      <c r="B208" s="24">
        <v>0</v>
      </c>
      <c r="C208" s="24">
        <v>0</v>
      </c>
      <c r="D208" s="22" t="s">
        <v>576</v>
      </c>
      <c r="E208" s="155">
        <v>9094439</v>
      </c>
      <c r="F208" s="22">
        <v>1010</v>
      </c>
      <c r="G208" s="204" t="s">
        <v>3036</v>
      </c>
      <c r="H208" s="205" t="s">
        <v>3037</v>
      </c>
      <c r="I208" s="205" t="s">
        <v>404</v>
      </c>
      <c r="J208" s="206">
        <v>40249</v>
      </c>
      <c r="K208" s="205" t="s">
        <v>404</v>
      </c>
      <c r="L208" s="207">
        <v>40249</v>
      </c>
      <c r="M208" s="92"/>
      <c r="N208" s="80">
        <f t="shared" si="3"/>
        <v>39696</v>
      </c>
      <c r="O208" s="80"/>
      <c r="Q208" s="211"/>
      <c r="R208" s="80"/>
      <c r="S208" s="80"/>
      <c r="T208" s="80"/>
      <c r="U208" s="33">
        <v>9094439</v>
      </c>
      <c r="V208" s="80">
        <v>39857</v>
      </c>
      <c r="X208" s="4">
        <v>9094317</v>
      </c>
      <c r="Y208" s="2">
        <v>39668</v>
      </c>
      <c r="AA208" s="33">
        <v>9094439</v>
      </c>
      <c r="AB208" s="117" t="s">
        <v>404</v>
      </c>
      <c r="AC208" s="118">
        <v>40249</v>
      </c>
    </row>
    <row r="209" spans="1:29" x14ac:dyDescent="0.4">
      <c r="A209" s="24" t="s">
        <v>550</v>
      </c>
      <c r="B209" s="24">
        <v>39736</v>
      </c>
      <c r="C209" s="24">
        <v>39668</v>
      </c>
      <c r="D209" s="22" t="s">
        <v>576</v>
      </c>
      <c r="E209" s="22">
        <v>9094209</v>
      </c>
      <c r="F209" s="22">
        <v>715</v>
      </c>
      <c r="G209" s="22">
        <v>1533</v>
      </c>
      <c r="H209" s="55" t="s">
        <v>1031</v>
      </c>
      <c r="I209" s="3" t="s">
        <v>404</v>
      </c>
      <c r="J209" s="43">
        <v>39833</v>
      </c>
      <c r="K209" s="3" t="s">
        <v>404</v>
      </c>
      <c r="L209" s="1"/>
      <c r="M209" s="28"/>
      <c r="N209" s="80">
        <f t="shared" si="3"/>
        <v>39668</v>
      </c>
      <c r="O209" s="80"/>
      <c r="Q209" s="211"/>
      <c r="R209" s="80"/>
      <c r="S209" s="80"/>
      <c r="T209" s="80"/>
      <c r="U209" s="22">
        <v>9094209</v>
      </c>
      <c r="V209" s="80">
        <v>39825</v>
      </c>
      <c r="X209" s="4">
        <v>9094312</v>
      </c>
      <c r="Y209" s="2">
        <v>39668</v>
      </c>
      <c r="AA209" s="22">
        <v>9094209</v>
      </c>
      <c r="AB209" s="3" t="s">
        <v>404</v>
      </c>
      <c r="AC209" s="43">
        <v>39833</v>
      </c>
    </row>
    <row r="210" spans="1:29" x14ac:dyDescent="0.4">
      <c r="A210" s="24" t="s">
        <v>550</v>
      </c>
      <c r="B210" s="24"/>
      <c r="C210" s="24"/>
      <c r="D210" s="65" t="s">
        <v>576</v>
      </c>
      <c r="E210" s="65">
        <v>9095000</v>
      </c>
      <c r="F210" s="22">
        <v>1210</v>
      </c>
      <c r="G210" s="22"/>
      <c r="H210" s="55" t="s">
        <v>3038</v>
      </c>
      <c r="I210" s="1" t="s">
        <v>404</v>
      </c>
      <c r="J210" s="43">
        <v>40130</v>
      </c>
      <c r="L210" s="1"/>
      <c r="M210" s="28"/>
      <c r="N210" s="80" t="e">
        <f t="shared" si="3"/>
        <v>#N/A</v>
      </c>
      <c r="O210" s="80"/>
      <c r="Q210" s="211"/>
      <c r="R210" s="80"/>
      <c r="S210" s="80"/>
      <c r="T210" s="80"/>
      <c r="U210" s="65">
        <v>9095000</v>
      </c>
      <c r="V210" s="80">
        <v>0</v>
      </c>
      <c r="X210" s="4">
        <v>9094313</v>
      </c>
      <c r="Y210" s="2">
        <v>39668</v>
      </c>
      <c r="AA210" s="65">
        <v>9095000</v>
      </c>
      <c r="AB210" s="1" t="s">
        <v>404</v>
      </c>
      <c r="AC210" s="43">
        <v>40130</v>
      </c>
    </row>
    <row r="211" spans="1:29" x14ac:dyDescent="0.4">
      <c r="A211" s="24" t="s">
        <v>550</v>
      </c>
      <c r="B211" s="24">
        <v>39736</v>
      </c>
      <c r="C211" s="24">
        <v>39668</v>
      </c>
      <c r="D211" s="22" t="s">
        <v>576</v>
      </c>
      <c r="E211" s="22">
        <v>9094208</v>
      </c>
      <c r="F211" s="22">
        <v>715</v>
      </c>
      <c r="G211" s="22">
        <v>1532</v>
      </c>
      <c r="H211" s="55" t="s">
        <v>1032</v>
      </c>
      <c r="I211" s="3" t="s">
        <v>404</v>
      </c>
      <c r="J211" s="43">
        <v>39884</v>
      </c>
      <c r="K211" s="3" t="s">
        <v>404</v>
      </c>
      <c r="L211" s="43">
        <v>39884</v>
      </c>
      <c r="M211" s="28"/>
      <c r="N211" s="80">
        <f t="shared" si="3"/>
        <v>39668</v>
      </c>
      <c r="O211" s="80"/>
      <c r="Q211" s="211"/>
      <c r="R211" s="80"/>
      <c r="S211" s="80"/>
      <c r="T211" s="80"/>
      <c r="U211" s="22">
        <v>9094208</v>
      </c>
      <c r="V211" s="80">
        <v>39825</v>
      </c>
      <c r="X211" s="4">
        <v>9094407</v>
      </c>
      <c r="Y211" s="2">
        <v>39675</v>
      </c>
      <c r="AA211" s="22">
        <v>9094208</v>
      </c>
      <c r="AB211" s="3" t="s">
        <v>404</v>
      </c>
      <c r="AC211" s="43">
        <v>39884</v>
      </c>
    </row>
    <row r="212" spans="1:29" x14ac:dyDescent="0.4">
      <c r="A212" s="24" t="s">
        <v>550</v>
      </c>
      <c r="B212" s="24">
        <v>39828</v>
      </c>
      <c r="C212" s="24">
        <v>39681</v>
      </c>
      <c r="D212" s="22" t="s">
        <v>576</v>
      </c>
      <c r="E212" s="22">
        <v>9094419</v>
      </c>
      <c r="F212" s="22">
        <v>715</v>
      </c>
      <c r="G212" s="22">
        <v>1555</v>
      </c>
      <c r="H212" s="208" t="s">
        <v>3039</v>
      </c>
      <c r="I212" s="49" t="s">
        <v>404</v>
      </c>
      <c r="J212" s="43">
        <v>40106</v>
      </c>
      <c r="K212" s="49" t="s">
        <v>404</v>
      </c>
      <c r="L212" s="209">
        <v>40106</v>
      </c>
      <c r="M212" s="92"/>
      <c r="N212" s="80">
        <f t="shared" si="3"/>
        <v>39681</v>
      </c>
      <c r="O212" s="80"/>
      <c r="Q212" s="211"/>
      <c r="R212" s="80"/>
      <c r="S212" s="80"/>
      <c r="T212" s="80"/>
      <c r="U212" s="22">
        <v>9094419</v>
      </c>
      <c r="V212" s="80">
        <v>39878</v>
      </c>
      <c r="X212" s="4">
        <v>9094408</v>
      </c>
      <c r="Y212" s="2">
        <v>39675</v>
      </c>
      <c r="AA212" s="22">
        <v>9094419</v>
      </c>
      <c r="AB212" s="49" t="s">
        <v>404</v>
      </c>
      <c r="AC212" s="43">
        <v>40106</v>
      </c>
    </row>
    <row r="213" spans="1:29" x14ac:dyDescent="0.4">
      <c r="A213" s="24" t="s">
        <v>550</v>
      </c>
      <c r="B213" s="24">
        <v>39706</v>
      </c>
      <c r="C213" s="24">
        <v>39668</v>
      </c>
      <c r="D213" s="22" t="s">
        <v>576</v>
      </c>
      <c r="E213" s="22">
        <v>9094042</v>
      </c>
      <c r="F213" s="22">
        <v>715</v>
      </c>
      <c r="G213" s="22">
        <v>1518</v>
      </c>
      <c r="H213" s="45" t="s">
        <v>1054</v>
      </c>
      <c r="I213" s="45" t="s">
        <v>404</v>
      </c>
      <c r="J213" s="46">
        <v>39793</v>
      </c>
      <c r="K213" s="45" t="s">
        <v>404</v>
      </c>
      <c r="L213" s="46">
        <v>39793</v>
      </c>
      <c r="M213" s="28"/>
      <c r="N213" s="80">
        <f t="shared" si="3"/>
        <v>39668</v>
      </c>
      <c r="O213" s="80"/>
      <c r="Q213" s="211"/>
      <c r="R213" s="80"/>
      <c r="S213" s="80"/>
      <c r="T213" s="80"/>
      <c r="U213" s="22">
        <v>9094042</v>
      </c>
      <c r="V213" s="80">
        <v>39703</v>
      </c>
      <c r="X213" s="4">
        <v>9094204</v>
      </c>
      <c r="Y213" s="2">
        <v>39668</v>
      </c>
      <c r="AA213" s="22">
        <v>9094042</v>
      </c>
      <c r="AB213" s="45" t="s">
        <v>404</v>
      </c>
      <c r="AC213" s="46">
        <v>39793</v>
      </c>
    </row>
    <row r="214" spans="1:29" x14ac:dyDescent="0.4">
      <c r="A214" s="24" t="s">
        <v>550</v>
      </c>
      <c r="B214" s="24">
        <v>39706</v>
      </c>
      <c r="C214" s="24">
        <v>39668</v>
      </c>
      <c r="D214" s="22" t="s">
        <v>576</v>
      </c>
      <c r="E214" s="22">
        <v>9094043</v>
      </c>
      <c r="F214" s="22">
        <v>715</v>
      </c>
      <c r="G214" s="22">
        <v>1519</v>
      </c>
      <c r="H214" s="52" t="s">
        <v>1055</v>
      </c>
      <c r="I214" s="182" t="s">
        <v>404</v>
      </c>
      <c r="J214" s="54">
        <v>39836</v>
      </c>
      <c r="K214" s="182" t="s">
        <v>404</v>
      </c>
      <c r="L214" s="184"/>
      <c r="M214" s="28"/>
      <c r="N214" s="80">
        <f t="shared" si="3"/>
        <v>39668</v>
      </c>
      <c r="O214" s="80"/>
      <c r="Q214" s="211"/>
      <c r="R214" s="80"/>
      <c r="S214" s="80"/>
      <c r="T214" s="80"/>
      <c r="U214" s="22">
        <v>9094043</v>
      </c>
      <c r="V214" s="80">
        <v>39703</v>
      </c>
      <c r="X214" s="187">
        <v>9094180</v>
      </c>
      <c r="Y214" s="2">
        <v>39668</v>
      </c>
      <c r="AA214" s="22">
        <v>9094043</v>
      </c>
      <c r="AB214" s="182" t="s">
        <v>404</v>
      </c>
      <c r="AC214" s="54">
        <v>39836</v>
      </c>
    </row>
    <row r="215" spans="1:29" x14ac:dyDescent="0.4">
      <c r="A215" s="24" t="s">
        <v>550</v>
      </c>
      <c r="B215" s="24">
        <v>39767</v>
      </c>
      <c r="C215" s="24">
        <v>39668</v>
      </c>
      <c r="D215" s="22" t="s">
        <v>576</v>
      </c>
      <c r="E215" s="22">
        <v>9094169</v>
      </c>
      <c r="F215" s="22">
        <v>715</v>
      </c>
      <c r="G215" s="22" t="s">
        <v>1056</v>
      </c>
      <c r="H215" s="55" t="s">
        <v>1057</v>
      </c>
      <c r="I215" s="3" t="s">
        <v>404</v>
      </c>
      <c r="J215" s="43"/>
      <c r="K215" s="3" t="s">
        <v>404</v>
      </c>
      <c r="L215" s="1"/>
      <c r="M215" s="28"/>
      <c r="N215" s="80">
        <f t="shared" si="3"/>
        <v>39668</v>
      </c>
      <c r="O215" s="80"/>
      <c r="Q215" s="211"/>
      <c r="R215" s="80"/>
      <c r="S215" s="80"/>
      <c r="T215" s="80"/>
      <c r="U215" s="22">
        <v>9094169</v>
      </c>
      <c r="V215" s="80">
        <v>39825</v>
      </c>
      <c r="X215" s="4">
        <v>9094179</v>
      </c>
      <c r="Y215" s="2">
        <v>39675</v>
      </c>
      <c r="AA215" s="22">
        <v>9094169</v>
      </c>
      <c r="AB215" s="3" t="s">
        <v>404</v>
      </c>
      <c r="AC215" s="43"/>
    </row>
    <row r="216" spans="1:29" x14ac:dyDescent="0.4">
      <c r="A216" s="24" t="s">
        <v>550</v>
      </c>
      <c r="B216" s="24">
        <v>39767</v>
      </c>
      <c r="C216" s="24">
        <v>39668</v>
      </c>
      <c r="D216" s="22" t="s">
        <v>576</v>
      </c>
      <c r="E216" s="65">
        <v>9094220</v>
      </c>
      <c r="F216" s="22">
        <v>715</v>
      </c>
      <c r="G216" s="22">
        <v>1523</v>
      </c>
      <c r="H216" s="55" t="s">
        <v>1058</v>
      </c>
      <c r="I216" s="3" t="s">
        <v>404</v>
      </c>
      <c r="J216" s="43">
        <v>39967</v>
      </c>
      <c r="K216" s="3" t="s">
        <v>404</v>
      </c>
      <c r="L216" s="62">
        <v>39967</v>
      </c>
      <c r="M216" s="28"/>
      <c r="N216" s="80">
        <f t="shared" si="3"/>
        <v>39668</v>
      </c>
      <c r="O216" s="80"/>
      <c r="Q216" s="211"/>
      <c r="R216" s="80"/>
      <c r="S216" s="80"/>
      <c r="T216" s="80"/>
      <c r="U216" s="65">
        <v>9094220</v>
      </c>
      <c r="V216" s="80">
        <v>39825</v>
      </c>
      <c r="X216" s="4">
        <v>9094358</v>
      </c>
      <c r="Y216" s="2">
        <v>39685</v>
      </c>
      <c r="AA216" s="65">
        <v>9094220</v>
      </c>
      <c r="AB216" s="3" t="s">
        <v>404</v>
      </c>
      <c r="AC216" s="43">
        <v>39967</v>
      </c>
    </row>
    <row r="217" spans="1:29" x14ac:dyDescent="0.4">
      <c r="A217" s="24" t="s">
        <v>550</v>
      </c>
      <c r="B217" s="24">
        <v>39706</v>
      </c>
      <c r="C217" s="24">
        <v>39668</v>
      </c>
      <c r="D217" s="22" t="s">
        <v>576</v>
      </c>
      <c r="E217" s="22">
        <v>9094141</v>
      </c>
      <c r="F217" s="22">
        <v>1010</v>
      </c>
      <c r="G217" s="22" t="s">
        <v>1059</v>
      </c>
      <c r="H217" s="55" t="s">
        <v>1060</v>
      </c>
      <c r="I217" s="3" t="s">
        <v>404</v>
      </c>
      <c r="J217" s="43">
        <v>39813</v>
      </c>
      <c r="K217" s="3" t="s">
        <v>404</v>
      </c>
      <c r="L217" s="1"/>
      <c r="M217" s="28"/>
      <c r="N217" s="80">
        <f t="shared" si="3"/>
        <v>39668</v>
      </c>
      <c r="O217" s="80"/>
      <c r="Q217" s="211"/>
      <c r="R217" s="80"/>
      <c r="S217" s="80"/>
      <c r="T217" s="80"/>
      <c r="U217" s="22">
        <v>9094141</v>
      </c>
      <c r="V217" s="80">
        <v>39791</v>
      </c>
      <c r="X217" s="4">
        <v>9094267</v>
      </c>
      <c r="Y217" s="2">
        <v>39675</v>
      </c>
      <c r="AA217" s="22">
        <v>9094141</v>
      </c>
      <c r="AB217" s="3" t="s">
        <v>404</v>
      </c>
      <c r="AC217" s="43">
        <v>39813</v>
      </c>
    </row>
    <row r="218" spans="1:29" x14ac:dyDescent="0.4">
      <c r="A218" s="24" t="s">
        <v>550</v>
      </c>
      <c r="B218" s="24">
        <v>39767</v>
      </c>
      <c r="C218" s="24">
        <v>39668</v>
      </c>
      <c r="D218" s="22" t="s">
        <v>576</v>
      </c>
      <c r="E218" s="22">
        <v>9094221</v>
      </c>
      <c r="F218" s="22">
        <v>715</v>
      </c>
      <c r="G218" s="22">
        <v>1535</v>
      </c>
      <c r="H218" s="55" t="s">
        <v>1061</v>
      </c>
      <c r="I218" s="55" t="s">
        <v>404</v>
      </c>
      <c r="J218" s="43">
        <v>39722</v>
      </c>
      <c r="K218" s="55" t="s">
        <v>404</v>
      </c>
      <c r="L218" s="55"/>
      <c r="M218" s="28"/>
      <c r="N218" s="80">
        <f t="shared" si="3"/>
        <v>39668</v>
      </c>
      <c r="O218" s="80"/>
      <c r="Q218" s="211"/>
      <c r="R218" s="80"/>
      <c r="S218" s="80"/>
      <c r="T218" s="80"/>
      <c r="U218" s="22">
        <v>9094221</v>
      </c>
      <c r="V218" s="80">
        <v>39825</v>
      </c>
      <c r="X218" s="4">
        <v>9094359</v>
      </c>
      <c r="Y218" s="2">
        <v>39696</v>
      </c>
      <c r="AA218" s="22">
        <v>9094221</v>
      </c>
      <c r="AB218" s="4" t="s">
        <v>404</v>
      </c>
      <c r="AC218" s="43">
        <v>39722</v>
      </c>
    </row>
    <row r="219" spans="1:29" x14ac:dyDescent="0.4">
      <c r="A219" s="24" t="s">
        <v>550</v>
      </c>
      <c r="B219" s="24">
        <v>39767</v>
      </c>
      <c r="C219" s="24">
        <v>39668</v>
      </c>
      <c r="D219" s="22" t="s">
        <v>576</v>
      </c>
      <c r="E219" s="22">
        <v>9094253</v>
      </c>
      <c r="F219" s="22">
        <v>1010</v>
      </c>
      <c r="G219" s="22">
        <v>1543</v>
      </c>
      <c r="H219" s="55" t="s">
        <v>1062</v>
      </c>
      <c r="I219" s="55" t="s">
        <v>404</v>
      </c>
      <c r="J219" s="43">
        <v>39826</v>
      </c>
      <c r="K219" s="55" t="s">
        <v>404</v>
      </c>
      <c r="L219" s="55"/>
      <c r="M219" s="28"/>
      <c r="N219" s="80">
        <f t="shared" si="3"/>
        <v>39668</v>
      </c>
      <c r="O219" s="80"/>
      <c r="Q219" s="211"/>
      <c r="R219" s="80"/>
      <c r="S219" s="80"/>
      <c r="T219" s="80"/>
      <c r="U219" s="22">
        <v>9094253</v>
      </c>
      <c r="V219" s="80">
        <v>39826</v>
      </c>
      <c r="X219" s="4">
        <v>9094270</v>
      </c>
      <c r="Y219" s="2">
        <v>39675</v>
      </c>
      <c r="AA219" s="22">
        <v>9094253</v>
      </c>
      <c r="AB219" s="4" t="s">
        <v>404</v>
      </c>
      <c r="AC219" s="43">
        <v>39826</v>
      </c>
    </row>
    <row r="220" spans="1:29" x14ac:dyDescent="0.4">
      <c r="A220" s="24" t="s">
        <v>550</v>
      </c>
      <c r="B220" s="24">
        <v>39828</v>
      </c>
      <c r="C220" s="24">
        <v>39668</v>
      </c>
      <c r="D220" s="22" t="s">
        <v>576</v>
      </c>
      <c r="E220" s="22">
        <v>9094311</v>
      </c>
      <c r="F220" s="22">
        <v>715</v>
      </c>
      <c r="G220" s="22">
        <v>1524</v>
      </c>
      <c r="H220" s="55" t="s">
        <v>1063</v>
      </c>
      <c r="I220" s="55" t="s">
        <v>404</v>
      </c>
      <c r="J220" s="43">
        <v>39823</v>
      </c>
      <c r="K220" s="55" t="s">
        <v>404</v>
      </c>
      <c r="L220" s="71">
        <v>39990</v>
      </c>
      <c r="M220" s="28"/>
      <c r="N220" s="80">
        <f t="shared" si="3"/>
        <v>39668</v>
      </c>
      <c r="O220" s="80"/>
      <c r="Q220" s="211"/>
      <c r="R220" s="80"/>
      <c r="S220" s="80"/>
      <c r="T220" s="80"/>
      <c r="U220" s="22">
        <v>9094311</v>
      </c>
      <c r="V220" s="80">
        <v>39826</v>
      </c>
      <c r="X220" s="4">
        <v>9094217</v>
      </c>
      <c r="Y220" s="2">
        <v>39668</v>
      </c>
      <c r="AA220" s="22">
        <v>9094311</v>
      </c>
      <c r="AB220" s="4" t="s">
        <v>404</v>
      </c>
      <c r="AC220" s="43">
        <v>39823</v>
      </c>
    </row>
    <row r="221" spans="1:29" x14ac:dyDescent="0.4">
      <c r="A221" s="24" t="s">
        <v>550</v>
      </c>
      <c r="B221" s="24">
        <v>39859</v>
      </c>
      <c r="C221" s="24">
        <v>39668</v>
      </c>
      <c r="D221" s="22" t="s">
        <v>576</v>
      </c>
      <c r="E221" s="22">
        <v>9094339</v>
      </c>
      <c r="F221" s="22">
        <v>715</v>
      </c>
      <c r="G221" s="22">
        <v>1537</v>
      </c>
      <c r="H221" s="55" t="s">
        <v>1064</v>
      </c>
      <c r="I221" s="91" t="s">
        <v>404</v>
      </c>
      <c r="J221" s="43">
        <v>39917</v>
      </c>
      <c r="K221" s="91" t="s">
        <v>404</v>
      </c>
      <c r="L221" s="62">
        <v>39917</v>
      </c>
      <c r="M221" s="92"/>
      <c r="N221" s="80">
        <f t="shared" si="3"/>
        <v>39668</v>
      </c>
      <c r="O221" s="80"/>
      <c r="Q221" s="211"/>
      <c r="R221" s="80"/>
      <c r="S221" s="80"/>
      <c r="T221" s="80"/>
      <c r="U221" s="22">
        <v>9094339</v>
      </c>
      <c r="V221" s="80">
        <v>39911</v>
      </c>
      <c r="X221" s="4">
        <v>9094146</v>
      </c>
      <c r="Y221" s="2">
        <v>39668</v>
      </c>
      <c r="AA221" s="22">
        <v>9094339</v>
      </c>
      <c r="AB221" s="38" t="s">
        <v>404</v>
      </c>
      <c r="AC221" s="43">
        <v>39917</v>
      </c>
    </row>
    <row r="222" spans="1:29" x14ac:dyDescent="0.4">
      <c r="A222" s="24" t="s">
        <v>550</v>
      </c>
      <c r="B222" s="24">
        <v>39736</v>
      </c>
      <c r="C222" s="24">
        <v>39668</v>
      </c>
      <c r="D222" s="22" t="s">
        <v>576</v>
      </c>
      <c r="E222" s="22">
        <v>9094200</v>
      </c>
      <c r="F222" s="22">
        <v>715</v>
      </c>
      <c r="G222" s="22" t="s">
        <v>1065</v>
      </c>
      <c r="H222" s="55" t="s">
        <v>1066</v>
      </c>
      <c r="I222" s="3" t="s">
        <v>404</v>
      </c>
      <c r="J222" s="43">
        <v>39782</v>
      </c>
      <c r="K222" s="3" t="s">
        <v>404</v>
      </c>
      <c r="L222" s="1"/>
      <c r="M222" s="28"/>
      <c r="N222" s="80">
        <f t="shared" si="3"/>
        <v>39668</v>
      </c>
      <c r="O222" s="80"/>
      <c r="Q222" s="211"/>
      <c r="R222" s="80"/>
      <c r="S222" s="80"/>
      <c r="T222" s="80"/>
      <c r="U222" s="22">
        <v>9094200</v>
      </c>
      <c r="V222" s="80">
        <v>39793</v>
      </c>
      <c r="X222" s="4">
        <v>9094203</v>
      </c>
      <c r="Y222" s="2">
        <v>39672</v>
      </c>
      <c r="AA222" s="22">
        <v>9094200</v>
      </c>
      <c r="AB222" s="3" t="s">
        <v>404</v>
      </c>
      <c r="AC222" s="43">
        <v>39782</v>
      </c>
    </row>
    <row r="223" spans="1:29" x14ac:dyDescent="0.4">
      <c r="A223" s="24" t="s">
        <v>550</v>
      </c>
      <c r="B223" s="24">
        <v>39828</v>
      </c>
      <c r="C223" s="24">
        <v>39668</v>
      </c>
      <c r="D223" s="22" t="s">
        <v>576</v>
      </c>
      <c r="E223" s="22">
        <v>9094314</v>
      </c>
      <c r="F223" s="22">
        <v>1010</v>
      </c>
      <c r="G223" s="22">
        <v>1527</v>
      </c>
      <c r="H223" s="55" t="s">
        <v>1067</v>
      </c>
      <c r="I223" s="55" t="s">
        <v>404</v>
      </c>
      <c r="J223" s="43">
        <v>40003</v>
      </c>
      <c r="K223" s="55" t="s">
        <v>404</v>
      </c>
      <c r="L223" s="93">
        <v>40001</v>
      </c>
      <c r="M223" s="92"/>
      <c r="N223" s="80">
        <f t="shared" si="3"/>
        <v>39668</v>
      </c>
      <c r="O223" s="80"/>
      <c r="Q223" s="211"/>
      <c r="R223" s="80"/>
      <c r="S223" s="80"/>
      <c r="T223" s="80"/>
      <c r="U223" s="22">
        <v>9094314</v>
      </c>
      <c r="V223" s="80">
        <v>39856</v>
      </c>
      <c r="X223" s="4">
        <v>9094106</v>
      </c>
      <c r="Y223" s="2">
        <v>39672</v>
      </c>
      <c r="AA223" s="22">
        <v>9094314</v>
      </c>
      <c r="AB223" s="4" t="s">
        <v>404</v>
      </c>
      <c r="AC223" s="43">
        <v>40003</v>
      </c>
    </row>
    <row r="224" spans="1:29" x14ac:dyDescent="0.4">
      <c r="A224" s="24" t="s">
        <v>550</v>
      </c>
      <c r="B224" s="24">
        <v>39859</v>
      </c>
      <c r="C224" s="24">
        <v>39668</v>
      </c>
      <c r="D224" s="22" t="s">
        <v>576</v>
      </c>
      <c r="E224" s="22">
        <v>9094340</v>
      </c>
      <c r="F224" s="22">
        <v>715</v>
      </c>
      <c r="G224" s="22">
        <v>1538</v>
      </c>
      <c r="H224" s="55" t="s">
        <v>3040</v>
      </c>
      <c r="I224" s="91" t="s">
        <v>404</v>
      </c>
      <c r="J224" s="119">
        <v>40179</v>
      </c>
      <c r="K224" s="91" t="s">
        <v>404</v>
      </c>
      <c r="L224" s="119">
        <v>40179</v>
      </c>
      <c r="M224" s="92"/>
      <c r="N224" s="80">
        <f t="shared" si="3"/>
        <v>39668</v>
      </c>
      <c r="O224" s="80"/>
      <c r="Q224" s="211"/>
      <c r="R224" s="80"/>
      <c r="S224" s="80"/>
      <c r="T224" s="80"/>
      <c r="U224" s="22">
        <v>9094340</v>
      </c>
      <c r="V224" s="80">
        <v>39944</v>
      </c>
      <c r="X224" s="4">
        <v>9094314</v>
      </c>
      <c r="Y224" s="2">
        <v>39668</v>
      </c>
      <c r="AA224" s="22">
        <v>9094340</v>
      </c>
      <c r="AB224" s="91" t="s">
        <v>404</v>
      </c>
      <c r="AC224" s="119">
        <v>40179</v>
      </c>
    </row>
    <row r="225" spans="1:29" x14ac:dyDescent="0.4">
      <c r="A225" s="24" t="s">
        <v>550</v>
      </c>
      <c r="B225" s="24">
        <v>39859</v>
      </c>
      <c r="C225" s="24">
        <v>39668</v>
      </c>
      <c r="D225" s="22" t="s">
        <v>576</v>
      </c>
      <c r="E225" s="65">
        <v>9094341</v>
      </c>
      <c r="F225" s="22">
        <v>715</v>
      </c>
      <c r="G225" s="22">
        <v>1539</v>
      </c>
      <c r="H225" s="55" t="s">
        <v>1068</v>
      </c>
      <c r="I225" s="91" t="s">
        <v>404</v>
      </c>
      <c r="J225" s="43">
        <v>39967</v>
      </c>
      <c r="K225" s="91" t="s">
        <v>404</v>
      </c>
      <c r="L225" s="71">
        <v>39967</v>
      </c>
      <c r="M225" s="28"/>
      <c r="N225" s="80">
        <f t="shared" si="3"/>
        <v>39668</v>
      </c>
      <c r="O225" s="80"/>
      <c r="Q225" s="211"/>
      <c r="R225" s="80"/>
      <c r="S225" s="80"/>
      <c r="T225" s="80"/>
      <c r="U225" s="65">
        <v>9094341</v>
      </c>
      <c r="V225" s="80">
        <v>39944</v>
      </c>
      <c r="X225" s="4">
        <v>9094439</v>
      </c>
      <c r="Y225" s="2">
        <v>39696</v>
      </c>
      <c r="AA225" s="65">
        <v>9094341</v>
      </c>
      <c r="AB225" s="91" t="s">
        <v>404</v>
      </c>
      <c r="AC225" s="43">
        <v>39967</v>
      </c>
    </row>
    <row r="226" spans="1:29" x14ac:dyDescent="0.4">
      <c r="A226" s="24" t="s">
        <v>550</v>
      </c>
      <c r="B226" s="24">
        <v>39828</v>
      </c>
      <c r="C226" s="24">
        <v>39681</v>
      </c>
      <c r="D226" s="22" t="s">
        <v>576</v>
      </c>
      <c r="E226" s="22">
        <v>9094418</v>
      </c>
      <c r="F226" s="22">
        <v>715</v>
      </c>
      <c r="G226" s="22">
        <v>1556</v>
      </c>
      <c r="H226" s="55" t="s">
        <v>1069</v>
      </c>
      <c r="I226" s="55" t="s">
        <v>404</v>
      </c>
      <c r="J226" s="43">
        <v>39834</v>
      </c>
      <c r="K226" s="55" t="s">
        <v>404</v>
      </c>
      <c r="L226" s="55"/>
      <c r="M226" s="92"/>
      <c r="N226" s="80">
        <f t="shared" si="3"/>
        <v>39681</v>
      </c>
      <c r="O226" s="80"/>
      <c r="Q226" s="211"/>
      <c r="R226" s="80"/>
      <c r="S226" s="80"/>
      <c r="T226" s="80"/>
      <c r="U226" s="22">
        <v>9094418</v>
      </c>
      <c r="V226" s="80">
        <v>39857</v>
      </c>
      <c r="X226" s="4">
        <v>9094440</v>
      </c>
      <c r="Y226" s="2">
        <v>39812</v>
      </c>
      <c r="AA226" s="22">
        <v>9094418</v>
      </c>
      <c r="AB226" s="4" t="s">
        <v>404</v>
      </c>
      <c r="AC226" s="43">
        <v>39834</v>
      </c>
    </row>
    <row r="227" spans="1:29" x14ac:dyDescent="0.4">
      <c r="A227" s="24" t="s">
        <v>550</v>
      </c>
      <c r="B227" s="24">
        <v>39706</v>
      </c>
      <c r="C227" s="24">
        <v>39668</v>
      </c>
      <c r="D227" s="22" t="s">
        <v>576</v>
      </c>
      <c r="E227" s="22">
        <v>9094144</v>
      </c>
      <c r="F227" s="22">
        <v>1010</v>
      </c>
      <c r="G227" s="22">
        <v>1545</v>
      </c>
      <c r="H227" s="52" t="s">
        <v>1070</v>
      </c>
      <c r="I227" s="3" t="s">
        <v>404</v>
      </c>
      <c r="J227" s="43">
        <v>39812</v>
      </c>
      <c r="K227" s="3" t="s">
        <v>404</v>
      </c>
      <c r="L227" s="1"/>
      <c r="M227" s="28"/>
      <c r="N227" s="80">
        <f t="shared" si="3"/>
        <v>39668</v>
      </c>
      <c r="O227" s="80"/>
      <c r="Q227" s="211"/>
      <c r="R227" s="80"/>
      <c r="S227" s="80"/>
      <c r="T227" s="80"/>
      <c r="U227" s="22">
        <v>9094144</v>
      </c>
      <c r="V227" s="80">
        <v>39776</v>
      </c>
      <c r="X227" s="4">
        <v>9094418</v>
      </c>
      <c r="Y227" s="2">
        <v>39681</v>
      </c>
      <c r="AA227" s="22">
        <v>9094144</v>
      </c>
      <c r="AB227" s="3" t="s">
        <v>404</v>
      </c>
      <c r="AC227" s="43">
        <v>39812</v>
      </c>
    </row>
    <row r="228" spans="1:29" x14ac:dyDescent="0.4">
      <c r="A228" s="24" t="s">
        <v>550</v>
      </c>
      <c r="B228" s="24">
        <v>39859</v>
      </c>
      <c r="C228" s="24">
        <v>39668</v>
      </c>
      <c r="D228" s="22" t="s">
        <v>576</v>
      </c>
      <c r="E228" s="22">
        <v>9094338</v>
      </c>
      <c r="F228" s="22">
        <v>715</v>
      </c>
      <c r="G228" s="22" t="s">
        <v>1071</v>
      </c>
      <c r="H228" s="55" t="s">
        <v>1072</v>
      </c>
      <c r="I228" s="3" t="s">
        <v>404</v>
      </c>
      <c r="J228" s="43">
        <v>39884</v>
      </c>
      <c r="K228" s="3" t="s">
        <v>404</v>
      </c>
      <c r="L228" s="43">
        <v>39884</v>
      </c>
      <c r="M228" s="92"/>
      <c r="N228" s="80">
        <f t="shared" si="3"/>
        <v>39668</v>
      </c>
      <c r="O228" s="80"/>
      <c r="Q228" s="211"/>
      <c r="R228" s="80"/>
      <c r="S228" s="80"/>
      <c r="T228" s="80"/>
      <c r="U228" s="22">
        <v>9094338</v>
      </c>
      <c r="V228" s="80">
        <v>39892</v>
      </c>
      <c r="X228" s="4">
        <v>9094237</v>
      </c>
      <c r="Y228" s="2">
        <v>39675</v>
      </c>
      <c r="AA228" s="22">
        <v>9094338</v>
      </c>
      <c r="AB228" s="3" t="s">
        <v>404</v>
      </c>
      <c r="AC228" s="43">
        <v>39884</v>
      </c>
    </row>
    <row r="229" spans="1:29" x14ac:dyDescent="0.4">
      <c r="A229" s="24" t="s">
        <v>550</v>
      </c>
      <c r="B229" s="24">
        <v>39736</v>
      </c>
      <c r="C229" s="24">
        <v>39668</v>
      </c>
      <c r="D229" s="22" t="s">
        <v>576</v>
      </c>
      <c r="E229" s="34">
        <v>9094201</v>
      </c>
      <c r="F229" s="22">
        <v>715</v>
      </c>
      <c r="G229" s="22">
        <v>1521</v>
      </c>
      <c r="H229" s="55" t="s">
        <v>1073</v>
      </c>
      <c r="I229" s="55" t="s">
        <v>404</v>
      </c>
      <c r="J229" s="43">
        <v>39833</v>
      </c>
      <c r="K229" s="55" t="s">
        <v>404</v>
      </c>
      <c r="L229" s="55"/>
      <c r="M229" s="28"/>
      <c r="N229" s="80">
        <f t="shared" si="3"/>
        <v>39668</v>
      </c>
      <c r="O229" s="80"/>
      <c r="Q229" s="211"/>
      <c r="R229" s="80"/>
      <c r="S229" s="80"/>
      <c r="T229" s="80"/>
      <c r="U229" s="34">
        <v>9094201</v>
      </c>
      <c r="V229" s="80">
        <v>39867</v>
      </c>
      <c r="X229" s="4">
        <v>9094239</v>
      </c>
      <c r="Y229" s="2">
        <v>39674</v>
      </c>
      <c r="AA229" s="34">
        <v>9094201</v>
      </c>
      <c r="AB229" s="4" t="s">
        <v>404</v>
      </c>
      <c r="AC229" s="43">
        <v>39833</v>
      </c>
    </row>
    <row r="230" spans="1:29" x14ac:dyDescent="0.4">
      <c r="A230" s="24" t="s">
        <v>550</v>
      </c>
      <c r="B230" s="24">
        <v>39948</v>
      </c>
      <c r="C230" s="24">
        <v>39681</v>
      </c>
      <c r="D230" s="22" t="s">
        <v>576</v>
      </c>
      <c r="E230" s="34">
        <v>9094427</v>
      </c>
      <c r="F230" s="22">
        <v>1010</v>
      </c>
      <c r="G230" s="22">
        <v>1552</v>
      </c>
      <c r="H230" s="45" t="s">
        <v>1074</v>
      </c>
      <c r="I230" s="3" t="s">
        <v>404</v>
      </c>
      <c r="J230" s="43">
        <v>39813</v>
      </c>
      <c r="K230" s="3" t="s">
        <v>404</v>
      </c>
      <c r="L230" s="1"/>
      <c r="M230" s="92"/>
      <c r="N230" s="80">
        <f t="shared" si="3"/>
        <v>39681</v>
      </c>
      <c r="O230" s="80"/>
      <c r="Q230" s="211"/>
      <c r="R230" s="80"/>
      <c r="S230" s="80"/>
      <c r="T230" s="80"/>
      <c r="U230" s="34">
        <v>9094427</v>
      </c>
      <c r="V230" s="80">
        <v>39723</v>
      </c>
      <c r="X230" s="4">
        <v>9094240</v>
      </c>
      <c r="Y230" s="2">
        <v>39674</v>
      </c>
      <c r="AA230" s="34">
        <v>9094427</v>
      </c>
      <c r="AB230" s="3" t="s">
        <v>404</v>
      </c>
      <c r="AC230" s="43">
        <v>39813</v>
      </c>
    </row>
    <row r="231" spans="1:29" x14ac:dyDescent="0.4">
      <c r="A231" s="24" t="s">
        <v>550</v>
      </c>
      <c r="B231" s="24">
        <v>39979</v>
      </c>
      <c r="C231" s="24">
        <v>39681</v>
      </c>
      <c r="D231" s="22" t="s">
        <v>576</v>
      </c>
      <c r="E231" s="34">
        <v>9094432</v>
      </c>
      <c r="F231" s="22">
        <v>1010</v>
      </c>
      <c r="G231" s="22" t="s">
        <v>1075</v>
      </c>
      <c r="H231" s="55" t="s">
        <v>1076</v>
      </c>
      <c r="I231" s="3" t="s">
        <v>404</v>
      </c>
      <c r="J231" s="43">
        <v>39721</v>
      </c>
      <c r="K231" s="3" t="s">
        <v>404</v>
      </c>
      <c r="L231" s="1"/>
      <c r="M231" s="92"/>
      <c r="N231" s="80">
        <f t="shared" si="3"/>
        <v>39681</v>
      </c>
      <c r="O231" s="80"/>
      <c r="Q231" s="211"/>
      <c r="R231" s="80"/>
      <c r="S231" s="80"/>
      <c r="T231" s="80"/>
      <c r="U231" s="34">
        <v>9094432</v>
      </c>
      <c r="V231" s="80">
        <v>39724</v>
      </c>
      <c r="X231" s="4">
        <v>9094243</v>
      </c>
      <c r="Y231" s="2">
        <v>39675</v>
      </c>
      <c r="AA231" s="34">
        <v>9094432</v>
      </c>
      <c r="AB231" s="3" t="s">
        <v>404</v>
      </c>
      <c r="AC231" s="43">
        <v>39721</v>
      </c>
    </row>
    <row r="232" spans="1:29" x14ac:dyDescent="0.4">
      <c r="A232" s="24" t="s">
        <v>550</v>
      </c>
      <c r="B232" s="24">
        <v>39706</v>
      </c>
      <c r="C232" s="24">
        <v>39668</v>
      </c>
      <c r="D232" s="22" t="s">
        <v>576</v>
      </c>
      <c r="E232" s="22">
        <v>9094142</v>
      </c>
      <c r="F232" s="22">
        <v>1010</v>
      </c>
      <c r="G232" s="22" t="s">
        <v>1077</v>
      </c>
      <c r="H232" s="55" t="s">
        <v>1078</v>
      </c>
      <c r="I232" s="3" t="s">
        <v>404</v>
      </c>
      <c r="J232" s="43">
        <v>39753</v>
      </c>
      <c r="K232" s="3" t="s">
        <v>404</v>
      </c>
      <c r="L232" s="1"/>
      <c r="M232" s="28"/>
      <c r="N232" s="80">
        <f t="shared" si="3"/>
        <v>39668</v>
      </c>
      <c r="O232" s="80"/>
      <c r="Q232" s="211"/>
      <c r="R232" s="80"/>
      <c r="S232" s="80"/>
      <c r="T232" s="80"/>
      <c r="U232" s="22">
        <v>9094142</v>
      </c>
      <c r="V232" s="80">
        <v>39784</v>
      </c>
      <c r="X232" s="4">
        <v>9094329</v>
      </c>
      <c r="Y232" s="2">
        <v>39848</v>
      </c>
      <c r="AA232" s="22">
        <v>9094142</v>
      </c>
      <c r="AB232" s="3" t="s">
        <v>404</v>
      </c>
      <c r="AC232" s="43">
        <v>39753</v>
      </c>
    </row>
    <row r="233" spans="1:29" x14ac:dyDescent="0.4">
      <c r="A233" s="24" t="s">
        <v>550</v>
      </c>
      <c r="B233" s="24">
        <v>39828</v>
      </c>
      <c r="C233" s="24">
        <v>39668</v>
      </c>
      <c r="D233" s="22" t="s">
        <v>576</v>
      </c>
      <c r="E233" s="22">
        <v>9094318</v>
      </c>
      <c r="F233" s="22">
        <v>1010</v>
      </c>
      <c r="G233" s="22">
        <v>1547</v>
      </c>
      <c r="H233" s="55" t="s">
        <v>1079</v>
      </c>
      <c r="I233" s="55" t="s">
        <v>404</v>
      </c>
      <c r="J233" s="43">
        <v>40039</v>
      </c>
      <c r="K233" s="55" t="s">
        <v>404</v>
      </c>
      <c r="L233" s="43">
        <v>40039</v>
      </c>
      <c r="M233" s="92"/>
      <c r="N233" s="80">
        <f t="shared" si="3"/>
        <v>39668</v>
      </c>
      <c r="O233" s="80"/>
      <c r="Q233" s="211"/>
      <c r="R233" s="80"/>
      <c r="S233" s="80"/>
      <c r="T233" s="80"/>
      <c r="U233" s="22">
        <v>9094318</v>
      </c>
      <c r="V233" s="80">
        <v>39871</v>
      </c>
      <c r="X233" s="4">
        <v>9094330</v>
      </c>
      <c r="Y233" s="2">
        <v>39848</v>
      </c>
      <c r="AA233" s="22">
        <v>9094318</v>
      </c>
      <c r="AB233" s="4" t="s">
        <v>404</v>
      </c>
      <c r="AC233" s="43">
        <v>40039</v>
      </c>
    </row>
    <row r="234" spans="1:29" x14ac:dyDescent="0.4">
      <c r="A234" s="24" t="s">
        <v>550</v>
      </c>
      <c r="B234" s="24">
        <v>39859</v>
      </c>
      <c r="C234" s="24">
        <v>39668</v>
      </c>
      <c r="D234" s="22" t="s">
        <v>576</v>
      </c>
      <c r="E234" s="22">
        <v>9094337</v>
      </c>
      <c r="F234" s="22">
        <v>715</v>
      </c>
      <c r="G234" s="22">
        <v>1528</v>
      </c>
      <c r="H234" s="208" t="s">
        <v>1080</v>
      </c>
      <c r="I234" s="56" t="s">
        <v>404</v>
      </c>
      <c r="J234" s="43">
        <v>39934</v>
      </c>
      <c r="K234" s="56" t="s">
        <v>404</v>
      </c>
      <c r="L234" s="70">
        <v>39934</v>
      </c>
      <c r="M234" s="92"/>
      <c r="N234" s="80">
        <f t="shared" si="3"/>
        <v>39668</v>
      </c>
      <c r="O234" s="80"/>
      <c r="Q234" s="211"/>
      <c r="R234" s="80"/>
      <c r="S234" s="80"/>
      <c r="T234" s="80"/>
      <c r="U234" s="22">
        <v>9094337</v>
      </c>
      <c r="V234" s="80">
        <v>39874</v>
      </c>
      <c r="X234" s="4">
        <v>9094282</v>
      </c>
      <c r="Y234" s="2">
        <v>39668</v>
      </c>
      <c r="AA234" s="22">
        <v>9094337</v>
      </c>
      <c r="AB234" s="56" t="s">
        <v>404</v>
      </c>
      <c r="AC234" s="43">
        <v>39934</v>
      </c>
    </row>
    <row r="235" spans="1:29" x14ac:dyDescent="0.4">
      <c r="A235" s="24" t="s">
        <v>550</v>
      </c>
      <c r="B235" s="24">
        <v>39828</v>
      </c>
      <c r="C235" s="24">
        <v>39668</v>
      </c>
      <c r="D235" s="22" t="s">
        <v>576</v>
      </c>
      <c r="E235" s="22">
        <v>9094315</v>
      </c>
      <c r="F235" s="22">
        <v>715</v>
      </c>
      <c r="G235" s="22">
        <v>1540</v>
      </c>
      <c r="H235" s="55" t="s">
        <v>1081</v>
      </c>
      <c r="I235" s="55" t="s">
        <v>404</v>
      </c>
      <c r="J235" s="43"/>
      <c r="K235" s="55" t="s">
        <v>404</v>
      </c>
      <c r="L235" s="55"/>
      <c r="M235" s="92"/>
      <c r="N235" s="80">
        <f t="shared" si="3"/>
        <v>39668</v>
      </c>
      <c r="O235" s="80"/>
      <c r="Q235" s="211"/>
      <c r="R235" s="80"/>
      <c r="S235" s="80"/>
      <c r="T235" s="80"/>
      <c r="U235" s="22">
        <v>9094315</v>
      </c>
      <c r="V235" s="80">
        <v>39843</v>
      </c>
      <c r="X235" s="4">
        <v>9094129</v>
      </c>
      <c r="Y235" s="2">
        <v>39668</v>
      </c>
      <c r="AA235" s="22">
        <v>9094315</v>
      </c>
      <c r="AB235" s="4" t="s">
        <v>404</v>
      </c>
      <c r="AC235" s="43"/>
    </row>
    <row r="236" spans="1:29" x14ac:dyDescent="0.4">
      <c r="A236" s="24" t="s">
        <v>550</v>
      </c>
      <c r="B236" s="24">
        <v>39828</v>
      </c>
      <c r="C236" s="24">
        <v>39668</v>
      </c>
      <c r="D236" s="22" t="s">
        <v>576</v>
      </c>
      <c r="E236" s="22">
        <v>9094316</v>
      </c>
      <c r="F236" s="22">
        <v>715</v>
      </c>
      <c r="G236" s="22">
        <v>1541</v>
      </c>
      <c r="H236" s="55" t="s">
        <v>1084</v>
      </c>
      <c r="I236" s="55" t="s">
        <v>404</v>
      </c>
      <c r="J236" s="43">
        <v>39869</v>
      </c>
      <c r="K236" s="55" t="s">
        <v>404</v>
      </c>
      <c r="L236" s="55"/>
      <c r="M236" s="92"/>
      <c r="N236" s="80">
        <f t="shared" si="3"/>
        <v>39668</v>
      </c>
      <c r="O236" s="80"/>
      <c r="Q236" s="211"/>
      <c r="R236" s="80"/>
      <c r="S236" s="80"/>
      <c r="T236" s="80"/>
      <c r="U236" s="22">
        <v>9094316</v>
      </c>
      <c r="V236" s="80">
        <v>39843</v>
      </c>
      <c r="X236" s="4">
        <v>9094201</v>
      </c>
      <c r="Y236" s="2">
        <v>39668</v>
      </c>
      <c r="AA236" s="22">
        <v>9094316</v>
      </c>
      <c r="AB236" s="4" t="s">
        <v>404</v>
      </c>
      <c r="AC236" s="43">
        <v>39869</v>
      </c>
    </row>
    <row r="237" spans="1:29" x14ac:dyDescent="0.4">
      <c r="A237" s="24" t="s">
        <v>550</v>
      </c>
      <c r="B237" s="24">
        <v>39706</v>
      </c>
      <c r="C237" s="24">
        <v>39668</v>
      </c>
      <c r="D237" s="22" t="s">
        <v>576</v>
      </c>
      <c r="E237" s="22">
        <v>9094126</v>
      </c>
      <c r="F237" s="22">
        <v>715</v>
      </c>
      <c r="G237" s="22" t="s">
        <v>1085</v>
      </c>
      <c r="H237" s="55" t="s">
        <v>1086</v>
      </c>
      <c r="I237" s="3" t="s">
        <v>404</v>
      </c>
      <c r="J237" s="43">
        <v>39721</v>
      </c>
      <c r="K237" s="3" t="s">
        <v>404</v>
      </c>
      <c r="L237" s="1"/>
      <c r="M237" s="28"/>
      <c r="N237" s="80">
        <f t="shared" si="3"/>
        <v>39668</v>
      </c>
      <c r="O237" s="80"/>
      <c r="Q237" s="211"/>
      <c r="R237" s="80"/>
      <c r="S237" s="80"/>
      <c r="T237" s="80"/>
      <c r="U237" s="22">
        <v>9094126</v>
      </c>
      <c r="V237" s="80">
        <v>39752</v>
      </c>
      <c r="X237" s="4">
        <v>9094465</v>
      </c>
      <c r="Y237" s="2">
        <v>39813</v>
      </c>
      <c r="AA237" s="22">
        <v>9094126</v>
      </c>
      <c r="AB237" s="3" t="s">
        <v>404</v>
      </c>
      <c r="AC237" s="43">
        <v>39721</v>
      </c>
    </row>
    <row r="238" spans="1:29" x14ac:dyDescent="0.4">
      <c r="A238" s="24" t="s">
        <v>550</v>
      </c>
      <c r="B238" s="24">
        <v>39828</v>
      </c>
      <c r="C238" s="24">
        <v>39668</v>
      </c>
      <c r="D238" s="22" t="s">
        <v>576</v>
      </c>
      <c r="E238" s="34">
        <v>9094317</v>
      </c>
      <c r="F238" s="22">
        <v>1010</v>
      </c>
      <c r="G238" s="22">
        <v>1546</v>
      </c>
      <c r="H238" s="55" t="s">
        <v>3041</v>
      </c>
      <c r="I238" s="55" t="s">
        <v>404</v>
      </c>
      <c r="J238" s="43">
        <v>40081</v>
      </c>
      <c r="K238" s="55" t="s">
        <v>404</v>
      </c>
      <c r="L238" s="43">
        <v>40081</v>
      </c>
      <c r="M238" s="92"/>
      <c r="N238" s="80">
        <f t="shared" si="3"/>
        <v>39668</v>
      </c>
      <c r="O238" s="80"/>
      <c r="Q238" s="211"/>
      <c r="R238" s="80"/>
      <c r="S238" s="80"/>
      <c r="T238" s="80"/>
      <c r="U238" s="34">
        <v>9094317</v>
      </c>
      <c r="V238" s="80">
        <v>39843</v>
      </c>
      <c r="X238" s="4">
        <v>9094288</v>
      </c>
      <c r="Y238" s="2">
        <v>39668</v>
      </c>
      <c r="AA238" s="34">
        <v>9094317</v>
      </c>
      <c r="AB238" s="4" t="s">
        <v>404</v>
      </c>
      <c r="AC238" s="43">
        <v>40081</v>
      </c>
    </row>
    <row r="239" spans="1:29" x14ac:dyDescent="0.4">
      <c r="A239" s="24" t="s">
        <v>550</v>
      </c>
      <c r="B239" s="24">
        <v>39706</v>
      </c>
      <c r="C239" s="24">
        <v>39668</v>
      </c>
      <c r="D239" s="22" t="s">
        <v>576</v>
      </c>
      <c r="E239" s="34">
        <v>9094098</v>
      </c>
      <c r="F239" s="22">
        <v>715</v>
      </c>
      <c r="G239" s="22">
        <v>1531</v>
      </c>
      <c r="H239" s="208" t="s">
        <v>1088</v>
      </c>
      <c r="I239" s="49" t="s">
        <v>404</v>
      </c>
      <c r="J239" s="43">
        <v>39758</v>
      </c>
      <c r="K239" s="3" t="s">
        <v>404</v>
      </c>
      <c r="L239" s="1"/>
      <c r="M239" s="28"/>
      <c r="N239" s="80">
        <f t="shared" si="3"/>
        <v>39668</v>
      </c>
      <c r="O239" s="80"/>
      <c r="Q239" s="211"/>
      <c r="R239" s="80"/>
      <c r="S239" s="80"/>
      <c r="T239" s="80"/>
      <c r="U239" s="34">
        <v>9094098</v>
      </c>
      <c r="V239" s="80">
        <v>39756</v>
      </c>
      <c r="X239" s="4">
        <v>9094285</v>
      </c>
      <c r="Y239" s="2">
        <v>39668</v>
      </c>
      <c r="AA239" s="34">
        <v>9094098</v>
      </c>
      <c r="AB239" s="49" t="s">
        <v>404</v>
      </c>
      <c r="AC239" s="43">
        <v>39758</v>
      </c>
    </row>
    <row r="240" spans="1:29" x14ac:dyDescent="0.4">
      <c r="A240" s="24" t="s">
        <v>550</v>
      </c>
      <c r="B240" s="24">
        <v>39828</v>
      </c>
      <c r="C240" s="24">
        <v>39668</v>
      </c>
      <c r="D240" s="22" t="s">
        <v>576</v>
      </c>
      <c r="E240" s="22">
        <v>9094312</v>
      </c>
      <c r="F240" s="22">
        <v>1010</v>
      </c>
      <c r="G240" s="22">
        <v>1525</v>
      </c>
      <c r="H240" s="55" t="s">
        <v>3042</v>
      </c>
      <c r="I240" s="55" t="s">
        <v>404</v>
      </c>
      <c r="J240" s="43">
        <v>40205</v>
      </c>
      <c r="K240" s="55" t="s">
        <v>406</v>
      </c>
      <c r="L240" s="55"/>
      <c r="M240" s="92"/>
      <c r="N240" s="80">
        <f t="shared" si="3"/>
        <v>39668</v>
      </c>
      <c r="O240" s="80"/>
      <c r="Q240" s="211"/>
      <c r="R240" s="80"/>
      <c r="S240" s="80"/>
      <c r="T240" s="80"/>
      <c r="U240" s="22">
        <v>9094312</v>
      </c>
      <c r="V240" s="80">
        <v>39846</v>
      </c>
      <c r="X240" s="4">
        <v>9094113</v>
      </c>
      <c r="Y240" s="2">
        <v>39665</v>
      </c>
      <c r="AA240" s="22">
        <v>9094312</v>
      </c>
      <c r="AB240" s="4" t="s">
        <v>404</v>
      </c>
      <c r="AC240" s="43">
        <v>40205</v>
      </c>
    </row>
    <row r="241" spans="1:29" x14ac:dyDescent="0.4">
      <c r="A241" s="24" t="s">
        <v>550</v>
      </c>
      <c r="B241" s="24">
        <v>39706</v>
      </c>
      <c r="C241" s="24">
        <v>39668</v>
      </c>
      <c r="D241" s="22" t="s">
        <v>576</v>
      </c>
      <c r="E241" s="22">
        <v>9094125</v>
      </c>
      <c r="F241" s="22">
        <v>715</v>
      </c>
      <c r="G241" s="22">
        <v>1534</v>
      </c>
      <c r="H241" s="50" t="s">
        <v>1089</v>
      </c>
      <c r="I241" s="50" t="s">
        <v>404</v>
      </c>
      <c r="J241" s="51">
        <v>39785</v>
      </c>
      <c r="K241" s="52" t="s">
        <v>404</v>
      </c>
      <c r="L241" s="51">
        <v>39785</v>
      </c>
      <c r="M241" s="28"/>
      <c r="N241" s="80">
        <f t="shared" si="3"/>
        <v>39668</v>
      </c>
      <c r="O241" s="80"/>
      <c r="Q241" s="211"/>
      <c r="R241" s="80"/>
      <c r="S241" s="80"/>
      <c r="T241" s="80"/>
      <c r="U241" s="22">
        <v>9094125</v>
      </c>
      <c r="V241" s="80">
        <v>39759</v>
      </c>
      <c r="X241" s="4">
        <v>9094114</v>
      </c>
      <c r="Y241" s="2">
        <v>39665</v>
      </c>
      <c r="AA241" s="22">
        <v>9094125</v>
      </c>
      <c r="AB241" s="50" t="s">
        <v>404</v>
      </c>
      <c r="AC241" s="51">
        <v>39785</v>
      </c>
    </row>
    <row r="242" spans="1:29" x14ac:dyDescent="0.4">
      <c r="A242" s="24" t="s">
        <v>550</v>
      </c>
      <c r="B242" s="24">
        <v>39828</v>
      </c>
      <c r="C242" s="24">
        <v>39668</v>
      </c>
      <c r="D242" s="22" t="s">
        <v>576</v>
      </c>
      <c r="E242" s="22">
        <v>9094313</v>
      </c>
      <c r="F242" s="22">
        <v>715</v>
      </c>
      <c r="G242" s="22">
        <v>1526</v>
      </c>
      <c r="H242" s="55" t="s">
        <v>1090</v>
      </c>
      <c r="I242" s="55" t="s">
        <v>404</v>
      </c>
      <c r="J242" s="43">
        <v>39858</v>
      </c>
      <c r="K242" s="55" t="s">
        <v>404</v>
      </c>
      <c r="L242" s="55"/>
      <c r="M242" s="92"/>
      <c r="N242" s="80">
        <f t="shared" si="3"/>
        <v>39668</v>
      </c>
      <c r="O242" s="80"/>
      <c r="Q242" s="211"/>
      <c r="R242" s="80"/>
      <c r="S242" s="80"/>
      <c r="T242" s="80"/>
      <c r="U242" s="22">
        <v>9094313</v>
      </c>
      <c r="V242" s="80">
        <v>39846</v>
      </c>
      <c r="X242" s="4">
        <v>9094224</v>
      </c>
      <c r="Y242" s="2">
        <v>39668</v>
      </c>
      <c r="AA242" s="22">
        <v>9094313</v>
      </c>
      <c r="AB242" s="4" t="s">
        <v>404</v>
      </c>
      <c r="AC242" s="43">
        <v>39858</v>
      </c>
    </row>
    <row r="243" spans="1:29" x14ac:dyDescent="0.4">
      <c r="A243" s="24" t="s">
        <v>550</v>
      </c>
      <c r="B243" s="24">
        <v>39706</v>
      </c>
      <c r="C243" s="24">
        <v>39668</v>
      </c>
      <c r="D243" s="22" t="s">
        <v>576</v>
      </c>
      <c r="E243" s="22">
        <v>9094097</v>
      </c>
      <c r="F243" s="22">
        <v>715</v>
      </c>
      <c r="G243" s="22" t="s">
        <v>1091</v>
      </c>
      <c r="H243" s="208" t="s">
        <v>1092</v>
      </c>
      <c r="I243" s="49" t="s">
        <v>404</v>
      </c>
      <c r="J243" s="43">
        <v>39722</v>
      </c>
      <c r="K243" s="3" t="s">
        <v>404</v>
      </c>
      <c r="L243" s="1"/>
      <c r="M243" s="28"/>
      <c r="N243" s="80">
        <f t="shared" si="3"/>
        <v>39668</v>
      </c>
      <c r="O243" s="80"/>
      <c r="Q243" s="211"/>
      <c r="R243" s="80"/>
      <c r="S243" s="80"/>
      <c r="T243" s="80"/>
      <c r="U243" s="22">
        <v>9094097</v>
      </c>
      <c r="V243" s="80">
        <v>39759</v>
      </c>
      <c r="X243" s="4">
        <v>9094225</v>
      </c>
      <c r="Y243" s="2">
        <v>39668</v>
      </c>
      <c r="AA243" s="22">
        <v>9094097</v>
      </c>
      <c r="AB243" s="49" t="s">
        <v>404</v>
      </c>
      <c r="AC243" s="43">
        <v>39722</v>
      </c>
    </row>
    <row r="244" spans="1:29" x14ac:dyDescent="0.4">
      <c r="A244" s="24" t="s">
        <v>412</v>
      </c>
      <c r="B244" s="24">
        <v>39706</v>
      </c>
      <c r="C244" s="24">
        <v>39689</v>
      </c>
      <c r="D244" s="22" t="s">
        <v>557</v>
      </c>
      <c r="E244" s="22">
        <v>9094422</v>
      </c>
      <c r="F244" s="22">
        <v>715</v>
      </c>
      <c r="G244" s="22">
        <v>1</v>
      </c>
      <c r="H244" s="55" t="s">
        <v>1093</v>
      </c>
      <c r="I244" s="55" t="s">
        <v>404</v>
      </c>
      <c r="J244" s="94">
        <v>39855</v>
      </c>
      <c r="K244" s="55" t="s">
        <v>404</v>
      </c>
      <c r="L244" s="92">
        <v>39910</v>
      </c>
      <c r="M244" s="92">
        <v>39713</v>
      </c>
      <c r="N244" s="80">
        <f t="shared" si="3"/>
        <v>39689</v>
      </c>
      <c r="O244" s="80"/>
      <c r="Q244" s="211"/>
      <c r="R244" s="80"/>
      <c r="S244" s="80"/>
      <c r="T244" s="80"/>
      <c r="U244" s="22">
        <v>9094422</v>
      </c>
      <c r="V244" s="80">
        <v>39713</v>
      </c>
      <c r="X244" s="4">
        <v>9094249</v>
      </c>
      <c r="Y244" s="2">
        <v>39668</v>
      </c>
      <c r="AA244" s="22">
        <v>9094422</v>
      </c>
      <c r="AB244" s="55" t="s">
        <v>404</v>
      </c>
      <c r="AC244" s="94">
        <v>39855</v>
      </c>
    </row>
    <row r="245" spans="1:29" x14ac:dyDescent="0.4">
      <c r="A245" s="24" t="s">
        <v>412</v>
      </c>
      <c r="B245" s="24">
        <v>39706</v>
      </c>
      <c r="C245" s="24">
        <v>39689</v>
      </c>
      <c r="D245" s="22" t="s">
        <v>557</v>
      </c>
      <c r="E245" s="22">
        <v>9094423</v>
      </c>
      <c r="F245" s="22">
        <v>1010</v>
      </c>
      <c r="G245" s="22">
        <v>2</v>
      </c>
      <c r="H245" s="55" t="s">
        <v>1094</v>
      </c>
      <c r="I245" s="55" t="s">
        <v>404</v>
      </c>
      <c r="J245" s="94">
        <v>39727</v>
      </c>
      <c r="K245" s="55" t="s">
        <v>404</v>
      </c>
      <c r="L245" s="92">
        <v>39745</v>
      </c>
      <c r="M245" s="92">
        <v>39800</v>
      </c>
      <c r="N245" s="80">
        <f t="shared" si="3"/>
        <v>39689</v>
      </c>
      <c r="O245" s="80"/>
      <c r="Q245" s="211"/>
      <c r="R245" s="80"/>
      <c r="S245" s="80"/>
      <c r="T245" s="80"/>
      <c r="U245" s="22">
        <v>9094423</v>
      </c>
      <c r="V245" s="80">
        <v>39713</v>
      </c>
      <c r="X245" s="4">
        <v>9094116</v>
      </c>
      <c r="Y245" s="2">
        <v>39675</v>
      </c>
      <c r="AA245" s="22">
        <v>9094423</v>
      </c>
      <c r="AB245" s="55" t="s">
        <v>404</v>
      </c>
      <c r="AC245" s="94">
        <v>39727</v>
      </c>
    </row>
    <row r="246" spans="1:29" x14ac:dyDescent="0.4">
      <c r="A246" s="24" t="s">
        <v>412</v>
      </c>
      <c r="B246" s="24">
        <v>0</v>
      </c>
      <c r="C246" s="24">
        <v>0</v>
      </c>
      <c r="D246" s="22" t="s">
        <v>557</v>
      </c>
      <c r="E246" s="155">
        <v>9094474</v>
      </c>
      <c r="F246" s="22">
        <v>715</v>
      </c>
      <c r="G246" s="22" t="s">
        <v>1095</v>
      </c>
      <c r="H246" s="55" t="s">
        <v>1097</v>
      </c>
      <c r="I246" s="55" t="s">
        <v>404</v>
      </c>
      <c r="J246" s="94">
        <v>39855</v>
      </c>
      <c r="K246" s="55" t="s">
        <v>404</v>
      </c>
      <c r="L246" s="93">
        <v>39957</v>
      </c>
      <c r="M246" s="43">
        <v>39861</v>
      </c>
      <c r="N246" s="80">
        <f t="shared" si="3"/>
        <v>39855</v>
      </c>
      <c r="O246" s="80"/>
      <c r="Q246" s="211"/>
      <c r="R246" s="80"/>
      <c r="S246" s="80"/>
      <c r="T246" s="80"/>
      <c r="U246" s="33">
        <v>9094474</v>
      </c>
      <c r="V246" s="80">
        <v>39916</v>
      </c>
      <c r="X246" s="4">
        <v>9094164</v>
      </c>
      <c r="Y246" s="2">
        <v>39668</v>
      </c>
      <c r="AA246" s="33">
        <v>9094474</v>
      </c>
      <c r="AB246" s="55" t="s">
        <v>404</v>
      </c>
      <c r="AC246" s="94">
        <v>39855</v>
      </c>
    </row>
    <row r="247" spans="1:29" x14ac:dyDescent="0.4">
      <c r="A247" s="24" t="s">
        <v>412</v>
      </c>
      <c r="B247" s="24">
        <v>0</v>
      </c>
      <c r="C247" s="24">
        <v>0</v>
      </c>
      <c r="D247" s="22" t="s">
        <v>557</v>
      </c>
      <c r="E247" s="155">
        <v>9094475</v>
      </c>
      <c r="F247" s="22">
        <v>1010</v>
      </c>
      <c r="G247" s="22" t="s">
        <v>1098</v>
      </c>
      <c r="H247" s="55"/>
      <c r="I247" s="55" t="s">
        <v>404</v>
      </c>
      <c r="J247" s="93">
        <v>40049</v>
      </c>
      <c r="K247" s="55" t="s">
        <v>404</v>
      </c>
      <c r="L247" s="93">
        <v>40049</v>
      </c>
      <c r="M247" s="43">
        <v>39861</v>
      </c>
      <c r="N247" s="80">
        <f t="shared" si="3"/>
        <v>39855</v>
      </c>
      <c r="O247" s="80"/>
      <c r="Q247" s="211"/>
      <c r="R247" s="80"/>
      <c r="S247" s="80"/>
      <c r="T247" s="80"/>
      <c r="U247" s="33">
        <v>9094475</v>
      </c>
      <c r="V247" s="80">
        <v>39916</v>
      </c>
      <c r="X247" s="4">
        <v>9094228</v>
      </c>
      <c r="Y247" s="2">
        <v>39668</v>
      </c>
      <c r="AA247" s="33">
        <v>9094475</v>
      </c>
      <c r="AB247" s="55" t="s">
        <v>404</v>
      </c>
      <c r="AC247" s="93">
        <v>40049</v>
      </c>
    </row>
    <row r="248" spans="1:29" x14ac:dyDescent="0.4">
      <c r="A248" s="24" t="s">
        <v>412</v>
      </c>
      <c r="B248" s="24">
        <v>0</v>
      </c>
      <c r="C248" s="24">
        <v>0</v>
      </c>
      <c r="D248" s="22" t="s">
        <v>561</v>
      </c>
      <c r="E248" s="22">
        <v>9094461</v>
      </c>
      <c r="F248" s="22">
        <v>1010</v>
      </c>
      <c r="G248" s="22" t="s">
        <v>696</v>
      </c>
      <c r="H248" s="55" t="s">
        <v>1099</v>
      </c>
      <c r="I248" s="55" t="s">
        <v>404</v>
      </c>
      <c r="J248" s="94">
        <v>39962</v>
      </c>
      <c r="K248" s="55" t="s">
        <v>404</v>
      </c>
      <c r="L248" s="92">
        <v>39986</v>
      </c>
      <c r="M248" s="92">
        <v>39972</v>
      </c>
      <c r="N248" s="80">
        <f t="shared" si="3"/>
        <v>39787</v>
      </c>
      <c r="O248" s="80"/>
      <c r="Q248" s="211"/>
      <c r="R248" s="80"/>
      <c r="S248" s="80"/>
      <c r="T248" s="80"/>
      <c r="U248" s="22">
        <v>9094461</v>
      </c>
      <c r="V248" s="80">
        <v>39933</v>
      </c>
      <c r="X248" s="4">
        <v>9094318</v>
      </c>
      <c r="Y248" s="2">
        <v>39668</v>
      </c>
      <c r="AA248" s="22">
        <v>9094461</v>
      </c>
      <c r="AB248" s="55" t="s">
        <v>404</v>
      </c>
      <c r="AC248" s="94">
        <v>39962</v>
      </c>
    </row>
    <row r="249" spans="1:29" x14ac:dyDescent="0.4">
      <c r="A249" s="24" t="s">
        <v>412</v>
      </c>
      <c r="B249" s="24">
        <v>0</v>
      </c>
      <c r="C249" s="24">
        <v>0</v>
      </c>
      <c r="D249" s="22" t="s">
        <v>561</v>
      </c>
      <c r="E249" s="155">
        <v>9094453</v>
      </c>
      <c r="F249" s="22">
        <v>1010</v>
      </c>
      <c r="G249" s="22" t="s">
        <v>1100</v>
      </c>
      <c r="H249" s="55" t="s">
        <v>1101</v>
      </c>
      <c r="I249" s="55" t="s">
        <v>404</v>
      </c>
      <c r="J249" s="94">
        <v>39727</v>
      </c>
      <c r="K249" s="55" t="s">
        <v>404</v>
      </c>
      <c r="L249" s="92">
        <v>39745</v>
      </c>
      <c r="M249" s="92">
        <v>39727</v>
      </c>
      <c r="N249" s="80">
        <f t="shared" si="3"/>
        <v>39708</v>
      </c>
      <c r="O249" s="80"/>
      <c r="Q249" s="211"/>
      <c r="R249" s="80"/>
      <c r="S249" s="80"/>
      <c r="T249" s="80"/>
      <c r="U249" s="33">
        <v>9094453</v>
      </c>
      <c r="V249" s="80">
        <v>39731</v>
      </c>
      <c r="X249" s="4">
        <v>9094337</v>
      </c>
      <c r="Y249" s="2">
        <v>39668</v>
      </c>
      <c r="AA249" s="33">
        <v>9094453</v>
      </c>
      <c r="AB249" s="55" t="s">
        <v>404</v>
      </c>
      <c r="AC249" s="94">
        <v>39727</v>
      </c>
    </row>
    <row r="250" spans="1:29" x14ac:dyDescent="0.4">
      <c r="A250" s="24" t="s">
        <v>412</v>
      </c>
      <c r="B250" s="24" t="s">
        <v>1030</v>
      </c>
      <c r="C250" s="24" t="s">
        <v>1030</v>
      </c>
      <c r="D250" s="22" t="s">
        <v>561</v>
      </c>
      <c r="E250" s="22">
        <v>9094462</v>
      </c>
      <c r="F250" s="22">
        <v>1010</v>
      </c>
      <c r="G250" s="22" t="s">
        <v>698</v>
      </c>
      <c r="H250" s="55" t="s">
        <v>1102</v>
      </c>
      <c r="I250" s="55" t="s">
        <v>404</v>
      </c>
      <c r="J250" s="93">
        <v>40340</v>
      </c>
      <c r="K250" s="55" t="s">
        <v>406</v>
      </c>
      <c r="L250" s="92"/>
      <c r="M250" s="92">
        <v>40000</v>
      </c>
      <c r="N250" s="80" t="str">
        <f t="shared" ref="N250:N313" si="4">VLOOKUP(E250,PO_Dates2009,2,FALSE)</f>
        <v>Verbal</v>
      </c>
      <c r="O250" s="80"/>
      <c r="Q250" s="211"/>
      <c r="R250" s="80"/>
      <c r="S250" s="80"/>
      <c r="T250" s="80"/>
      <c r="U250" s="22">
        <v>9094462</v>
      </c>
      <c r="V250" s="80">
        <v>39979</v>
      </c>
      <c r="X250" s="4">
        <v>9094309</v>
      </c>
      <c r="Y250" s="2">
        <v>39801</v>
      </c>
      <c r="AA250" s="22">
        <v>9094462</v>
      </c>
      <c r="AB250" s="55" t="s">
        <v>404</v>
      </c>
      <c r="AC250" s="57">
        <v>40340</v>
      </c>
    </row>
    <row r="251" spans="1:29" x14ac:dyDescent="0.4">
      <c r="A251" s="24" t="s">
        <v>412</v>
      </c>
      <c r="B251" s="24">
        <v>0</v>
      </c>
      <c r="C251" s="24">
        <v>0</v>
      </c>
      <c r="D251" s="22" t="s">
        <v>561</v>
      </c>
      <c r="E251" s="22">
        <v>9094460</v>
      </c>
      <c r="F251" s="22">
        <v>1010</v>
      </c>
      <c r="G251" s="22" t="s">
        <v>694</v>
      </c>
      <c r="H251" s="55" t="s">
        <v>1103</v>
      </c>
      <c r="I251" s="55" t="s">
        <v>404</v>
      </c>
      <c r="J251" s="94">
        <v>40178</v>
      </c>
      <c r="K251" s="55" t="s">
        <v>404</v>
      </c>
      <c r="L251" s="92">
        <v>40315</v>
      </c>
      <c r="M251" s="92">
        <v>39919</v>
      </c>
      <c r="N251" s="80">
        <f t="shared" si="4"/>
        <v>39787</v>
      </c>
      <c r="O251" s="80"/>
      <c r="Q251" s="211"/>
      <c r="R251" s="80"/>
      <c r="S251" s="80"/>
      <c r="T251" s="80"/>
      <c r="U251" s="22">
        <v>9094460</v>
      </c>
      <c r="V251" s="80">
        <v>39882</v>
      </c>
      <c r="X251" s="4">
        <v>9094279</v>
      </c>
      <c r="Y251" s="2">
        <v>39680</v>
      </c>
      <c r="AA251" s="22">
        <v>9094460</v>
      </c>
      <c r="AB251" s="55" t="s">
        <v>404</v>
      </c>
      <c r="AC251" s="94">
        <v>40178</v>
      </c>
    </row>
    <row r="252" spans="1:29" x14ac:dyDescent="0.4">
      <c r="A252" s="24" t="s">
        <v>412</v>
      </c>
      <c r="B252" s="24" t="s">
        <v>1030</v>
      </c>
      <c r="C252" s="24" t="s">
        <v>1030</v>
      </c>
      <c r="D252" s="22" t="s">
        <v>561</v>
      </c>
      <c r="E252" s="22">
        <v>9094463</v>
      </c>
      <c r="F252" s="22">
        <v>715</v>
      </c>
      <c r="G252" s="22" t="s">
        <v>699</v>
      </c>
      <c r="H252" s="55" t="s">
        <v>1104</v>
      </c>
      <c r="I252" s="55" t="s">
        <v>404</v>
      </c>
      <c r="J252" s="94">
        <v>40340</v>
      </c>
      <c r="K252" s="55" t="s">
        <v>406</v>
      </c>
      <c r="L252" s="92"/>
      <c r="M252" s="92">
        <v>40008</v>
      </c>
      <c r="N252" s="80" t="str">
        <f t="shared" si="4"/>
        <v>Verbal</v>
      </c>
      <c r="O252" s="80"/>
      <c r="Q252" s="211"/>
      <c r="R252" s="80"/>
      <c r="S252" s="80"/>
      <c r="T252" s="80"/>
      <c r="U252" s="22">
        <v>9094463</v>
      </c>
      <c r="V252" s="80">
        <v>39979</v>
      </c>
      <c r="X252" s="4">
        <v>9094280</v>
      </c>
      <c r="Y252" s="2">
        <v>39675</v>
      </c>
      <c r="AA252" s="22">
        <v>9094463</v>
      </c>
      <c r="AB252" s="55" t="s">
        <v>404</v>
      </c>
      <c r="AC252" s="94">
        <v>40340</v>
      </c>
    </row>
    <row r="253" spans="1:29" x14ac:dyDescent="0.4">
      <c r="A253" s="24" t="s">
        <v>412</v>
      </c>
      <c r="B253" s="24" t="s">
        <v>1030</v>
      </c>
      <c r="C253" s="24">
        <v>39716</v>
      </c>
      <c r="D253" s="22" t="s">
        <v>561</v>
      </c>
      <c r="E253" s="22">
        <v>9094455</v>
      </c>
      <c r="F253" s="22">
        <v>1010</v>
      </c>
      <c r="G253" s="22" t="s">
        <v>1105</v>
      </c>
      <c r="H253" s="55" t="s">
        <v>1106</v>
      </c>
      <c r="I253" s="55" t="s">
        <v>404</v>
      </c>
      <c r="J253" s="94">
        <v>39727</v>
      </c>
      <c r="K253" s="55" t="s">
        <v>404</v>
      </c>
      <c r="L253" s="92">
        <v>39910</v>
      </c>
      <c r="M253" s="92">
        <v>39727</v>
      </c>
      <c r="N253" s="80">
        <f t="shared" si="4"/>
        <v>39716</v>
      </c>
      <c r="O253" s="80"/>
      <c r="Q253" s="211"/>
      <c r="R253" s="80"/>
      <c r="S253" s="80"/>
      <c r="T253" s="80"/>
      <c r="U253" s="22">
        <v>9094455</v>
      </c>
      <c r="V253" s="80">
        <v>39885</v>
      </c>
      <c r="X253" s="4">
        <v>9094446</v>
      </c>
      <c r="Y253" s="2">
        <v>39850</v>
      </c>
      <c r="AA253" s="22">
        <v>9094455</v>
      </c>
      <c r="AB253" s="55" t="s">
        <v>404</v>
      </c>
      <c r="AC253" s="94">
        <v>39727</v>
      </c>
    </row>
    <row r="254" spans="1:29" x14ac:dyDescent="0.4">
      <c r="A254" s="24" t="s">
        <v>412</v>
      </c>
      <c r="B254" s="24" t="s">
        <v>1030</v>
      </c>
      <c r="C254" s="24">
        <v>39718</v>
      </c>
      <c r="D254" s="22" t="s">
        <v>561</v>
      </c>
      <c r="E254" s="22">
        <v>9094457</v>
      </c>
      <c r="F254" s="22">
        <v>715</v>
      </c>
      <c r="G254" s="22" t="s">
        <v>1107</v>
      </c>
      <c r="H254" s="55" t="s">
        <v>1110</v>
      </c>
      <c r="I254" s="55" t="s">
        <v>404</v>
      </c>
      <c r="J254" s="94">
        <v>39727</v>
      </c>
      <c r="K254" s="55" t="s">
        <v>404</v>
      </c>
      <c r="L254" s="92">
        <v>39834</v>
      </c>
      <c r="M254" s="92">
        <v>39727</v>
      </c>
      <c r="N254" s="80">
        <f t="shared" si="4"/>
        <v>39718</v>
      </c>
      <c r="O254" s="80"/>
      <c r="Q254" s="211"/>
      <c r="R254" s="80"/>
      <c r="S254" s="80"/>
      <c r="T254" s="80"/>
      <c r="U254" s="22">
        <v>9094457</v>
      </c>
      <c r="V254" s="80">
        <v>39813</v>
      </c>
      <c r="X254" s="4">
        <v>9094445</v>
      </c>
      <c r="Y254" s="2">
        <v>39850</v>
      </c>
      <c r="AA254" s="22">
        <v>9094457</v>
      </c>
      <c r="AB254" s="55" t="s">
        <v>404</v>
      </c>
      <c r="AC254" s="94">
        <v>39727</v>
      </c>
    </row>
    <row r="255" spans="1:29" x14ac:dyDescent="0.4">
      <c r="A255" s="24" t="s">
        <v>412</v>
      </c>
      <c r="B255" s="24" t="s">
        <v>1030</v>
      </c>
      <c r="C255" s="24">
        <v>39716</v>
      </c>
      <c r="D255" s="22" t="s">
        <v>561</v>
      </c>
      <c r="E255" s="22">
        <v>9094456</v>
      </c>
      <c r="F255" s="22">
        <v>715</v>
      </c>
      <c r="G255" s="22" t="s">
        <v>1111</v>
      </c>
      <c r="H255" s="55" t="s">
        <v>1112</v>
      </c>
      <c r="I255" s="55" t="s">
        <v>404</v>
      </c>
      <c r="J255" s="94">
        <v>39727</v>
      </c>
      <c r="K255" s="55" t="s">
        <v>404</v>
      </c>
      <c r="L255" s="92">
        <v>39834</v>
      </c>
      <c r="M255" s="92">
        <v>39727</v>
      </c>
      <c r="N255" s="80">
        <f t="shared" si="4"/>
        <v>39716</v>
      </c>
      <c r="O255" s="80"/>
      <c r="Q255" s="211"/>
      <c r="R255" s="80"/>
      <c r="S255" s="80"/>
      <c r="T255" s="80"/>
      <c r="U255" s="22">
        <v>9094456</v>
      </c>
      <c r="V255" s="80">
        <v>39813</v>
      </c>
      <c r="X255" s="4">
        <v>9094115</v>
      </c>
      <c r="Y255" s="2">
        <v>39675</v>
      </c>
      <c r="AA255" s="22">
        <v>9094456</v>
      </c>
      <c r="AB255" s="55" t="s">
        <v>404</v>
      </c>
      <c r="AC255" s="94">
        <v>39727</v>
      </c>
    </row>
    <row r="256" spans="1:29" x14ac:dyDescent="0.4">
      <c r="A256" s="24" t="s">
        <v>412</v>
      </c>
      <c r="B256" s="24">
        <v>0</v>
      </c>
      <c r="C256" s="24">
        <v>0</v>
      </c>
      <c r="D256" s="22" t="s">
        <v>561</v>
      </c>
      <c r="E256" s="155">
        <v>9094454</v>
      </c>
      <c r="F256" s="22">
        <v>1010</v>
      </c>
      <c r="G256" s="22" t="s">
        <v>1113</v>
      </c>
      <c r="H256" s="55" t="s">
        <v>1114</v>
      </c>
      <c r="I256" s="55" t="s">
        <v>404</v>
      </c>
      <c r="J256" s="94">
        <v>39727</v>
      </c>
      <c r="K256" s="55" t="s">
        <v>404</v>
      </c>
      <c r="L256" s="92">
        <v>39745</v>
      </c>
      <c r="M256" s="92">
        <v>39727</v>
      </c>
      <c r="N256" s="80">
        <f t="shared" si="4"/>
        <v>39706</v>
      </c>
      <c r="O256" s="80"/>
      <c r="Q256" s="211"/>
      <c r="R256" s="80"/>
      <c r="S256" s="80"/>
      <c r="T256" s="80"/>
      <c r="U256" s="33">
        <v>9094454</v>
      </c>
      <c r="V256" s="80">
        <v>39730</v>
      </c>
      <c r="X256" s="4">
        <v>9094079</v>
      </c>
      <c r="Y256" s="2">
        <v>39675</v>
      </c>
      <c r="AA256" s="33">
        <v>9094454</v>
      </c>
      <c r="AB256" s="55" t="s">
        <v>404</v>
      </c>
      <c r="AC256" s="94">
        <v>39727</v>
      </c>
    </row>
    <row r="257" spans="1:29" x14ac:dyDescent="0.4">
      <c r="A257" s="24" t="s">
        <v>412</v>
      </c>
      <c r="B257" s="24">
        <v>39918</v>
      </c>
      <c r="C257" s="24">
        <v>39675</v>
      </c>
      <c r="D257" s="22" t="s">
        <v>563</v>
      </c>
      <c r="E257" s="22">
        <v>9094374</v>
      </c>
      <c r="F257" s="22">
        <v>1010</v>
      </c>
      <c r="G257" s="22" t="s">
        <v>1115</v>
      </c>
      <c r="H257" s="55" t="s">
        <v>1116</v>
      </c>
      <c r="I257" s="55" t="s">
        <v>404</v>
      </c>
      <c r="J257" s="94">
        <v>39738</v>
      </c>
      <c r="K257" s="55" t="s">
        <v>404</v>
      </c>
      <c r="L257" s="92">
        <v>39957</v>
      </c>
      <c r="M257" s="92">
        <v>39741</v>
      </c>
      <c r="N257" s="80">
        <f t="shared" si="4"/>
        <v>39675</v>
      </c>
      <c r="O257" s="80"/>
      <c r="Q257" s="211"/>
      <c r="R257" s="80"/>
      <c r="S257" s="80"/>
      <c r="T257" s="80"/>
      <c r="U257" s="22">
        <v>9094374</v>
      </c>
      <c r="V257" s="80">
        <v>39903</v>
      </c>
      <c r="X257" s="4">
        <v>9094419</v>
      </c>
      <c r="Y257" s="2">
        <v>39681</v>
      </c>
      <c r="AA257" s="22">
        <v>9094374</v>
      </c>
      <c r="AB257" s="55" t="s">
        <v>404</v>
      </c>
      <c r="AC257" s="94">
        <v>39738</v>
      </c>
    </row>
    <row r="258" spans="1:29" x14ac:dyDescent="0.4">
      <c r="A258" s="24" t="s">
        <v>412</v>
      </c>
      <c r="B258" s="24">
        <v>39918</v>
      </c>
      <c r="C258" s="24">
        <v>39675</v>
      </c>
      <c r="D258" s="22" t="s">
        <v>563</v>
      </c>
      <c r="E258" s="22">
        <v>9094375</v>
      </c>
      <c r="F258" s="22">
        <v>1010</v>
      </c>
      <c r="G258" s="22" t="s">
        <v>1117</v>
      </c>
      <c r="H258" s="55" t="s">
        <v>1127</v>
      </c>
      <c r="I258" s="55" t="s">
        <v>404</v>
      </c>
      <c r="J258" s="94">
        <v>39738</v>
      </c>
      <c r="K258" s="55" t="s">
        <v>404</v>
      </c>
      <c r="L258" s="92">
        <v>39957</v>
      </c>
      <c r="M258" s="92">
        <v>39738</v>
      </c>
      <c r="N258" s="80">
        <f t="shared" si="4"/>
        <v>39675</v>
      </c>
      <c r="O258" s="80"/>
      <c r="Q258" s="211"/>
      <c r="R258" s="80"/>
      <c r="S258" s="80"/>
      <c r="T258" s="80"/>
      <c r="U258" s="22">
        <v>9094375</v>
      </c>
      <c r="V258" s="80">
        <v>39903</v>
      </c>
      <c r="X258" s="4">
        <v>9094466</v>
      </c>
      <c r="Y258" s="2">
        <v>39851</v>
      </c>
      <c r="AA258" s="22">
        <v>9094375</v>
      </c>
      <c r="AB258" s="55" t="s">
        <v>404</v>
      </c>
      <c r="AC258" s="94">
        <v>39738</v>
      </c>
    </row>
    <row r="259" spans="1:29" x14ac:dyDescent="0.4">
      <c r="A259" s="24" t="s">
        <v>412</v>
      </c>
      <c r="B259" s="24">
        <v>39918</v>
      </c>
      <c r="C259" s="24">
        <v>39675</v>
      </c>
      <c r="D259" s="22" t="s">
        <v>563</v>
      </c>
      <c r="E259" s="22">
        <v>9094378</v>
      </c>
      <c r="F259" s="22">
        <v>1210</v>
      </c>
      <c r="G259" s="22" t="s">
        <v>1128</v>
      </c>
      <c r="H259" s="55" t="s">
        <v>1129</v>
      </c>
      <c r="I259" s="55" t="s">
        <v>404</v>
      </c>
      <c r="J259" s="93">
        <v>40049</v>
      </c>
      <c r="K259" s="55" t="s">
        <v>404</v>
      </c>
      <c r="L259" s="93">
        <v>40049</v>
      </c>
      <c r="M259" s="92">
        <v>39709</v>
      </c>
      <c r="N259" s="80">
        <f t="shared" si="4"/>
        <v>39675</v>
      </c>
      <c r="O259" s="80"/>
      <c r="Q259" s="211"/>
      <c r="R259" s="80"/>
      <c r="S259" s="80"/>
      <c r="T259" s="80"/>
      <c r="U259" s="22">
        <v>9094378</v>
      </c>
      <c r="V259" s="80">
        <v>39924</v>
      </c>
      <c r="X259" s="4">
        <v>9094435</v>
      </c>
      <c r="Y259" s="2">
        <v>39690</v>
      </c>
      <c r="AA259" s="22">
        <v>9094378</v>
      </c>
      <c r="AB259" s="55" t="s">
        <v>404</v>
      </c>
      <c r="AC259" s="93">
        <v>40049</v>
      </c>
    </row>
    <row r="260" spans="1:29" x14ac:dyDescent="0.4">
      <c r="A260" s="24" t="s">
        <v>412</v>
      </c>
      <c r="B260" s="24">
        <v>39706</v>
      </c>
      <c r="C260" s="24">
        <v>39675</v>
      </c>
      <c r="D260" s="22" t="s">
        <v>563</v>
      </c>
      <c r="E260" s="22">
        <v>9094038</v>
      </c>
      <c r="F260" s="22">
        <v>715</v>
      </c>
      <c r="G260" s="22">
        <v>1</v>
      </c>
      <c r="H260" s="55" t="s">
        <v>1130</v>
      </c>
      <c r="I260" s="55" t="s">
        <v>404</v>
      </c>
      <c r="J260" s="94">
        <v>39954</v>
      </c>
      <c r="K260" s="55" t="s">
        <v>404</v>
      </c>
      <c r="L260" s="94">
        <v>39954</v>
      </c>
      <c r="M260" s="92">
        <v>39706</v>
      </c>
      <c r="N260" s="80">
        <f t="shared" si="4"/>
        <v>39675</v>
      </c>
      <c r="O260" s="80"/>
      <c r="Q260" s="211"/>
      <c r="R260" s="80"/>
      <c r="S260" s="80"/>
      <c r="T260" s="80"/>
      <c r="U260" s="22">
        <v>9094038</v>
      </c>
      <c r="V260" s="80">
        <v>39696</v>
      </c>
      <c r="X260" s="4">
        <v>9094459</v>
      </c>
      <c r="Y260" s="2">
        <v>39706</v>
      </c>
      <c r="AA260" s="22">
        <v>9094038</v>
      </c>
      <c r="AB260" s="55" t="s">
        <v>404</v>
      </c>
      <c r="AC260" s="94">
        <v>39954</v>
      </c>
    </row>
    <row r="261" spans="1:29" x14ac:dyDescent="0.4">
      <c r="A261" s="24" t="s">
        <v>412</v>
      </c>
      <c r="B261" s="24">
        <v>39706</v>
      </c>
      <c r="C261" s="24">
        <v>39675</v>
      </c>
      <c r="D261" s="22" t="s">
        <v>563</v>
      </c>
      <c r="E261" s="22">
        <v>9094058</v>
      </c>
      <c r="F261" s="22">
        <v>1010</v>
      </c>
      <c r="G261" s="22" t="s">
        <v>1131</v>
      </c>
      <c r="H261" s="55" t="s">
        <v>1132</v>
      </c>
      <c r="I261" s="55" t="s">
        <v>404</v>
      </c>
      <c r="J261" s="94">
        <v>39738</v>
      </c>
      <c r="K261" s="55" t="s">
        <v>404</v>
      </c>
      <c r="L261" s="92">
        <v>39839</v>
      </c>
      <c r="M261" s="92">
        <v>39738</v>
      </c>
      <c r="N261" s="80">
        <f t="shared" si="4"/>
        <v>39675</v>
      </c>
      <c r="O261" s="80"/>
      <c r="Q261" s="211"/>
      <c r="R261" s="80"/>
      <c r="S261" s="80"/>
      <c r="T261" s="80"/>
      <c r="U261" s="22">
        <v>9094058</v>
      </c>
      <c r="V261" s="80">
        <v>39737</v>
      </c>
      <c r="X261" s="4">
        <v>9094460</v>
      </c>
      <c r="Y261" s="2">
        <v>39787</v>
      </c>
      <c r="AA261" s="22">
        <v>9094058</v>
      </c>
      <c r="AB261" s="55" t="s">
        <v>404</v>
      </c>
      <c r="AC261" s="94">
        <v>39738</v>
      </c>
    </row>
    <row r="262" spans="1:29" x14ac:dyDescent="0.4">
      <c r="A262" s="24" t="s">
        <v>412</v>
      </c>
      <c r="B262" s="24">
        <v>39918</v>
      </c>
      <c r="C262" s="24">
        <v>39675</v>
      </c>
      <c r="D262" s="22" t="s">
        <v>563</v>
      </c>
      <c r="E262" s="22">
        <v>9094256</v>
      </c>
      <c r="F262" s="22">
        <v>1010</v>
      </c>
      <c r="G262" s="22">
        <v>2</v>
      </c>
      <c r="H262" s="55" t="s">
        <v>1133</v>
      </c>
      <c r="I262" s="55" t="s">
        <v>404</v>
      </c>
      <c r="J262" s="94">
        <v>39861</v>
      </c>
      <c r="K262" s="55" t="s">
        <v>404</v>
      </c>
      <c r="L262" s="92">
        <v>39957</v>
      </c>
      <c r="M262" s="92">
        <v>39828</v>
      </c>
      <c r="N262" s="80">
        <f t="shared" si="4"/>
        <v>39675</v>
      </c>
      <c r="O262" s="80"/>
      <c r="Q262" s="211"/>
      <c r="R262" s="80"/>
      <c r="S262" s="80"/>
      <c r="T262" s="80"/>
      <c r="U262" s="22">
        <v>9094256</v>
      </c>
      <c r="V262" s="80">
        <v>39794</v>
      </c>
      <c r="X262" s="4">
        <v>9094348</v>
      </c>
      <c r="Y262" s="2">
        <v>39665</v>
      </c>
      <c r="AA262" s="22">
        <v>9094256</v>
      </c>
      <c r="AB262" s="55" t="s">
        <v>404</v>
      </c>
      <c r="AC262" s="94">
        <v>39861</v>
      </c>
    </row>
    <row r="263" spans="1:29" x14ac:dyDescent="0.4">
      <c r="A263" s="24" t="s">
        <v>412</v>
      </c>
      <c r="B263" s="24">
        <v>39918</v>
      </c>
      <c r="C263" s="24">
        <v>39675</v>
      </c>
      <c r="D263" s="22" t="s">
        <v>563</v>
      </c>
      <c r="E263" s="22">
        <v>9094258</v>
      </c>
      <c r="F263" s="22">
        <v>1010</v>
      </c>
      <c r="G263" s="22">
        <v>3</v>
      </c>
      <c r="H263" s="55" t="s">
        <v>1134</v>
      </c>
      <c r="I263" s="55" t="s">
        <v>404</v>
      </c>
      <c r="J263" s="94">
        <v>39806</v>
      </c>
      <c r="K263" s="55" t="s">
        <v>404</v>
      </c>
      <c r="L263" s="92">
        <v>39957</v>
      </c>
      <c r="M263" s="92">
        <v>39828</v>
      </c>
      <c r="N263" s="80">
        <f t="shared" si="4"/>
        <v>39675</v>
      </c>
      <c r="O263" s="80"/>
      <c r="Q263" s="211"/>
      <c r="R263" s="80"/>
      <c r="S263" s="80"/>
      <c r="T263" s="80"/>
      <c r="U263" s="22">
        <v>9094258</v>
      </c>
      <c r="V263" s="80">
        <v>39794</v>
      </c>
      <c r="X263" s="4">
        <v>9094349</v>
      </c>
      <c r="Y263" s="2">
        <v>39665</v>
      </c>
      <c r="AA263" s="22">
        <v>9094258</v>
      </c>
      <c r="AB263" s="55" t="s">
        <v>404</v>
      </c>
      <c r="AC263" s="94">
        <v>39806</v>
      </c>
    </row>
    <row r="264" spans="1:29" x14ac:dyDescent="0.4">
      <c r="A264" s="24" t="s">
        <v>412</v>
      </c>
      <c r="B264" s="24">
        <v>39918</v>
      </c>
      <c r="C264" s="24">
        <v>39675</v>
      </c>
      <c r="D264" s="22" t="s">
        <v>563</v>
      </c>
      <c r="E264" s="22">
        <v>9094381</v>
      </c>
      <c r="F264" s="22">
        <v>1210</v>
      </c>
      <c r="G264" s="22">
        <v>12</v>
      </c>
      <c r="H264" s="55" t="s">
        <v>1135</v>
      </c>
      <c r="I264" s="55" t="s">
        <v>404</v>
      </c>
      <c r="J264" s="94">
        <v>39954</v>
      </c>
      <c r="K264" s="55" t="s">
        <v>404</v>
      </c>
      <c r="L264" s="92">
        <v>39954</v>
      </c>
      <c r="M264" s="92">
        <v>39738</v>
      </c>
      <c r="N264" s="80">
        <f t="shared" si="4"/>
        <v>39675</v>
      </c>
      <c r="O264" s="80"/>
      <c r="Q264" s="211"/>
      <c r="R264" s="80"/>
      <c r="S264" s="80"/>
      <c r="T264" s="80"/>
      <c r="U264" s="22">
        <v>9094381</v>
      </c>
      <c r="V264" s="80">
        <v>39927</v>
      </c>
      <c r="X264" s="4">
        <v>9094307</v>
      </c>
      <c r="Y264" s="2">
        <v>39794</v>
      </c>
      <c r="AA264" s="22">
        <v>9094381</v>
      </c>
      <c r="AB264" s="55" t="s">
        <v>404</v>
      </c>
      <c r="AC264" s="94">
        <v>39954</v>
      </c>
    </row>
    <row r="265" spans="1:29" x14ac:dyDescent="0.4">
      <c r="A265" s="24" t="s">
        <v>412</v>
      </c>
      <c r="B265" s="24">
        <v>39918</v>
      </c>
      <c r="C265" s="24">
        <v>39675</v>
      </c>
      <c r="D265" s="22" t="s">
        <v>563</v>
      </c>
      <c r="E265" s="22">
        <v>9094376</v>
      </c>
      <c r="F265" s="22">
        <v>1010</v>
      </c>
      <c r="G265" s="22">
        <v>7</v>
      </c>
      <c r="H265" s="55" t="s">
        <v>1136</v>
      </c>
      <c r="I265" s="55" t="s">
        <v>404</v>
      </c>
      <c r="J265" s="94">
        <v>39984</v>
      </c>
      <c r="K265" s="55" t="s">
        <v>404</v>
      </c>
      <c r="L265" s="94">
        <v>39986</v>
      </c>
      <c r="M265" s="92">
        <v>39891</v>
      </c>
      <c r="N265" s="80">
        <f t="shared" si="4"/>
        <v>39675</v>
      </c>
      <c r="O265" s="80"/>
      <c r="Q265" s="211"/>
      <c r="R265" s="80"/>
      <c r="S265" s="80"/>
      <c r="T265" s="80"/>
      <c r="U265" s="22">
        <v>9094376</v>
      </c>
      <c r="V265" s="80">
        <v>39930</v>
      </c>
      <c r="X265" s="4">
        <v>9094308</v>
      </c>
      <c r="Y265" s="2">
        <v>39797</v>
      </c>
      <c r="AA265" s="22">
        <v>9094376</v>
      </c>
      <c r="AB265" s="55" t="s">
        <v>404</v>
      </c>
      <c r="AC265" s="94">
        <v>39984</v>
      </c>
    </row>
    <row r="266" spans="1:29" x14ac:dyDescent="0.4">
      <c r="A266" s="24" t="s">
        <v>412</v>
      </c>
      <c r="B266" s="24">
        <v>39918</v>
      </c>
      <c r="C266" s="24">
        <v>39675</v>
      </c>
      <c r="D266" s="22" t="s">
        <v>563</v>
      </c>
      <c r="E266" s="22">
        <v>9094377</v>
      </c>
      <c r="F266" s="22">
        <v>1010</v>
      </c>
      <c r="G266" s="22">
        <v>8</v>
      </c>
      <c r="H266" s="55" t="s">
        <v>1137</v>
      </c>
      <c r="I266" s="55" t="s">
        <v>404</v>
      </c>
      <c r="J266" s="94">
        <v>39984</v>
      </c>
      <c r="K266" s="55" t="s">
        <v>404</v>
      </c>
      <c r="L266" s="94">
        <v>39986</v>
      </c>
      <c r="M266" s="92">
        <v>39738</v>
      </c>
      <c r="N266" s="80">
        <f t="shared" si="4"/>
        <v>39675</v>
      </c>
      <c r="O266" s="80"/>
      <c r="Q266" s="211"/>
      <c r="R266" s="80"/>
      <c r="S266" s="80"/>
      <c r="T266" s="80"/>
      <c r="U266" s="22">
        <v>9094377</v>
      </c>
      <c r="V266" s="80">
        <v>39932</v>
      </c>
      <c r="X266" s="4">
        <v>9094455</v>
      </c>
      <c r="Y266" s="2">
        <v>39716</v>
      </c>
      <c r="AA266" s="22">
        <v>9094377</v>
      </c>
      <c r="AB266" s="55" t="s">
        <v>404</v>
      </c>
      <c r="AC266" s="94">
        <v>39984</v>
      </c>
    </row>
    <row r="267" spans="1:29" x14ac:dyDescent="0.4">
      <c r="A267" s="24" t="s">
        <v>412</v>
      </c>
      <c r="B267" s="24">
        <v>39918</v>
      </c>
      <c r="C267" s="24">
        <v>39675</v>
      </c>
      <c r="D267" s="22" t="s">
        <v>563</v>
      </c>
      <c r="E267" s="22">
        <v>9094380</v>
      </c>
      <c r="F267" s="22">
        <v>1210</v>
      </c>
      <c r="G267" s="22">
        <v>11</v>
      </c>
      <c r="H267" s="55" t="s">
        <v>1138</v>
      </c>
      <c r="I267" s="55" t="s">
        <v>404</v>
      </c>
      <c r="J267" s="94">
        <v>39954</v>
      </c>
      <c r="K267" s="55" t="s">
        <v>404</v>
      </c>
      <c r="L267" s="94">
        <v>39954</v>
      </c>
      <c r="M267" s="92">
        <v>39891</v>
      </c>
      <c r="N267" s="80">
        <f t="shared" si="4"/>
        <v>39675</v>
      </c>
      <c r="O267" s="80"/>
      <c r="Q267" s="211"/>
      <c r="R267" s="80"/>
      <c r="S267" s="80"/>
      <c r="T267" s="80"/>
      <c r="U267" s="22">
        <v>9094380</v>
      </c>
      <c r="V267" s="80">
        <v>39909</v>
      </c>
      <c r="X267" s="4">
        <v>9094148</v>
      </c>
      <c r="Y267" s="2">
        <v>39665</v>
      </c>
      <c r="AA267" s="22">
        <v>9094380</v>
      </c>
      <c r="AB267" s="55" t="s">
        <v>404</v>
      </c>
      <c r="AC267" s="94">
        <v>39954</v>
      </c>
    </row>
    <row r="268" spans="1:29" x14ac:dyDescent="0.4">
      <c r="A268" s="24" t="s">
        <v>412</v>
      </c>
      <c r="B268" s="24">
        <v>39918</v>
      </c>
      <c r="C268" s="24">
        <v>39675</v>
      </c>
      <c r="D268" s="22" t="s">
        <v>563</v>
      </c>
      <c r="E268" s="34">
        <v>9094379</v>
      </c>
      <c r="F268" s="22">
        <v>1210</v>
      </c>
      <c r="G268" s="22">
        <v>10</v>
      </c>
      <c r="H268" s="55" t="s">
        <v>1139</v>
      </c>
      <c r="I268" s="55" t="s">
        <v>406</v>
      </c>
      <c r="J268" s="94"/>
      <c r="K268" s="55" t="s">
        <v>406</v>
      </c>
      <c r="L268" s="92"/>
      <c r="M268" s="92">
        <v>39891</v>
      </c>
      <c r="N268" s="80">
        <f t="shared" si="4"/>
        <v>39675</v>
      </c>
      <c r="O268" s="80"/>
      <c r="Q268" s="211"/>
      <c r="R268" s="80"/>
      <c r="S268" s="80"/>
      <c r="T268" s="80"/>
      <c r="U268" s="34">
        <v>9094379</v>
      </c>
      <c r="V268" s="80">
        <v>39932</v>
      </c>
      <c r="X268" s="4">
        <v>9094149</v>
      </c>
      <c r="Y268" s="2">
        <v>39665</v>
      </c>
      <c r="AA268" s="34">
        <v>9094379</v>
      </c>
      <c r="AB268" s="55" t="s">
        <v>404</v>
      </c>
      <c r="AC268" s="94">
        <v>40439</v>
      </c>
    </row>
    <row r="269" spans="1:29" x14ac:dyDescent="0.4">
      <c r="A269" s="24" t="s">
        <v>412</v>
      </c>
      <c r="B269" s="24">
        <v>39736</v>
      </c>
      <c r="C269" s="24">
        <v>39675</v>
      </c>
      <c r="D269" s="22" t="s">
        <v>570</v>
      </c>
      <c r="E269" s="34">
        <v>9094093</v>
      </c>
      <c r="F269" s="22">
        <v>1010</v>
      </c>
      <c r="G269" s="22">
        <v>1</v>
      </c>
      <c r="H269" s="55" t="s">
        <v>1151</v>
      </c>
      <c r="I269" s="55" t="s">
        <v>406</v>
      </c>
      <c r="J269" s="94"/>
      <c r="K269" s="55" t="s">
        <v>406</v>
      </c>
      <c r="L269" s="92"/>
      <c r="M269" s="92">
        <v>40163</v>
      </c>
      <c r="N269" s="80">
        <f t="shared" si="4"/>
        <v>39675</v>
      </c>
      <c r="O269" s="80"/>
      <c r="Q269" s="211"/>
      <c r="R269" s="80"/>
      <c r="S269" s="80"/>
      <c r="T269" s="80"/>
      <c r="U269" s="34">
        <v>9094093</v>
      </c>
      <c r="V269" s="80">
        <v>39731</v>
      </c>
      <c r="X269" s="4">
        <v>9094229</v>
      </c>
      <c r="Y269" s="2">
        <v>39668</v>
      </c>
      <c r="AA269" s="34">
        <v>9094093</v>
      </c>
      <c r="AB269" s="55" t="s">
        <v>404</v>
      </c>
      <c r="AC269" s="94">
        <v>40439</v>
      </c>
    </row>
    <row r="270" spans="1:29" x14ac:dyDescent="0.4">
      <c r="A270" s="24" t="s">
        <v>412</v>
      </c>
      <c r="B270" s="24">
        <v>39736</v>
      </c>
      <c r="C270" s="24">
        <v>39675</v>
      </c>
      <c r="D270" s="22" t="s">
        <v>570</v>
      </c>
      <c r="E270" s="22">
        <v>9094094</v>
      </c>
      <c r="F270" s="22">
        <v>1010</v>
      </c>
      <c r="G270" s="22">
        <v>2</v>
      </c>
      <c r="H270" s="55" t="s">
        <v>1152</v>
      </c>
      <c r="I270" s="55" t="s">
        <v>404</v>
      </c>
      <c r="J270" s="94">
        <v>39843</v>
      </c>
      <c r="K270" s="55" t="s">
        <v>404</v>
      </c>
      <c r="L270" s="92">
        <v>39986</v>
      </c>
      <c r="M270" s="92">
        <v>39861</v>
      </c>
      <c r="N270" s="80">
        <f t="shared" si="4"/>
        <v>39675</v>
      </c>
      <c r="O270" s="80"/>
      <c r="Q270" s="211"/>
      <c r="R270" s="80"/>
      <c r="S270" s="80"/>
      <c r="T270" s="80"/>
      <c r="U270" s="22">
        <v>9094094</v>
      </c>
      <c r="V270" s="80">
        <v>39737</v>
      </c>
      <c r="X270" s="4">
        <v>9094036</v>
      </c>
      <c r="Y270" s="2">
        <v>39668</v>
      </c>
      <c r="AA270" s="22">
        <v>9094094</v>
      </c>
      <c r="AB270" s="55" t="s">
        <v>404</v>
      </c>
      <c r="AC270" s="94">
        <v>39843</v>
      </c>
    </row>
    <row r="271" spans="1:29" x14ac:dyDescent="0.4">
      <c r="A271" s="24" t="s">
        <v>412</v>
      </c>
      <c r="B271" s="24">
        <v>0</v>
      </c>
      <c r="C271" s="24">
        <v>39680</v>
      </c>
      <c r="D271" s="22" t="s">
        <v>570</v>
      </c>
      <c r="E271" s="22">
        <v>9094279</v>
      </c>
      <c r="F271" s="22">
        <v>1010</v>
      </c>
      <c r="G271" s="22">
        <v>4</v>
      </c>
      <c r="H271" s="55" t="s">
        <v>1153</v>
      </c>
      <c r="I271" s="55" t="s">
        <v>406</v>
      </c>
      <c r="J271" s="94"/>
      <c r="K271" s="55" t="s">
        <v>406</v>
      </c>
      <c r="L271" s="92"/>
      <c r="M271" s="92">
        <v>40163</v>
      </c>
      <c r="N271" s="80">
        <f t="shared" si="4"/>
        <v>39680</v>
      </c>
      <c r="O271" s="80"/>
      <c r="Q271" s="211"/>
      <c r="R271" s="80"/>
      <c r="S271" s="80"/>
      <c r="T271" s="80"/>
      <c r="U271" s="22">
        <v>9094279</v>
      </c>
      <c r="V271" s="80">
        <v>39875</v>
      </c>
      <c r="X271" s="4">
        <v>9094441</v>
      </c>
      <c r="Y271" s="2">
        <v>39937</v>
      </c>
      <c r="AA271" s="22">
        <v>9094279</v>
      </c>
      <c r="AB271" s="55" t="s">
        <v>404</v>
      </c>
      <c r="AC271" s="94">
        <v>40967</v>
      </c>
    </row>
    <row r="272" spans="1:29" x14ac:dyDescent="0.4">
      <c r="A272" s="24" t="s">
        <v>412</v>
      </c>
      <c r="B272" s="24">
        <v>0</v>
      </c>
      <c r="C272" s="24">
        <v>39680</v>
      </c>
      <c r="D272" s="22" t="s">
        <v>570</v>
      </c>
      <c r="E272" s="22">
        <v>9094278</v>
      </c>
      <c r="F272" s="22">
        <v>1010</v>
      </c>
      <c r="G272" s="22">
        <v>3</v>
      </c>
      <c r="H272" s="55" t="s">
        <v>1154</v>
      </c>
      <c r="I272" s="55" t="s">
        <v>406</v>
      </c>
      <c r="J272" s="94"/>
      <c r="K272" s="55" t="s">
        <v>406</v>
      </c>
      <c r="L272" s="92"/>
      <c r="M272" s="92">
        <v>40163</v>
      </c>
      <c r="N272" s="80">
        <f t="shared" si="4"/>
        <v>39680</v>
      </c>
      <c r="O272" s="80"/>
      <c r="Q272" s="211"/>
      <c r="R272" s="80"/>
      <c r="S272" s="80"/>
      <c r="T272" s="80"/>
      <c r="U272" s="22">
        <v>9094278</v>
      </c>
      <c r="V272" s="80">
        <v>39909</v>
      </c>
      <c r="X272" s="4">
        <v>9094442</v>
      </c>
      <c r="Y272" s="2">
        <v>39937</v>
      </c>
      <c r="AA272" s="22">
        <v>9094278</v>
      </c>
      <c r="AB272" s="55" t="s">
        <v>404</v>
      </c>
      <c r="AC272" s="94">
        <v>40647</v>
      </c>
    </row>
    <row r="273" spans="1:29" x14ac:dyDescent="0.4">
      <c r="A273" s="24" t="s">
        <v>412</v>
      </c>
      <c r="B273" s="24">
        <v>39995</v>
      </c>
      <c r="C273" s="24">
        <v>39987</v>
      </c>
      <c r="D273" s="22" t="s">
        <v>574</v>
      </c>
      <c r="E273" s="22">
        <v>9094273</v>
      </c>
      <c r="F273" s="22">
        <v>715</v>
      </c>
      <c r="G273" s="22" t="s">
        <v>1157</v>
      </c>
      <c r="H273" s="55"/>
      <c r="I273" s="55" t="s">
        <v>404</v>
      </c>
      <c r="J273" s="94">
        <v>40013</v>
      </c>
      <c r="K273" s="55" t="s">
        <v>404</v>
      </c>
      <c r="L273" s="94">
        <v>40013</v>
      </c>
      <c r="M273" s="92">
        <v>39996</v>
      </c>
      <c r="N273" s="80">
        <f t="shared" si="4"/>
        <v>39987</v>
      </c>
      <c r="O273" s="80"/>
      <c r="Q273" s="211"/>
      <c r="R273" s="80"/>
      <c r="S273" s="80"/>
      <c r="T273" s="80"/>
      <c r="U273" s="22">
        <v>9094078</v>
      </c>
      <c r="V273" s="80">
        <v>39721</v>
      </c>
      <c r="X273" s="4">
        <v>9094444</v>
      </c>
      <c r="Y273" s="2">
        <v>39696</v>
      </c>
      <c r="AA273" s="22">
        <v>9094273</v>
      </c>
      <c r="AB273" s="55" t="s">
        <v>404</v>
      </c>
      <c r="AC273" s="94">
        <v>40013</v>
      </c>
    </row>
    <row r="274" spans="1:29" x14ac:dyDescent="0.4">
      <c r="A274" s="24" t="s">
        <v>412</v>
      </c>
      <c r="B274" s="24">
        <v>39706</v>
      </c>
      <c r="C274" s="24">
        <v>39672</v>
      </c>
      <c r="D274" s="22" t="s">
        <v>574</v>
      </c>
      <c r="E274" s="22">
        <v>9094071</v>
      </c>
      <c r="F274" s="22">
        <v>1010</v>
      </c>
      <c r="G274" s="22" t="s">
        <v>1158</v>
      </c>
      <c r="H274" s="55" t="s">
        <v>1162</v>
      </c>
      <c r="I274" s="55" t="s">
        <v>404</v>
      </c>
      <c r="J274" s="94">
        <v>39934</v>
      </c>
      <c r="K274" s="55" t="s">
        <v>404</v>
      </c>
      <c r="L274" s="92">
        <v>39957</v>
      </c>
      <c r="M274" s="92">
        <v>39890</v>
      </c>
      <c r="N274" s="80">
        <f t="shared" si="4"/>
        <v>39672</v>
      </c>
      <c r="O274" s="80"/>
      <c r="Q274" s="211"/>
      <c r="R274" s="80"/>
      <c r="S274" s="80"/>
      <c r="T274" s="80"/>
      <c r="U274" s="22">
        <v>9094273</v>
      </c>
      <c r="V274" s="80">
        <v>0</v>
      </c>
      <c r="X274" s="4">
        <v>9094251</v>
      </c>
      <c r="Y274" s="2">
        <v>39675</v>
      </c>
      <c r="AA274" s="22">
        <v>9094071</v>
      </c>
      <c r="AB274" s="55" t="s">
        <v>404</v>
      </c>
      <c r="AC274" s="94">
        <v>39934</v>
      </c>
    </row>
    <row r="275" spans="1:29" x14ac:dyDescent="0.4">
      <c r="A275" s="24" t="s">
        <v>412</v>
      </c>
      <c r="B275" s="24">
        <v>39706</v>
      </c>
      <c r="C275" s="24">
        <v>39672</v>
      </c>
      <c r="D275" s="22" t="s">
        <v>574</v>
      </c>
      <c r="E275" s="22">
        <v>9094171</v>
      </c>
      <c r="F275" s="22">
        <v>1010</v>
      </c>
      <c r="G275" s="22" t="s">
        <v>1163</v>
      </c>
      <c r="H275" s="55" t="s">
        <v>1164</v>
      </c>
      <c r="I275" s="55" t="s">
        <v>404</v>
      </c>
      <c r="J275" s="94">
        <v>40013</v>
      </c>
      <c r="K275" s="55" t="s">
        <v>404</v>
      </c>
      <c r="L275" s="94">
        <v>40013</v>
      </c>
      <c r="M275" s="92">
        <v>39717</v>
      </c>
      <c r="N275" s="80">
        <f t="shared" si="4"/>
        <v>39672</v>
      </c>
      <c r="O275" s="80"/>
      <c r="Q275" s="211"/>
      <c r="R275" s="80"/>
      <c r="S275" s="80"/>
      <c r="T275" s="80"/>
      <c r="U275" s="22">
        <v>9094071</v>
      </c>
      <c r="V275" s="80">
        <v>39787</v>
      </c>
      <c r="X275" s="4">
        <v>9094443</v>
      </c>
      <c r="Y275" s="2">
        <v>39757</v>
      </c>
      <c r="AA275" s="22">
        <v>9094171</v>
      </c>
      <c r="AB275" s="55" t="s">
        <v>404</v>
      </c>
      <c r="AC275" s="94">
        <v>40013</v>
      </c>
    </row>
    <row r="276" spans="1:29" x14ac:dyDescent="0.4">
      <c r="A276" s="24" t="s">
        <v>412</v>
      </c>
      <c r="B276" s="24">
        <v>39706</v>
      </c>
      <c r="C276" s="24">
        <v>39672</v>
      </c>
      <c r="D276" s="22" t="s">
        <v>574</v>
      </c>
      <c r="E276" s="22">
        <v>9094211</v>
      </c>
      <c r="F276" s="22">
        <v>715</v>
      </c>
      <c r="G276" s="22" t="s">
        <v>1165</v>
      </c>
      <c r="H276" s="55" t="s">
        <v>1166</v>
      </c>
      <c r="I276" s="55" t="s">
        <v>404</v>
      </c>
      <c r="J276" s="94">
        <v>39843</v>
      </c>
      <c r="K276" s="55" t="s">
        <v>404</v>
      </c>
      <c r="L276" s="92">
        <v>39957</v>
      </c>
      <c r="M276" s="92">
        <v>39717</v>
      </c>
      <c r="N276" s="80">
        <f t="shared" si="4"/>
        <v>39672</v>
      </c>
      <c r="O276" s="80"/>
      <c r="Q276" s="211"/>
      <c r="R276" s="80"/>
      <c r="S276" s="80"/>
      <c r="T276" s="80"/>
      <c r="U276" s="22">
        <v>9094171</v>
      </c>
      <c r="V276" s="80">
        <v>39787</v>
      </c>
      <c r="X276" s="4">
        <v>9094338</v>
      </c>
      <c r="Y276" s="2">
        <v>39668</v>
      </c>
      <c r="AA276" s="22">
        <v>9094211</v>
      </c>
      <c r="AB276" s="55" t="s">
        <v>404</v>
      </c>
      <c r="AC276" s="94">
        <v>39843</v>
      </c>
    </row>
    <row r="277" spans="1:29" x14ac:dyDescent="0.4">
      <c r="A277" s="24" t="s">
        <v>412</v>
      </c>
      <c r="B277" s="24">
        <v>39706</v>
      </c>
      <c r="C277" s="24">
        <v>39672</v>
      </c>
      <c r="D277" s="22" t="s">
        <v>574</v>
      </c>
      <c r="E277" s="22">
        <v>9094214</v>
      </c>
      <c r="F277" s="22">
        <v>715</v>
      </c>
      <c r="G277" s="22" t="s">
        <v>1167</v>
      </c>
      <c r="H277" s="55" t="s">
        <v>1168</v>
      </c>
      <c r="I277" s="55" t="s">
        <v>404</v>
      </c>
      <c r="J277" s="94">
        <v>39843</v>
      </c>
      <c r="K277" s="55" t="s">
        <v>404</v>
      </c>
      <c r="L277" s="92">
        <v>39957</v>
      </c>
      <c r="M277" s="92">
        <v>39717</v>
      </c>
      <c r="N277" s="80">
        <f t="shared" si="4"/>
        <v>39672</v>
      </c>
      <c r="O277" s="80"/>
      <c r="Q277" s="211"/>
      <c r="R277" s="80"/>
      <c r="S277" s="80"/>
      <c r="T277" s="80"/>
      <c r="U277" s="22">
        <v>9094211</v>
      </c>
      <c r="V277" s="80">
        <v>39790</v>
      </c>
      <c r="X277" s="4">
        <v>9094464</v>
      </c>
      <c r="Y277" s="2">
        <v>39703</v>
      </c>
      <c r="AA277" s="22">
        <v>9094214</v>
      </c>
      <c r="AB277" s="55" t="s">
        <v>404</v>
      </c>
      <c r="AC277" s="94">
        <v>39843</v>
      </c>
    </row>
    <row r="278" spans="1:29" x14ac:dyDescent="0.4">
      <c r="A278" s="24" t="s">
        <v>412</v>
      </c>
      <c r="B278" s="24">
        <v>39706</v>
      </c>
      <c r="C278" s="24">
        <v>39672</v>
      </c>
      <c r="D278" s="22" t="s">
        <v>574</v>
      </c>
      <c r="E278" s="22">
        <v>9094226</v>
      </c>
      <c r="F278" s="22">
        <v>715</v>
      </c>
      <c r="G278" s="22" t="s">
        <v>1169</v>
      </c>
      <c r="H278" s="55" t="s">
        <v>1170</v>
      </c>
      <c r="I278" s="55" t="s">
        <v>404</v>
      </c>
      <c r="J278" s="94">
        <v>39957</v>
      </c>
      <c r="K278" s="55" t="s">
        <v>404</v>
      </c>
      <c r="L278" s="92">
        <v>39957</v>
      </c>
      <c r="M278" s="92">
        <v>39890</v>
      </c>
      <c r="N278" s="80">
        <f t="shared" si="4"/>
        <v>39672</v>
      </c>
      <c r="O278" s="80"/>
      <c r="Q278" s="211"/>
      <c r="R278" s="80"/>
      <c r="S278" s="80"/>
      <c r="T278" s="80"/>
      <c r="U278" s="22">
        <v>9094214</v>
      </c>
      <c r="V278" s="80">
        <v>39790</v>
      </c>
      <c r="X278" s="4">
        <v>9094135</v>
      </c>
      <c r="Y278" s="2">
        <v>39675</v>
      </c>
      <c r="AA278" s="22">
        <v>9094226</v>
      </c>
      <c r="AB278" s="55" t="s">
        <v>404</v>
      </c>
      <c r="AC278" s="94">
        <v>39957</v>
      </c>
    </row>
    <row r="279" spans="1:29" x14ac:dyDescent="0.4">
      <c r="A279" s="24" t="s">
        <v>412</v>
      </c>
      <c r="B279" s="24">
        <v>39706</v>
      </c>
      <c r="C279" s="24">
        <v>39672</v>
      </c>
      <c r="D279" s="22" t="s">
        <v>574</v>
      </c>
      <c r="E279" s="22">
        <v>9094227</v>
      </c>
      <c r="F279" s="22">
        <v>715</v>
      </c>
      <c r="G279" s="22" t="s">
        <v>1171</v>
      </c>
      <c r="H279" s="55" t="s">
        <v>1172</v>
      </c>
      <c r="I279" s="55" t="s">
        <v>404</v>
      </c>
      <c r="J279" s="94">
        <v>39934</v>
      </c>
      <c r="K279" s="55" t="s">
        <v>404</v>
      </c>
      <c r="L279" s="92">
        <v>39957</v>
      </c>
      <c r="M279" s="92">
        <v>39890</v>
      </c>
      <c r="N279" s="80">
        <f t="shared" si="4"/>
        <v>39672</v>
      </c>
      <c r="O279" s="80"/>
      <c r="Q279" s="211"/>
      <c r="R279" s="80"/>
      <c r="S279" s="80"/>
      <c r="T279" s="80"/>
      <c r="U279" s="22">
        <v>9094226</v>
      </c>
      <c r="V279" s="80">
        <v>39902</v>
      </c>
      <c r="X279" s="4">
        <v>9094136</v>
      </c>
      <c r="Y279" s="2">
        <v>39675</v>
      </c>
      <c r="AA279" s="22">
        <v>9094227</v>
      </c>
      <c r="AB279" s="55" t="s">
        <v>404</v>
      </c>
      <c r="AC279" s="94">
        <v>39934</v>
      </c>
    </row>
    <row r="280" spans="1:29" x14ac:dyDescent="0.4">
      <c r="A280" s="24" t="s">
        <v>412</v>
      </c>
      <c r="B280" s="24">
        <v>39706</v>
      </c>
      <c r="C280" s="24">
        <v>39672</v>
      </c>
      <c r="D280" s="22" t="s">
        <v>574</v>
      </c>
      <c r="E280" s="22">
        <v>9094234</v>
      </c>
      <c r="F280" s="22">
        <v>715</v>
      </c>
      <c r="G280" s="22" t="s">
        <v>1173</v>
      </c>
      <c r="H280" s="55" t="s">
        <v>1175</v>
      </c>
      <c r="I280" s="55" t="s">
        <v>404</v>
      </c>
      <c r="J280" s="94">
        <v>40013</v>
      </c>
      <c r="K280" s="55" t="s">
        <v>404</v>
      </c>
      <c r="L280" s="94">
        <v>40013</v>
      </c>
      <c r="M280" s="92">
        <v>39927</v>
      </c>
      <c r="N280" s="80">
        <f t="shared" si="4"/>
        <v>39672</v>
      </c>
      <c r="O280" s="80"/>
      <c r="Q280" s="211"/>
      <c r="R280" s="80"/>
      <c r="S280" s="80"/>
      <c r="T280" s="80"/>
      <c r="U280" s="22">
        <v>9094227</v>
      </c>
      <c r="V280" s="80">
        <v>39903</v>
      </c>
      <c r="X280" s="4">
        <v>9094433</v>
      </c>
      <c r="Y280" s="2">
        <v>39689</v>
      </c>
      <c r="AA280" s="22">
        <v>9094234</v>
      </c>
      <c r="AB280" s="55" t="s">
        <v>404</v>
      </c>
      <c r="AC280" s="94">
        <v>40013</v>
      </c>
    </row>
    <row r="281" spans="1:29" x14ac:dyDescent="0.4">
      <c r="A281" s="24" t="s">
        <v>412</v>
      </c>
      <c r="B281" s="24">
        <v>39706</v>
      </c>
      <c r="C281" s="24">
        <v>39672</v>
      </c>
      <c r="D281" s="22" t="s">
        <v>574</v>
      </c>
      <c r="E281" s="22">
        <v>9094145</v>
      </c>
      <c r="F281" s="22">
        <v>1010</v>
      </c>
      <c r="G281" s="22" t="s">
        <v>1176</v>
      </c>
      <c r="H281" s="55" t="s">
        <v>1177</v>
      </c>
      <c r="I281" s="55" t="s">
        <v>404</v>
      </c>
      <c r="J281" s="94">
        <v>39984</v>
      </c>
      <c r="K281" s="55" t="s">
        <v>404</v>
      </c>
      <c r="L281" s="92">
        <v>39986</v>
      </c>
      <c r="M281" s="92">
        <v>39717</v>
      </c>
      <c r="N281" s="80">
        <f t="shared" si="4"/>
        <v>39672</v>
      </c>
      <c r="O281" s="80"/>
      <c r="Q281" s="211"/>
      <c r="R281" s="80"/>
      <c r="S281" s="80"/>
      <c r="T281" s="80"/>
      <c r="U281" s="22">
        <v>9094234</v>
      </c>
      <c r="V281" s="80">
        <v>39944</v>
      </c>
      <c r="X281" s="4">
        <v>9094250</v>
      </c>
      <c r="Y281" s="2">
        <v>39668</v>
      </c>
      <c r="AA281" s="22">
        <v>9094145</v>
      </c>
      <c r="AB281" s="55" t="s">
        <v>404</v>
      </c>
      <c r="AC281" s="94">
        <v>39984</v>
      </c>
    </row>
    <row r="282" spans="1:29" x14ac:dyDescent="0.4">
      <c r="A282" s="24" t="s">
        <v>412</v>
      </c>
      <c r="B282" s="24">
        <v>39706</v>
      </c>
      <c r="C282" s="24">
        <v>39672</v>
      </c>
      <c r="D282" s="22" t="s">
        <v>574</v>
      </c>
      <c r="E282" s="22">
        <v>9094222</v>
      </c>
      <c r="F282" s="22">
        <v>715</v>
      </c>
      <c r="G282" s="22" t="s">
        <v>1178</v>
      </c>
      <c r="H282" s="55" t="s">
        <v>1179</v>
      </c>
      <c r="I282" s="55" t="s">
        <v>404</v>
      </c>
      <c r="J282" s="94">
        <v>39934</v>
      </c>
      <c r="K282" s="55" t="s">
        <v>404</v>
      </c>
      <c r="L282" s="92">
        <v>39957</v>
      </c>
      <c r="M282" s="92">
        <v>39890</v>
      </c>
      <c r="N282" s="80">
        <f t="shared" si="4"/>
        <v>39672</v>
      </c>
      <c r="O282" s="80"/>
      <c r="Q282" s="211"/>
      <c r="R282" s="80"/>
      <c r="S282" s="80"/>
      <c r="T282" s="80"/>
      <c r="U282" s="22">
        <v>9094145</v>
      </c>
      <c r="V282" s="80">
        <v>39709</v>
      </c>
      <c r="X282" s="4">
        <v>9094434</v>
      </c>
      <c r="Y282" s="2">
        <v>39689</v>
      </c>
      <c r="AA282" s="22">
        <v>9094222</v>
      </c>
      <c r="AB282" s="55" t="s">
        <v>404</v>
      </c>
      <c r="AC282" s="94">
        <v>39934</v>
      </c>
    </row>
    <row r="283" spans="1:29" x14ac:dyDescent="0.4">
      <c r="A283" s="24" t="s">
        <v>412</v>
      </c>
      <c r="B283" s="24">
        <v>39706</v>
      </c>
      <c r="C283" s="24">
        <v>39672</v>
      </c>
      <c r="D283" s="22" t="s">
        <v>574</v>
      </c>
      <c r="E283" s="22">
        <v>9094160</v>
      </c>
      <c r="F283" s="22">
        <v>1010</v>
      </c>
      <c r="G283" s="22" t="s">
        <v>1180</v>
      </c>
      <c r="H283" s="55" t="s">
        <v>1181</v>
      </c>
      <c r="I283" s="55" t="s">
        <v>404</v>
      </c>
      <c r="J283" s="94">
        <v>39984</v>
      </c>
      <c r="K283" s="55" t="s">
        <v>404</v>
      </c>
      <c r="L283" s="92">
        <v>39986</v>
      </c>
      <c r="M283" s="92">
        <v>39717</v>
      </c>
      <c r="N283" s="80">
        <f t="shared" si="4"/>
        <v>39672</v>
      </c>
      <c r="O283" s="80"/>
      <c r="Q283" s="211"/>
      <c r="R283" s="80"/>
      <c r="S283" s="80"/>
      <c r="T283" s="80"/>
      <c r="U283" s="22">
        <v>9094222</v>
      </c>
      <c r="V283" s="80">
        <v>39913</v>
      </c>
      <c r="X283" s="4">
        <v>9094277</v>
      </c>
      <c r="Y283" s="2">
        <v>39668</v>
      </c>
      <c r="AA283" s="22">
        <v>9094160</v>
      </c>
      <c r="AB283" s="55" t="s">
        <v>404</v>
      </c>
      <c r="AC283" s="94">
        <v>39984</v>
      </c>
    </row>
    <row r="284" spans="1:29" x14ac:dyDescent="0.4">
      <c r="A284" s="24" t="s">
        <v>412</v>
      </c>
      <c r="B284" s="24">
        <v>39706</v>
      </c>
      <c r="C284" s="24">
        <v>39672</v>
      </c>
      <c r="D284" s="22" t="s">
        <v>574</v>
      </c>
      <c r="E284" s="22">
        <v>9094223</v>
      </c>
      <c r="F284" s="22">
        <v>715</v>
      </c>
      <c r="G284" s="22" t="s">
        <v>1182</v>
      </c>
      <c r="H284" s="55" t="s">
        <v>1185</v>
      </c>
      <c r="I284" s="55" t="s">
        <v>404</v>
      </c>
      <c r="J284" s="94">
        <v>40013</v>
      </c>
      <c r="K284" s="55" t="s">
        <v>404</v>
      </c>
      <c r="L284" s="94">
        <v>40013</v>
      </c>
      <c r="M284" s="92">
        <v>39890</v>
      </c>
      <c r="N284" s="80">
        <f t="shared" si="4"/>
        <v>39672</v>
      </c>
      <c r="O284" s="80"/>
      <c r="Q284" s="211"/>
      <c r="R284" s="80"/>
      <c r="S284" s="80"/>
      <c r="T284" s="80"/>
      <c r="U284" s="22">
        <v>9094160</v>
      </c>
      <c r="V284" s="80">
        <v>39709</v>
      </c>
      <c r="X284" s="187">
        <v>9094244</v>
      </c>
      <c r="Y284" s="2">
        <v>39883</v>
      </c>
      <c r="AA284" s="22">
        <v>9094223</v>
      </c>
      <c r="AB284" s="55" t="s">
        <v>404</v>
      </c>
      <c r="AC284" s="94">
        <v>40013</v>
      </c>
    </row>
    <row r="285" spans="1:29" x14ac:dyDescent="0.4">
      <c r="A285" s="24" t="s">
        <v>412</v>
      </c>
      <c r="B285" s="24">
        <v>39706</v>
      </c>
      <c r="C285" s="24">
        <v>39672</v>
      </c>
      <c r="D285" s="22" t="s">
        <v>574</v>
      </c>
      <c r="E285" s="22">
        <v>9094235</v>
      </c>
      <c r="F285" s="22">
        <v>715</v>
      </c>
      <c r="G285" s="22" t="s">
        <v>1186</v>
      </c>
      <c r="H285" s="55" t="s">
        <v>1187</v>
      </c>
      <c r="I285" s="55" t="s">
        <v>404</v>
      </c>
      <c r="J285" s="94">
        <v>40013</v>
      </c>
      <c r="K285" s="55" t="s">
        <v>404</v>
      </c>
      <c r="L285" s="94">
        <v>40013</v>
      </c>
      <c r="M285" s="92">
        <v>39927</v>
      </c>
      <c r="N285" s="80">
        <f t="shared" si="4"/>
        <v>39672</v>
      </c>
      <c r="O285" s="80"/>
      <c r="Q285" s="211"/>
      <c r="R285" s="80"/>
      <c r="S285" s="80"/>
      <c r="T285" s="80"/>
      <c r="U285" s="22">
        <v>9094223</v>
      </c>
      <c r="V285" s="80">
        <v>39912</v>
      </c>
      <c r="X285" s="187">
        <v>9094254</v>
      </c>
      <c r="Y285" s="2">
        <v>39715</v>
      </c>
      <c r="AA285" s="22">
        <v>9094235</v>
      </c>
      <c r="AB285" s="55" t="s">
        <v>404</v>
      </c>
      <c r="AC285" s="94">
        <v>40013</v>
      </c>
    </row>
    <row r="286" spans="1:29" x14ac:dyDescent="0.4">
      <c r="A286" s="24" t="s">
        <v>412</v>
      </c>
      <c r="B286" s="24">
        <v>39706</v>
      </c>
      <c r="C286" s="24">
        <v>39672</v>
      </c>
      <c r="D286" s="22" t="s">
        <v>574</v>
      </c>
      <c r="E286" s="22">
        <v>9094161</v>
      </c>
      <c r="F286" s="22">
        <v>1010</v>
      </c>
      <c r="G286" s="22" t="s">
        <v>1188</v>
      </c>
      <c r="H286" s="55" t="s">
        <v>3043</v>
      </c>
      <c r="I286" s="55" t="s">
        <v>404</v>
      </c>
      <c r="J286" s="93">
        <v>40270</v>
      </c>
      <c r="K286" s="55" t="s">
        <v>404</v>
      </c>
      <c r="L286" s="94">
        <v>40298</v>
      </c>
      <c r="M286" s="92">
        <v>39717</v>
      </c>
      <c r="N286" s="80">
        <f t="shared" si="4"/>
        <v>39672</v>
      </c>
      <c r="O286" s="80"/>
      <c r="Q286" s="211"/>
      <c r="R286" s="80"/>
      <c r="S286" s="80"/>
      <c r="T286" s="80"/>
      <c r="U286" s="22">
        <v>9094235</v>
      </c>
      <c r="V286" s="80">
        <v>39946</v>
      </c>
      <c r="X286" s="4">
        <v>9094218</v>
      </c>
      <c r="Y286" s="2">
        <v>39672</v>
      </c>
      <c r="AA286" s="22">
        <v>9094161</v>
      </c>
      <c r="AB286" s="55" t="s">
        <v>404</v>
      </c>
      <c r="AC286" s="93">
        <v>40270</v>
      </c>
    </row>
    <row r="287" spans="1:29" x14ac:dyDescent="0.4">
      <c r="A287" s="24" t="s">
        <v>412</v>
      </c>
      <c r="B287" s="24">
        <v>39706</v>
      </c>
      <c r="C287" s="24">
        <v>39672</v>
      </c>
      <c r="D287" s="22" t="s">
        <v>574</v>
      </c>
      <c r="E287" s="22">
        <v>9094215</v>
      </c>
      <c r="F287" s="22">
        <v>715</v>
      </c>
      <c r="G287" s="22" t="s">
        <v>1189</v>
      </c>
      <c r="H287" s="55" t="s">
        <v>1190</v>
      </c>
      <c r="I287" s="55" t="s">
        <v>404</v>
      </c>
      <c r="J287" s="94">
        <v>39843</v>
      </c>
      <c r="K287" s="55" t="s">
        <v>404</v>
      </c>
      <c r="L287" s="92">
        <v>39957</v>
      </c>
      <c r="M287" s="92">
        <v>39717</v>
      </c>
      <c r="N287" s="80">
        <f t="shared" si="4"/>
        <v>39672</v>
      </c>
      <c r="O287" s="80"/>
      <c r="Q287" s="211"/>
      <c r="R287" s="80"/>
      <c r="S287" s="80"/>
      <c r="T287" s="80"/>
      <c r="U287" s="22">
        <v>9094161</v>
      </c>
      <c r="V287" s="80">
        <v>39709</v>
      </c>
      <c r="X287" s="4">
        <v>9094255</v>
      </c>
      <c r="Y287" s="2">
        <v>39675</v>
      </c>
      <c r="AA287" s="22">
        <v>9094215</v>
      </c>
      <c r="AB287" s="55" t="s">
        <v>404</v>
      </c>
      <c r="AC287" s="94">
        <v>39843</v>
      </c>
    </row>
    <row r="288" spans="1:29" x14ac:dyDescent="0.4">
      <c r="A288" s="24" t="s">
        <v>412</v>
      </c>
      <c r="B288" s="24">
        <v>39706</v>
      </c>
      <c r="C288" s="24">
        <v>39672</v>
      </c>
      <c r="D288" s="22" t="s">
        <v>574</v>
      </c>
      <c r="E288" s="22">
        <v>9094203</v>
      </c>
      <c r="F288" s="22">
        <v>715</v>
      </c>
      <c r="G288" s="22" t="s">
        <v>1191</v>
      </c>
      <c r="H288" s="55" t="s">
        <v>1192</v>
      </c>
      <c r="I288" s="55" t="s">
        <v>404</v>
      </c>
      <c r="J288" s="94">
        <v>39957</v>
      </c>
      <c r="K288" s="55" t="s">
        <v>404</v>
      </c>
      <c r="L288" s="92">
        <v>39957</v>
      </c>
      <c r="M288" s="92">
        <v>39927</v>
      </c>
      <c r="N288" s="80">
        <f t="shared" si="4"/>
        <v>39672</v>
      </c>
      <c r="O288" s="80"/>
      <c r="Q288" s="211"/>
      <c r="R288" s="80"/>
      <c r="S288" s="80"/>
      <c r="T288" s="80"/>
      <c r="U288" s="22">
        <v>9094215</v>
      </c>
      <c r="V288" s="80">
        <v>39792</v>
      </c>
      <c r="X288" s="4">
        <v>9094219</v>
      </c>
      <c r="Y288" s="2">
        <v>39672</v>
      </c>
      <c r="AA288" s="22">
        <v>9094203</v>
      </c>
      <c r="AB288" s="55" t="s">
        <v>404</v>
      </c>
      <c r="AC288" s="94">
        <v>39957</v>
      </c>
    </row>
    <row r="289" spans="1:29" x14ac:dyDescent="0.4">
      <c r="A289" s="24" t="s">
        <v>412</v>
      </c>
      <c r="B289" s="24">
        <v>39706</v>
      </c>
      <c r="C289" s="24">
        <v>39672</v>
      </c>
      <c r="D289" s="22" t="s">
        <v>574</v>
      </c>
      <c r="E289" s="22">
        <v>9094230</v>
      </c>
      <c r="F289" s="22">
        <v>715</v>
      </c>
      <c r="G289" s="22" t="s">
        <v>1193</v>
      </c>
      <c r="H289" s="55" t="s">
        <v>1194</v>
      </c>
      <c r="I289" s="55" t="s">
        <v>404</v>
      </c>
      <c r="J289" s="94">
        <v>40143</v>
      </c>
      <c r="K289" s="55" t="s">
        <v>404</v>
      </c>
      <c r="L289" s="94">
        <v>40143</v>
      </c>
      <c r="M289" s="92">
        <v>39927</v>
      </c>
      <c r="N289" s="80">
        <f t="shared" si="4"/>
        <v>39672</v>
      </c>
      <c r="O289" s="80"/>
      <c r="Q289" s="211"/>
      <c r="R289" s="80"/>
      <c r="S289" s="80"/>
      <c r="T289" s="80"/>
      <c r="U289" s="22">
        <v>9094203</v>
      </c>
      <c r="V289" s="80">
        <v>39855</v>
      </c>
      <c r="X289" s="4">
        <v>9094226</v>
      </c>
      <c r="Y289" s="2">
        <v>39672</v>
      </c>
      <c r="AA289" s="22">
        <v>9094230</v>
      </c>
      <c r="AB289" s="55" t="s">
        <v>404</v>
      </c>
      <c r="AC289" s="94">
        <v>40143</v>
      </c>
    </row>
    <row r="290" spans="1:29" x14ac:dyDescent="0.4">
      <c r="A290" s="24" t="s">
        <v>412</v>
      </c>
      <c r="B290" s="24">
        <v>39706</v>
      </c>
      <c r="C290" s="24">
        <v>39672</v>
      </c>
      <c r="D290" s="22" t="s">
        <v>574</v>
      </c>
      <c r="E290" s="22">
        <v>9094170</v>
      </c>
      <c r="F290" s="22">
        <v>1010</v>
      </c>
      <c r="G290" s="22" t="s">
        <v>1195</v>
      </c>
      <c r="H290" s="55" t="s">
        <v>1196</v>
      </c>
      <c r="I290" s="55" t="s">
        <v>404</v>
      </c>
      <c r="J290" s="94">
        <v>39885</v>
      </c>
      <c r="K290" s="55" t="s">
        <v>404</v>
      </c>
      <c r="L290" s="92">
        <v>39957</v>
      </c>
      <c r="M290" s="92">
        <v>39717</v>
      </c>
      <c r="N290" s="80">
        <f t="shared" si="4"/>
        <v>39672</v>
      </c>
      <c r="O290" s="80"/>
      <c r="Q290" s="211"/>
      <c r="R290" s="80"/>
      <c r="S290" s="80"/>
      <c r="T290" s="80"/>
      <c r="U290" s="22">
        <v>9094230</v>
      </c>
      <c r="V290" s="80">
        <v>39946</v>
      </c>
      <c r="X290" s="4">
        <v>9094227</v>
      </c>
      <c r="Y290" s="2">
        <v>39672</v>
      </c>
      <c r="AA290" s="22">
        <v>9094170</v>
      </c>
      <c r="AB290" s="55" t="s">
        <v>404</v>
      </c>
      <c r="AC290" s="94">
        <v>39885</v>
      </c>
    </row>
    <row r="291" spans="1:29" x14ac:dyDescent="0.4">
      <c r="A291" s="24" t="s">
        <v>412</v>
      </c>
      <c r="B291" s="24">
        <v>39706</v>
      </c>
      <c r="C291" s="24">
        <v>39672</v>
      </c>
      <c r="D291" s="22" t="s">
        <v>574</v>
      </c>
      <c r="E291" s="22">
        <v>9094106</v>
      </c>
      <c r="F291" s="22">
        <v>1010</v>
      </c>
      <c r="G291" s="22" t="s">
        <v>1197</v>
      </c>
      <c r="H291" s="55" t="s">
        <v>1198</v>
      </c>
      <c r="I291" s="55" t="s">
        <v>404</v>
      </c>
      <c r="J291" s="94">
        <v>39957</v>
      </c>
      <c r="K291" s="55" t="s">
        <v>404</v>
      </c>
      <c r="L291" s="92">
        <v>39957</v>
      </c>
      <c r="M291" s="92">
        <v>39890</v>
      </c>
      <c r="N291" s="80">
        <f t="shared" si="4"/>
        <v>39672</v>
      </c>
      <c r="O291" s="80"/>
      <c r="Q291" s="211"/>
      <c r="R291" s="80"/>
      <c r="S291" s="80"/>
      <c r="T291" s="80"/>
      <c r="U291" s="22">
        <v>9094170</v>
      </c>
      <c r="V291" s="80">
        <v>39709</v>
      </c>
      <c r="X291" s="4">
        <v>9094374</v>
      </c>
      <c r="Y291" s="2">
        <v>39675</v>
      </c>
      <c r="AA291" s="22">
        <v>9094106</v>
      </c>
      <c r="AB291" s="55" t="s">
        <v>404</v>
      </c>
      <c r="AC291" s="94">
        <v>39957</v>
      </c>
    </row>
    <row r="292" spans="1:29" x14ac:dyDescent="0.4">
      <c r="A292" s="24" t="s">
        <v>412</v>
      </c>
      <c r="B292" s="24">
        <v>39706</v>
      </c>
      <c r="C292" s="24">
        <v>39672</v>
      </c>
      <c r="D292" s="22" t="s">
        <v>574</v>
      </c>
      <c r="E292" s="22">
        <v>9094231</v>
      </c>
      <c r="F292" s="22">
        <v>715</v>
      </c>
      <c r="G292" s="22" t="s">
        <v>1199</v>
      </c>
      <c r="H292" s="55" t="s">
        <v>1200</v>
      </c>
      <c r="I292" s="55" t="s">
        <v>404</v>
      </c>
      <c r="J292" s="94">
        <v>40154</v>
      </c>
      <c r="K292" s="55" t="s">
        <v>404</v>
      </c>
      <c r="L292" s="92">
        <v>40298</v>
      </c>
      <c r="M292" s="92">
        <v>39927</v>
      </c>
      <c r="N292" s="80">
        <f t="shared" si="4"/>
        <v>39672</v>
      </c>
      <c r="O292" s="80"/>
      <c r="Q292" s="211"/>
      <c r="R292" s="80"/>
      <c r="S292" s="80"/>
      <c r="T292" s="80"/>
      <c r="U292" s="22">
        <v>9094106</v>
      </c>
      <c r="V292" s="80">
        <v>39855</v>
      </c>
      <c r="X292" s="4">
        <v>9094375</v>
      </c>
      <c r="Y292" s="2">
        <v>39675</v>
      </c>
      <c r="AA292" s="22">
        <v>9094231</v>
      </c>
      <c r="AB292" s="55" t="s">
        <v>404</v>
      </c>
      <c r="AC292" s="94">
        <v>40154</v>
      </c>
    </row>
    <row r="293" spans="1:29" x14ac:dyDescent="0.4">
      <c r="A293" s="24" t="s">
        <v>412</v>
      </c>
      <c r="B293" s="24">
        <v>39706</v>
      </c>
      <c r="C293" s="24">
        <v>39672</v>
      </c>
      <c r="D293" s="22" t="s">
        <v>574</v>
      </c>
      <c r="E293" s="22">
        <v>9094199</v>
      </c>
      <c r="F293" s="22">
        <v>715</v>
      </c>
      <c r="G293" s="22" t="s">
        <v>1201</v>
      </c>
      <c r="H293" s="55" t="s">
        <v>1202</v>
      </c>
      <c r="I293" s="55" t="s">
        <v>404</v>
      </c>
      <c r="J293" s="94">
        <v>39934</v>
      </c>
      <c r="K293" s="55" t="s">
        <v>404</v>
      </c>
      <c r="L293" s="92">
        <v>39957</v>
      </c>
      <c r="M293" s="92">
        <v>39927</v>
      </c>
      <c r="N293" s="80">
        <f t="shared" si="4"/>
        <v>39672</v>
      </c>
      <c r="O293" s="80"/>
      <c r="Q293" s="211"/>
      <c r="R293" s="80"/>
      <c r="S293" s="80"/>
      <c r="T293" s="80"/>
      <c r="U293" s="22">
        <v>9094231</v>
      </c>
      <c r="V293" s="80">
        <v>39945</v>
      </c>
      <c r="X293" s="4" t="s">
        <v>1687</v>
      </c>
      <c r="Y293" s="2"/>
      <c r="AA293" s="22">
        <v>9094199</v>
      </c>
      <c r="AB293" s="55" t="s">
        <v>404</v>
      </c>
      <c r="AC293" s="94">
        <v>39934</v>
      </c>
    </row>
    <row r="294" spans="1:29" x14ac:dyDescent="0.4">
      <c r="A294" s="24" t="s">
        <v>412</v>
      </c>
      <c r="B294" s="24">
        <v>39706</v>
      </c>
      <c r="C294" s="24">
        <v>39672</v>
      </c>
      <c r="D294" s="22" t="s">
        <v>574</v>
      </c>
      <c r="E294" s="22">
        <v>9094196</v>
      </c>
      <c r="F294" s="22">
        <v>715</v>
      </c>
      <c r="G294" s="22" t="s">
        <v>1203</v>
      </c>
      <c r="H294" s="55" t="s">
        <v>1204</v>
      </c>
      <c r="I294" s="55" t="s">
        <v>404</v>
      </c>
      <c r="J294" s="94">
        <v>39934</v>
      </c>
      <c r="K294" s="55" t="s">
        <v>404</v>
      </c>
      <c r="L294" s="92">
        <v>39957</v>
      </c>
      <c r="M294" s="92">
        <v>39927</v>
      </c>
      <c r="N294" s="80">
        <f t="shared" si="4"/>
        <v>39672</v>
      </c>
      <c r="O294" s="80"/>
      <c r="Q294" s="211"/>
      <c r="R294" s="80"/>
      <c r="S294" s="80"/>
      <c r="T294" s="80"/>
      <c r="U294" s="22">
        <v>9094199</v>
      </c>
      <c r="V294" s="80">
        <v>39941</v>
      </c>
      <c r="X294" s="4" t="s">
        <v>1688</v>
      </c>
      <c r="Y294" s="2"/>
      <c r="AA294" s="22">
        <v>9094196</v>
      </c>
      <c r="AB294" s="55" t="s">
        <v>404</v>
      </c>
      <c r="AC294" s="94">
        <v>39934</v>
      </c>
    </row>
    <row r="295" spans="1:29" x14ac:dyDescent="0.4">
      <c r="A295" s="24" t="s">
        <v>412</v>
      </c>
      <c r="B295" s="24">
        <v>39706</v>
      </c>
      <c r="C295" s="24">
        <v>39672</v>
      </c>
      <c r="D295" s="22" t="s">
        <v>574</v>
      </c>
      <c r="E295" s="22">
        <v>9094143</v>
      </c>
      <c r="F295" s="22">
        <v>1010</v>
      </c>
      <c r="G295" s="22" t="s">
        <v>1206</v>
      </c>
      <c r="H295" s="55" t="s">
        <v>1207</v>
      </c>
      <c r="I295" s="55" t="s">
        <v>404</v>
      </c>
      <c r="J295" s="94">
        <v>39745</v>
      </c>
      <c r="K295" s="55" t="s">
        <v>404</v>
      </c>
      <c r="L295" s="92">
        <v>39957</v>
      </c>
      <c r="M295" s="92">
        <v>39720</v>
      </c>
      <c r="N295" s="80">
        <f t="shared" si="4"/>
        <v>39672</v>
      </c>
      <c r="O295" s="80"/>
      <c r="Q295" s="211"/>
      <c r="R295" s="80"/>
      <c r="S295" s="80"/>
      <c r="T295" s="80"/>
      <c r="U295" s="22">
        <v>9094196</v>
      </c>
      <c r="V295" s="80">
        <v>39944</v>
      </c>
      <c r="X295" s="4" t="s">
        <v>1689</v>
      </c>
      <c r="Y295" s="2">
        <v>40224</v>
      </c>
      <c r="AA295" s="22">
        <v>9094143</v>
      </c>
      <c r="AB295" s="55" t="s">
        <v>404</v>
      </c>
      <c r="AC295" s="94">
        <v>39745</v>
      </c>
    </row>
    <row r="296" spans="1:29" x14ac:dyDescent="0.4">
      <c r="A296" s="24" t="s">
        <v>412</v>
      </c>
      <c r="B296" s="24">
        <v>39706</v>
      </c>
      <c r="C296" s="24">
        <v>39672</v>
      </c>
      <c r="D296" s="22" t="s">
        <v>574</v>
      </c>
      <c r="E296" s="22">
        <v>9094207</v>
      </c>
      <c r="F296" s="22">
        <v>715</v>
      </c>
      <c r="G296" s="22" t="s">
        <v>1208</v>
      </c>
      <c r="H296" s="55" t="s">
        <v>1209</v>
      </c>
      <c r="I296" s="55" t="s">
        <v>404</v>
      </c>
      <c r="J296" s="94">
        <v>39745</v>
      </c>
      <c r="K296" s="55" t="s">
        <v>404</v>
      </c>
      <c r="L296" s="92">
        <v>39986</v>
      </c>
      <c r="M296" s="92">
        <v>39717</v>
      </c>
      <c r="N296" s="80">
        <f t="shared" si="4"/>
        <v>39672</v>
      </c>
      <c r="O296" s="80"/>
      <c r="Q296" s="211"/>
      <c r="R296" s="80"/>
      <c r="S296" s="80"/>
      <c r="T296" s="80"/>
      <c r="U296" s="22">
        <v>9094143</v>
      </c>
      <c r="V296" s="80">
        <v>39771</v>
      </c>
      <c r="X296" s="4">
        <v>9094380</v>
      </c>
      <c r="Y296" s="2">
        <v>39675</v>
      </c>
      <c r="AA296" s="22">
        <v>9094207</v>
      </c>
      <c r="AB296" s="55" t="s">
        <v>404</v>
      </c>
      <c r="AC296" s="94">
        <v>39745</v>
      </c>
    </row>
    <row r="297" spans="1:29" x14ac:dyDescent="0.4">
      <c r="A297" s="24" t="s">
        <v>412</v>
      </c>
      <c r="B297" s="24">
        <v>39706</v>
      </c>
      <c r="C297" s="24">
        <v>39672</v>
      </c>
      <c r="D297" s="22" t="s">
        <v>574</v>
      </c>
      <c r="E297" s="22">
        <v>9094072</v>
      </c>
      <c r="F297" s="22">
        <v>1010</v>
      </c>
      <c r="G297" s="22" t="s">
        <v>1210</v>
      </c>
      <c r="H297" s="55" t="s">
        <v>1211</v>
      </c>
      <c r="I297" s="55" t="s">
        <v>404</v>
      </c>
      <c r="J297" s="94">
        <v>39885</v>
      </c>
      <c r="K297" s="55" t="s">
        <v>404</v>
      </c>
      <c r="L297" s="92">
        <v>39957</v>
      </c>
      <c r="M297" s="92">
        <v>39890</v>
      </c>
      <c r="N297" s="80">
        <f t="shared" si="4"/>
        <v>39672</v>
      </c>
      <c r="O297" s="80"/>
      <c r="Q297" s="211"/>
      <c r="R297" s="80"/>
      <c r="S297" s="80"/>
      <c r="T297" s="80"/>
      <c r="U297" s="22">
        <v>9094207</v>
      </c>
      <c r="V297" s="80">
        <v>39772</v>
      </c>
      <c r="X297" s="4">
        <v>9094194</v>
      </c>
      <c r="Y297" s="2">
        <v>39672</v>
      </c>
      <c r="AA297" s="22">
        <v>9094072</v>
      </c>
      <c r="AB297" s="55" t="s">
        <v>404</v>
      </c>
      <c r="AC297" s="94">
        <v>39885</v>
      </c>
    </row>
    <row r="298" spans="1:29" x14ac:dyDescent="0.4">
      <c r="A298" s="24" t="s">
        <v>412</v>
      </c>
      <c r="B298" s="24">
        <v>39706</v>
      </c>
      <c r="C298" s="24">
        <v>39672</v>
      </c>
      <c r="D298" s="22" t="s">
        <v>574</v>
      </c>
      <c r="E298" s="22">
        <v>9094185</v>
      </c>
      <c r="F298" s="22">
        <v>1010</v>
      </c>
      <c r="G298" s="22" t="s">
        <v>1212</v>
      </c>
      <c r="H298" s="55" t="s">
        <v>3044</v>
      </c>
      <c r="I298" s="55" t="s">
        <v>404</v>
      </c>
      <c r="J298" s="94">
        <v>40277</v>
      </c>
      <c r="K298" s="55" t="s">
        <v>404</v>
      </c>
      <c r="L298" s="94">
        <v>40298</v>
      </c>
      <c r="M298" s="92">
        <v>39890</v>
      </c>
      <c r="N298" s="80">
        <f t="shared" si="4"/>
        <v>39672</v>
      </c>
      <c r="O298" s="80"/>
      <c r="Q298" s="211"/>
      <c r="R298" s="80"/>
      <c r="S298" s="80"/>
      <c r="T298" s="80"/>
      <c r="U298" s="22">
        <v>9094072</v>
      </c>
      <c r="V298" s="80">
        <v>39798</v>
      </c>
      <c r="X298" s="4">
        <v>9094278</v>
      </c>
      <c r="Y298" s="2">
        <v>39680</v>
      </c>
      <c r="AA298" s="22">
        <v>9094185</v>
      </c>
      <c r="AB298" s="55" t="s">
        <v>404</v>
      </c>
      <c r="AC298" s="94">
        <v>40277</v>
      </c>
    </row>
    <row r="299" spans="1:29" x14ac:dyDescent="0.4">
      <c r="A299" s="24" t="s">
        <v>412</v>
      </c>
      <c r="B299" s="24">
        <v>39706</v>
      </c>
      <c r="C299" s="24">
        <v>39672</v>
      </c>
      <c r="D299" s="22" t="s">
        <v>574</v>
      </c>
      <c r="E299" s="22">
        <v>9094210</v>
      </c>
      <c r="F299" s="22">
        <v>715</v>
      </c>
      <c r="G299" s="22" t="s">
        <v>1213</v>
      </c>
      <c r="H299" s="55" t="s">
        <v>1214</v>
      </c>
      <c r="I299" s="55" t="s">
        <v>404</v>
      </c>
      <c r="J299" s="94">
        <v>39766</v>
      </c>
      <c r="K299" s="55" t="s">
        <v>404</v>
      </c>
      <c r="L299" s="92">
        <v>39986</v>
      </c>
      <c r="M299" s="92">
        <v>39717</v>
      </c>
      <c r="N299" s="80">
        <f t="shared" si="4"/>
        <v>39672</v>
      </c>
      <c r="O299" s="80"/>
      <c r="Q299" s="211"/>
      <c r="R299" s="80"/>
      <c r="S299" s="80"/>
      <c r="T299" s="80"/>
      <c r="U299" s="22">
        <v>9094185</v>
      </c>
      <c r="V299" s="80">
        <v>39836</v>
      </c>
      <c r="X299" s="4">
        <v>9094222</v>
      </c>
      <c r="Y299" s="2">
        <v>39672</v>
      </c>
      <c r="AA299" s="22">
        <v>9094210</v>
      </c>
      <c r="AB299" s="55" t="s">
        <v>404</v>
      </c>
      <c r="AC299" s="94">
        <v>39766</v>
      </c>
    </row>
    <row r="300" spans="1:29" x14ac:dyDescent="0.4">
      <c r="A300" s="24" t="s">
        <v>412</v>
      </c>
      <c r="B300" s="24">
        <v>39706</v>
      </c>
      <c r="C300" s="24">
        <v>39672</v>
      </c>
      <c r="D300" s="22" t="s">
        <v>574</v>
      </c>
      <c r="E300" s="22">
        <v>9094186</v>
      </c>
      <c r="F300" s="22">
        <v>1010</v>
      </c>
      <c r="G300" s="22" t="s">
        <v>1215</v>
      </c>
      <c r="H300" s="55" t="s">
        <v>1216</v>
      </c>
      <c r="I300" s="55" t="s">
        <v>404</v>
      </c>
      <c r="J300" s="94">
        <v>40013</v>
      </c>
      <c r="K300" s="55" t="s">
        <v>404</v>
      </c>
      <c r="L300" s="94">
        <v>40013</v>
      </c>
      <c r="M300" s="92">
        <v>39890</v>
      </c>
      <c r="N300" s="80">
        <f t="shared" si="4"/>
        <v>39672</v>
      </c>
      <c r="O300" s="80"/>
      <c r="Q300" s="211"/>
      <c r="R300" s="80"/>
      <c r="S300" s="80"/>
      <c r="T300" s="80"/>
      <c r="U300" s="22">
        <v>9094210</v>
      </c>
      <c r="V300" s="80">
        <v>39777</v>
      </c>
      <c r="X300" s="4">
        <v>9094223</v>
      </c>
      <c r="Y300" s="2">
        <v>39672</v>
      </c>
      <c r="AA300" s="22">
        <v>9094186</v>
      </c>
      <c r="AB300" s="55" t="s">
        <v>404</v>
      </c>
      <c r="AC300" s="94">
        <v>40013</v>
      </c>
    </row>
    <row r="301" spans="1:29" x14ac:dyDescent="0.4">
      <c r="A301" s="24" t="s">
        <v>412</v>
      </c>
      <c r="B301" s="24">
        <v>39706</v>
      </c>
      <c r="C301" s="24">
        <v>39672</v>
      </c>
      <c r="D301" s="22" t="s">
        <v>574</v>
      </c>
      <c r="E301" s="22">
        <v>9094206</v>
      </c>
      <c r="F301" s="22">
        <v>715</v>
      </c>
      <c r="G301" s="22" t="s">
        <v>1217</v>
      </c>
      <c r="H301" s="55" t="s">
        <v>1218</v>
      </c>
      <c r="I301" s="55" t="s">
        <v>404</v>
      </c>
      <c r="J301" s="94">
        <v>39738</v>
      </c>
      <c r="K301" s="55" t="s">
        <v>404</v>
      </c>
      <c r="L301" s="92">
        <v>39986</v>
      </c>
      <c r="M301" s="92">
        <v>39717</v>
      </c>
      <c r="N301" s="80">
        <f t="shared" si="4"/>
        <v>39672</v>
      </c>
      <c r="O301" s="80"/>
      <c r="Q301" s="211"/>
      <c r="R301" s="80"/>
      <c r="S301" s="80"/>
      <c r="T301" s="80"/>
      <c r="U301" s="22">
        <v>9094186</v>
      </c>
      <c r="V301" s="80">
        <v>39839</v>
      </c>
      <c r="X301" s="4">
        <v>9094339</v>
      </c>
      <c r="Y301" s="2">
        <v>39668</v>
      </c>
      <c r="AA301" s="22">
        <v>9094206</v>
      </c>
      <c r="AB301" s="55" t="s">
        <v>404</v>
      </c>
      <c r="AC301" s="94">
        <v>39738</v>
      </c>
    </row>
    <row r="302" spans="1:29" x14ac:dyDescent="0.4">
      <c r="A302" s="24" t="s">
        <v>412</v>
      </c>
      <c r="B302" s="24">
        <v>39706</v>
      </c>
      <c r="C302" s="24">
        <v>39672</v>
      </c>
      <c r="D302" s="22" t="s">
        <v>574</v>
      </c>
      <c r="E302" s="22">
        <v>9094105</v>
      </c>
      <c r="F302" s="22">
        <v>1010</v>
      </c>
      <c r="G302" s="22" t="s">
        <v>1219</v>
      </c>
      <c r="H302" s="55" t="s">
        <v>1220</v>
      </c>
      <c r="I302" s="55" t="s">
        <v>404</v>
      </c>
      <c r="J302" s="94">
        <v>39885</v>
      </c>
      <c r="K302" s="55" t="s">
        <v>404</v>
      </c>
      <c r="L302" s="92">
        <v>39957</v>
      </c>
      <c r="M302" s="92">
        <v>39890</v>
      </c>
      <c r="N302" s="80">
        <f t="shared" si="4"/>
        <v>39672</v>
      </c>
      <c r="O302" s="80"/>
      <c r="Q302" s="211"/>
      <c r="R302" s="80"/>
      <c r="S302" s="80"/>
      <c r="T302" s="80"/>
      <c r="U302" s="22">
        <v>9094206</v>
      </c>
      <c r="V302" s="80">
        <v>39777</v>
      </c>
      <c r="X302" s="4">
        <v>9094417</v>
      </c>
      <c r="Y302" s="2">
        <v>39681</v>
      </c>
      <c r="AA302" s="22">
        <v>9094105</v>
      </c>
      <c r="AB302" s="55" t="s">
        <v>404</v>
      </c>
      <c r="AC302" s="94">
        <v>39885</v>
      </c>
    </row>
    <row r="303" spans="1:29" x14ac:dyDescent="0.4">
      <c r="A303" s="24" t="s">
        <v>412</v>
      </c>
      <c r="B303" s="24">
        <v>39706</v>
      </c>
      <c r="C303" s="24">
        <v>39672</v>
      </c>
      <c r="D303" s="22" t="s">
        <v>574</v>
      </c>
      <c r="E303" s="34">
        <v>9094189</v>
      </c>
      <c r="F303" s="22">
        <v>1010</v>
      </c>
      <c r="G303" s="22" t="s">
        <v>1221</v>
      </c>
      <c r="H303" s="55" t="s">
        <v>3045</v>
      </c>
      <c r="I303" s="55" t="s">
        <v>404</v>
      </c>
      <c r="J303" s="94">
        <v>40298</v>
      </c>
      <c r="K303" s="55" t="s">
        <v>404</v>
      </c>
      <c r="L303" s="92">
        <v>40298</v>
      </c>
      <c r="M303" s="92">
        <v>39890</v>
      </c>
      <c r="N303" s="80">
        <f t="shared" si="4"/>
        <v>39672</v>
      </c>
      <c r="O303" s="80"/>
      <c r="Q303" s="211"/>
      <c r="R303" s="80"/>
      <c r="S303" s="80"/>
      <c r="T303" s="80"/>
      <c r="U303" s="34">
        <v>9094105</v>
      </c>
      <c r="V303" s="80">
        <v>39813</v>
      </c>
      <c r="X303" s="4">
        <v>9094420</v>
      </c>
      <c r="Y303" s="2">
        <v>40052</v>
      </c>
      <c r="AA303" s="34">
        <v>9094189</v>
      </c>
      <c r="AB303" s="55" t="s">
        <v>404</v>
      </c>
      <c r="AC303" s="94">
        <v>40298</v>
      </c>
    </row>
    <row r="304" spans="1:29" x14ac:dyDescent="0.4">
      <c r="A304" s="24" t="s">
        <v>412</v>
      </c>
      <c r="B304" s="24">
        <v>39706</v>
      </c>
      <c r="C304" s="24">
        <v>39672</v>
      </c>
      <c r="D304" s="22" t="s">
        <v>574</v>
      </c>
      <c r="E304" s="34">
        <v>9094191</v>
      </c>
      <c r="F304" s="22">
        <v>1010</v>
      </c>
      <c r="G304" s="22" t="s">
        <v>1222</v>
      </c>
      <c r="H304" s="55" t="s">
        <v>1223</v>
      </c>
      <c r="I304" s="55" t="s">
        <v>404</v>
      </c>
      <c r="J304" s="94">
        <v>40013</v>
      </c>
      <c r="K304" s="55" t="s">
        <v>404</v>
      </c>
      <c r="L304" s="94">
        <v>40013</v>
      </c>
      <c r="M304" s="92">
        <v>39890</v>
      </c>
      <c r="N304" s="80">
        <f t="shared" si="4"/>
        <v>39672</v>
      </c>
      <c r="O304" s="80"/>
      <c r="Q304" s="211"/>
      <c r="R304" s="80"/>
      <c r="S304" s="80"/>
      <c r="T304" s="80"/>
      <c r="U304" s="34">
        <v>9094189</v>
      </c>
      <c r="V304" s="80">
        <v>39839</v>
      </c>
      <c r="X304" s="4">
        <v>9094438</v>
      </c>
      <c r="Y304" s="2">
        <v>39690</v>
      </c>
      <c r="AA304" s="34">
        <v>9094191</v>
      </c>
      <c r="AB304" s="55" t="s">
        <v>404</v>
      </c>
      <c r="AC304" s="94">
        <v>40013</v>
      </c>
    </row>
    <row r="305" spans="1:29" x14ac:dyDescent="0.4">
      <c r="A305" s="24" t="s">
        <v>412</v>
      </c>
      <c r="B305" s="24">
        <v>39706</v>
      </c>
      <c r="C305" s="24">
        <v>39672</v>
      </c>
      <c r="D305" s="22" t="s">
        <v>574</v>
      </c>
      <c r="E305" s="22">
        <v>9094238</v>
      </c>
      <c r="F305" s="22">
        <v>715</v>
      </c>
      <c r="G305" s="22" t="s">
        <v>1224</v>
      </c>
      <c r="H305" s="55" t="s">
        <v>1226</v>
      </c>
      <c r="I305" s="55" t="s">
        <v>404</v>
      </c>
      <c r="J305" s="94">
        <v>40148</v>
      </c>
      <c r="K305" s="55" t="s">
        <v>404</v>
      </c>
      <c r="L305" s="94">
        <v>40148</v>
      </c>
      <c r="M305" s="92">
        <v>39927</v>
      </c>
      <c r="N305" s="80">
        <f t="shared" si="4"/>
        <v>39672</v>
      </c>
      <c r="O305" s="80"/>
      <c r="Q305" s="211"/>
      <c r="R305" s="80"/>
      <c r="S305" s="80"/>
      <c r="T305" s="80"/>
      <c r="U305" s="22">
        <v>9094191</v>
      </c>
      <c r="V305" s="80">
        <v>39843</v>
      </c>
      <c r="X305" s="4">
        <v>9094467</v>
      </c>
      <c r="Y305" s="2">
        <v>39829</v>
      </c>
      <c r="AA305" s="22">
        <v>9094238</v>
      </c>
      <c r="AB305" s="55" t="s">
        <v>404</v>
      </c>
      <c r="AC305" s="94">
        <v>40148</v>
      </c>
    </row>
    <row r="306" spans="1:29" x14ac:dyDescent="0.4">
      <c r="A306" s="24" t="s">
        <v>412</v>
      </c>
      <c r="B306" s="24">
        <v>39706</v>
      </c>
      <c r="C306" s="24">
        <v>39672</v>
      </c>
      <c r="D306" s="22" t="s">
        <v>574</v>
      </c>
      <c r="E306" s="22">
        <v>9094137</v>
      </c>
      <c r="F306" s="22">
        <v>1010</v>
      </c>
      <c r="G306" s="22" t="s">
        <v>1227</v>
      </c>
      <c r="H306" s="55" t="s">
        <v>1228</v>
      </c>
      <c r="I306" s="55" t="s">
        <v>404</v>
      </c>
      <c r="J306" s="94">
        <v>39934</v>
      </c>
      <c r="K306" s="55" t="s">
        <v>404</v>
      </c>
      <c r="L306" s="92">
        <v>39957</v>
      </c>
      <c r="M306" s="92">
        <v>39890</v>
      </c>
      <c r="N306" s="80">
        <f t="shared" si="4"/>
        <v>39672</v>
      </c>
      <c r="O306" s="80"/>
      <c r="Q306" s="211"/>
      <c r="R306" s="80"/>
      <c r="S306" s="80"/>
      <c r="T306" s="80"/>
      <c r="U306" s="22">
        <v>9094238</v>
      </c>
      <c r="V306" s="80">
        <v>39951</v>
      </c>
      <c r="X306" s="4">
        <v>9094469</v>
      </c>
      <c r="Y306" s="2">
        <v>39829</v>
      </c>
      <c r="AA306" s="22">
        <v>9094137</v>
      </c>
      <c r="AB306" s="55" t="s">
        <v>404</v>
      </c>
      <c r="AC306" s="94">
        <v>39934</v>
      </c>
    </row>
    <row r="307" spans="1:29" x14ac:dyDescent="0.4">
      <c r="A307" s="24" t="s">
        <v>412</v>
      </c>
      <c r="B307" s="24">
        <v>39706</v>
      </c>
      <c r="C307" s="24">
        <v>39672</v>
      </c>
      <c r="D307" s="22" t="s">
        <v>574</v>
      </c>
      <c r="E307" s="22">
        <v>9094218</v>
      </c>
      <c r="F307" s="22">
        <v>715</v>
      </c>
      <c r="G307" s="22" t="s">
        <v>1229</v>
      </c>
      <c r="H307" s="55" t="s">
        <v>1233</v>
      </c>
      <c r="I307" s="55" t="s">
        <v>404</v>
      </c>
      <c r="J307" s="94">
        <v>39984</v>
      </c>
      <c r="K307" s="55" t="s">
        <v>404</v>
      </c>
      <c r="L307" s="92">
        <v>39986</v>
      </c>
      <c r="M307" s="92">
        <v>39890</v>
      </c>
      <c r="N307" s="80">
        <f t="shared" si="4"/>
        <v>39672</v>
      </c>
      <c r="O307" s="80"/>
      <c r="Q307" s="211"/>
      <c r="R307" s="80"/>
      <c r="S307" s="80"/>
      <c r="T307" s="80"/>
      <c r="U307" s="22">
        <v>9094137</v>
      </c>
      <c r="V307" s="80">
        <v>39813</v>
      </c>
      <c r="X307" s="4">
        <v>9094468</v>
      </c>
      <c r="Y307" s="2">
        <v>39829</v>
      </c>
      <c r="AA307" s="22">
        <v>9094218</v>
      </c>
      <c r="AB307" s="55" t="s">
        <v>404</v>
      </c>
      <c r="AC307" s="94">
        <v>39984</v>
      </c>
    </row>
    <row r="308" spans="1:29" x14ac:dyDescent="0.4">
      <c r="A308" s="24" t="s">
        <v>412</v>
      </c>
      <c r="B308" s="24">
        <v>39706</v>
      </c>
      <c r="C308" s="24">
        <v>39672</v>
      </c>
      <c r="D308" s="22" t="s">
        <v>574</v>
      </c>
      <c r="E308" s="22">
        <v>9094202</v>
      </c>
      <c r="F308" s="22">
        <v>715</v>
      </c>
      <c r="G308" s="22" t="s">
        <v>1234</v>
      </c>
      <c r="H308" s="55" t="s">
        <v>1235</v>
      </c>
      <c r="I308" s="55" t="s">
        <v>404</v>
      </c>
      <c r="J308" s="94">
        <v>39934</v>
      </c>
      <c r="K308" s="55" t="s">
        <v>404</v>
      </c>
      <c r="L308" s="92">
        <v>39957</v>
      </c>
      <c r="M308" s="92">
        <v>39890</v>
      </c>
      <c r="N308" s="80">
        <f t="shared" si="4"/>
        <v>39672</v>
      </c>
      <c r="O308" s="80"/>
      <c r="Q308" s="211"/>
      <c r="R308" s="80"/>
      <c r="S308" s="80"/>
      <c r="T308" s="80"/>
      <c r="U308" s="22">
        <v>9094218</v>
      </c>
      <c r="V308" s="80">
        <v>39899</v>
      </c>
      <c r="X308" s="4">
        <v>9094474</v>
      </c>
      <c r="Y308" s="2">
        <v>39855</v>
      </c>
      <c r="AA308" s="22">
        <v>9094202</v>
      </c>
      <c r="AB308" s="55" t="s">
        <v>404</v>
      </c>
      <c r="AC308" s="94">
        <v>39934</v>
      </c>
    </row>
    <row r="309" spans="1:29" x14ac:dyDescent="0.4">
      <c r="A309" s="24" t="s">
        <v>412</v>
      </c>
      <c r="B309" s="24">
        <v>39706</v>
      </c>
      <c r="C309" s="24">
        <v>39672</v>
      </c>
      <c r="D309" s="22" t="s">
        <v>574</v>
      </c>
      <c r="E309" s="22">
        <v>9094219</v>
      </c>
      <c r="F309" s="22">
        <v>715</v>
      </c>
      <c r="G309" s="22" t="s">
        <v>1236</v>
      </c>
      <c r="H309" s="55" t="s">
        <v>1237</v>
      </c>
      <c r="I309" s="55" t="s">
        <v>404</v>
      </c>
      <c r="J309" s="94">
        <v>39934</v>
      </c>
      <c r="K309" s="55" t="s">
        <v>404</v>
      </c>
      <c r="L309" s="92">
        <v>39957</v>
      </c>
      <c r="M309" s="92">
        <v>39890</v>
      </c>
      <c r="N309" s="80">
        <f t="shared" si="4"/>
        <v>39672</v>
      </c>
      <c r="O309" s="80"/>
      <c r="Q309" s="211"/>
      <c r="R309" s="80"/>
      <c r="S309" s="80"/>
      <c r="T309" s="80"/>
      <c r="U309" s="22">
        <v>9094202</v>
      </c>
      <c r="V309" s="80">
        <v>39840</v>
      </c>
      <c r="X309" s="4">
        <v>9094475</v>
      </c>
      <c r="Y309" s="2">
        <v>39855</v>
      </c>
      <c r="AA309" s="22">
        <v>9094219</v>
      </c>
      <c r="AB309" s="55" t="s">
        <v>404</v>
      </c>
      <c r="AC309" s="94">
        <v>39934</v>
      </c>
    </row>
    <row r="310" spans="1:29" x14ac:dyDescent="0.4">
      <c r="A310" s="24" t="s">
        <v>412</v>
      </c>
      <c r="B310" s="24">
        <v>39706</v>
      </c>
      <c r="C310" s="24">
        <v>39672</v>
      </c>
      <c r="D310" s="22" t="s">
        <v>574</v>
      </c>
      <c r="E310" s="22">
        <v>9094138</v>
      </c>
      <c r="F310" s="22">
        <v>1010</v>
      </c>
      <c r="G310" s="22" t="s">
        <v>1238</v>
      </c>
      <c r="H310" s="55" t="s">
        <v>1239</v>
      </c>
      <c r="I310" s="55" t="s">
        <v>404</v>
      </c>
      <c r="J310" s="93">
        <v>40270</v>
      </c>
      <c r="K310" s="55" t="s">
        <v>404</v>
      </c>
      <c r="L310" s="93">
        <v>40298</v>
      </c>
      <c r="M310" s="92">
        <v>39890</v>
      </c>
      <c r="N310" s="80">
        <f t="shared" si="4"/>
        <v>39672</v>
      </c>
      <c r="O310" s="80"/>
      <c r="Q310" s="211"/>
      <c r="R310" s="80"/>
      <c r="S310" s="80"/>
      <c r="T310" s="80"/>
      <c r="U310" s="22">
        <v>9094219</v>
      </c>
      <c r="V310" s="80">
        <v>39899</v>
      </c>
      <c r="X310" s="4">
        <v>9094310</v>
      </c>
      <c r="Y310" s="2">
        <v>39703</v>
      </c>
      <c r="AA310" s="22">
        <v>9094138</v>
      </c>
      <c r="AB310" s="55" t="s">
        <v>404</v>
      </c>
      <c r="AC310" s="93">
        <v>40270</v>
      </c>
    </row>
    <row r="311" spans="1:29" x14ac:dyDescent="0.4">
      <c r="A311" s="24" t="s">
        <v>412</v>
      </c>
      <c r="B311" s="24">
        <v>39706</v>
      </c>
      <c r="C311" s="24">
        <v>39672</v>
      </c>
      <c r="D311" s="22" t="s">
        <v>574</v>
      </c>
      <c r="E311" s="22">
        <v>9094174</v>
      </c>
      <c r="F311" s="22">
        <v>1010</v>
      </c>
      <c r="G311" s="22" t="s">
        <v>1240</v>
      </c>
      <c r="H311" s="55" t="s">
        <v>1241</v>
      </c>
      <c r="I311" s="55" t="s">
        <v>404</v>
      </c>
      <c r="J311" s="94">
        <v>40038</v>
      </c>
      <c r="K311" s="55" t="s">
        <v>404</v>
      </c>
      <c r="L311" s="92">
        <v>40042</v>
      </c>
      <c r="M311" s="92">
        <v>39890</v>
      </c>
      <c r="N311" s="80">
        <f t="shared" si="4"/>
        <v>39672</v>
      </c>
      <c r="O311" s="80"/>
      <c r="Q311" s="211"/>
      <c r="R311" s="80"/>
      <c r="S311" s="80"/>
      <c r="T311" s="80"/>
      <c r="U311" s="22">
        <v>9094138</v>
      </c>
      <c r="V311" s="80">
        <v>39819</v>
      </c>
      <c r="X311" s="4">
        <v>9094436</v>
      </c>
      <c r="Y311" s="2">
        <v>39690</v>
      </c>
      <c r="AA311" s="22">
        <v>9094174</v>
      </c>
      <c r="AB311" s="55" t="s">
        <v>404</v>
      </c>
      <c r="AC311" s="94">
        <v>40038</v>
      </c>
    </row>
    <row r="312" spans="1:29" x14ac:dyDescent="0.4">
      <c r="A312" s="24" t="s">
        <v>412</v>
      </c>
      <c r="B312" s="24">
        <v>39706</v>
      </c>
      <c r="C312" s="24">
        <v>39672</v>
      </c>
      <c r="D312" s="22" t="s">
        <v>574</v>
      </c>
      <c r="E312" s="22">
        <v>9094175</v>
      </c>
      <c r="F312" s="22">
        <v>1010</v>
      </c>
      <c r="G312" s="22" t="s">
        <v>1242</v>
      </c>
      <c r="H312" s="55" t="s">
        <v>1243</v>
      </c>
      <c r="I312" s="55" t="s">
        <v>404</v>
      </c>
      <c r="J312" s="94">
        <v>40042</v>
      </c>
      <c r="K312" s="55" t="s">
        <v>404</v>
      </c>
      <c r="L312" s="92">
        <v>40049</v>
      </c>
      <c r="M312" s="92">
        <v>39890</v>
      </c>
      <c r="N312" s="80">
        <f t="shared" si="4"/>
        <v>39672</v>
      </c>
      <c r="O312" s="80"/>
      <c r="Q312" s="211"/>
      <c r="R312" s="80"/>
      <c r="S312" s="80"/>
      <c r="T312" s="80"/>
      <c r="U312" s="22">
        <v>9094174</v>
      </c>
      <c r="V312" s="80">
        <v>39820</v>
      </c>
      <c r="X312" s="4">
        <v>9094233</v>
      </c>
      <c r="Y312" s="2">
        <v>39668</v>
      </c>
      <c r="AA312" s="22">
        <v>9094175</v>
      </c>
      <c r="AB312" s="55" t="s">
        <v>404</v>
      </c>
      <c r="AC312" s="94">
        <v>40042</v>
      </c>
    </row>
    <row r="313" spans="1:29" x14ac:dyDescent="0.4">
      <c r="A313" s="24" t="s">
        <v>412</v>
      </c>
      <c r="B313" s="24">
        <v>39706</v>
      </c>
      <c r="C313" s="24">
        <v>39672</v>
      </c>
      <c r="D313" s="22" t="s">
        <v>574</v>
      </c>
      <c r="E313" s="22">
        <v>9094194</v>
      </c>
      <c r="F313" s="22">
        <v>1010</v>
      </c>
      <c r="G313" s="22" t="s">
        <v>1244</v>
      </c>
      <c r="H313" s="55" t="s">
        <v>1245</v>
      </c>
      <c r="I313" s="55" t="s">
        <v>404</v>
      </c>
      <c r="J313" s="94">
        <v>39855</v>
      </c>
      <c r="K313" s="55" t="s">
        <v>404</v>
      </c>
      <c r="L313" s="92">
        <v>39957</v>
      </c>
      <c r="M313" s="92">
        <v>39890</v>
      </c>
      <c r="N313" s="80">
        <f t="shared" si="4"/>
        <v>39672</v>
      </c>
      <c r="O313" s="80"/>
      <c r="Q313" s="211"/>
      <c r="R313" s="80"/>
      <c r="S313" s="80"/>
      <c r="T313" s="80"/>
      <c r="U313" s="22">
        <v>9094175</v>
      </c>
      <c r="V313" s="80">
        <v>39820</v>
      </c>
      <c r="X313" s="4">
        <v>9094409</v>
      </c>
      <c r="Y313" s="2">
        <v>39675</v>
      </c>
      <c r="AA313" s="22">
        <v>9094194</v>
      </c>
      <c r="AB313" s="55" t="s">
        <v>404</v>
      </c>
      <c r="AC313" s="94">
        <v>39855</v>
      </c>
    </row>
    <row r="314" spans="1:29" x14ac:dyDescent="0.4">
      <c r="A314" s="24" t="s">
        <v>412</v>
      </c>
      <c r="B314" s="24">
        <v>39887</v>
      </c>
      <c r="C314" s="24">
        <v>39851</v>
      </c>
      <c r="D314" s="22" t="s">
        <v>578</v>
      </c>
      <c r="E314" s="155">
        <v>9094466</v>
      </c>
      <c r="F314" s="22">
        <v>715</v>
      </c>
      <c r="G314" s="22" t="s">
        <v>1246</v>
      </c>
      <c r="H314" s="55" t="s">
        <v>1247</v>
      </c>
      <c r="I314" s="55" t="s">
        <v>404</v>
      </c>
      <c r="J314" s="93">
        <v>39910</v>
      </c>
      <c r="K314" s="55" t="s">
        <v>404</v>
      </c>
      <c r="L314" s="92">
        <v>39957</v>
      </c>
      <c r="M314" s="93">
        <v>39867</v>
      </c>
      <c r="N314" s="80">
        <f t="shared" ref="N314:N382" si="5">VLOOKUP(E314,PO_Dates2009,2,FALSE)</f>
        <v>39851</v>
      </c>
      <c r="O314" s="80"/>
      <c r="Q314" s="211"/>
      <c r="R314" s="80"/>
      <c r="S314" s="80"/>
      <c r="T314" s="80"/>
      <c r="U314" s="22">
        <v>9094194</v>
      </c>
      <c r="V314" s="80">
        <v>39911</v>
      </c>
      <c r="X314" s="4">
        <v>9094350</v>
      </c>
      <c r="Y314" s="2">
        <v>39668</v>
      </c>
      <c r="AA314" s="33">
        <v>9094466</v>
      </c>
      <c r="AB314" s="55" t="s">
        <v>404</v>
      </c>
      <c r="AC314" s="93">
        <v>39910</v>
      </c>
    </row>
    <row r="315" spans="1:29" x14ac:dyDescent="0.4">
      <c r="A315" s="24" t="s">
        <v>412</v>
      </c>
      <c r="B315" s="24">
        <v>0</v>
      </c>
      <c r="C315" s="24">
        <v>39690</v>
      </c>
      <c r="D315" s="22" t="s">
        <v>578</v>
      </c>
      <c r="E315" s="22">
        <v>9094435</v>
      </c>
      <c r="F315" s="22">
        <v>1010</v>
      </c>
      <c r="G315" s="22" t="s">
        <v>1248</v>
      </c>
      <c r="H315" s="55" t="s">
        <v>1249</v>
      </c>
      <c r="I315" s="55" t="s">
        <v>404</v>
      </c>
      <c r="J315" s="94">
        <v>39806</v>
      </c>
      <c r="K315" s="55" t="s">
        <v>404</v>
      </c>
      <c r="L315" s="92">
        <v>39957</v>
      </c>
      <c r="M315" s="92">
        <v>39709</v>
      </c>
      <c r="N315" s="80">
        <f t="shared" si="5"/>
        <v>39690</v>
      </c>
      <c r="O315" s="80"/>
      <c r="Q315" s="211"/>
      <c r="R315" s="80"/>
      <c r="S315" s="80"/>
      <c r="T315" s="80"/>
      <c r="U315" s="33">
        <v>9094466</v>
      </c>
      <c r="V315" s="80">
        <v>39878</v>
      </c>
      <c r="X315" s="4">
        <v>9094410</v>
      </c>
      <c r="Y315" s="2">
        <v>39675</v>
      </c>
      <c r="AA315" s="22">
        <v>9094435</v>
      </c>
      <c r="AB315" s="55" t="s">
        <v>404</v>
      </c>
      <c r="AC315" s="94">
        <v>39806</v>
      </c>
    </row>
    <row r="316" spans="1:29" x14ac:dyDescent="0.4">
      <c r="A316" s="24" t="s">
        <v>412</v>
      </c>
      <c r="B316" s="24">
        <v>39767</v>
      </c>
      <c r="C316" s="24">
        <v>39674</v>
      </c>
      <c r="D316" s="22" t="s">
        <v>578</v>
      </c>
      <c r="E316" s="22">
        <v>9094037</v>
      </c>
      <c r="F316" s="22">
        <v>1010</v>
      </c>
      <c r="G316" s="22" t="s">
        <v>1250</v>
      </c>
      <c r="H316" s="55" t="s">
        <v>1153</v>
      </c>
      <c r="I316" s="55" t="s">
        <v>404</v>
      </c>
      <c r="J316" s="94">
        <v>39745</v>
      </c>
      <c r="K316" s="55" t="s">
        <v>404</v>
      </c>
      <c r="L316" s="92">
        <v>39986</v>
      </c>
      <c r="M316" s="92">
        <v>39709</v>
      </c>
      <c r="N316" s="80">
        <f t="shared" si="5"/>
        <v>39674</v>
      </c>
      <c r="O316" s="80"/>
      <c r="Q316" s="211"/>
      <c r="R316" s="80"/>
      <c r="S316" s="80"/>
      <c r="T316" s="80"/>
      <c r="U316" s="22">
        <v>9094435</v>
      </c>
      <c r="V316" s="80">
        <v>39881</v>
      </c>
      <c r="X316" s="4">
        <v>9094252</v>
      </c>
      <c r="Y316" s="2">
        <v>39675</v>
      </c>
      <c r="AA316" s="22">
        <v>9094037</v>
      </c>
      <c r="AB316" s="55" t="s">
        <v>404</v>
      </c>
      <c r="AC316" s="94">
        <v>39745</v>
      </c>
    </row>
    <row r="317" spans="1:29" x14ac:dyDescent="0.4">
      <c r="A317" s="24" t="s">
        <v>412</v>
      </c>
      <c r="B317" s="24">
        <v>39706</v>
      </c>
      <c r="C317" s="24">
        <v>39674</v>
      </c>
      <c r="D317" s="22" t="s">
        <v>578</v>
      </c>
      <c r="E317" s="22">
        <v>9094039</v>
      </c>
      <c r="F317" s="22">
        <v>1010</v>
      </c>
      <c r="G317" s="22" t="s">
        <v>1251</v>
      </c>
      <c r="H317" s="55" t="s">
        <v>1252</v>
      </c>
      <c r="I317" s="55" t="s">
        <v>404</v>
      </c>
      <c r="J317" s="94">
        <v>39745</v>
      </c>
      <c r="K317" s="55" t="s">
        <v>404</v>
      </c>
      <c r="L317" s="92">
        <v>39986</v>
      </c>
      <c r="M317" s="92">
        <v>39709</v>
      </c>
      <c r="N317" s="80">
        <f t="shared" si="5"/>
        <v>39674</v>
      </c>
      <c r="O317" s="80"/>
      <c r="Q317" s="211"/>
      <c r="R317" s="80"/>
      <c r="S317" s="80"/>
      <c r="T317" s="80"/>
      <c r="U317" s="22">
        <v>9094037</v>
      </c>
      <c r="V317" s="80">
        <v>39696</v>
      </c>
      <c r="X317" s="4">
        <v>9094302</v>
      </c>
      <c r="Y317" s="2">
        <v>39675</v>
      </c>
      <c r="AA317" s="22">
        <v>9094039</v>
      </c>
      <c r="AB317" s="55" t="s">
        <v>404</v>
      </c>
      <c r="AC317" s="94">
        <v>39745</v>
      </c>
    </row>
    <row r="318" spans="1:29" x14ac:dyDescent="0.4">
      <c r="A318" s="24" t="s">
        <v>412</v>
      </c>
      <c r="B318" s="24">
        <v>39706</v>
      </c>
      <c r="C318" s="24">
        <v>39674</v>
      </c>
      <c r="D318" s="22" t="s">
        <v>578</v>
      </c>
      <c r="E318" s="22">
        <v>9094049</v>
      </c>
      <c r="F318" s="22">
        <v>1010</v>
      </c>
      <c r="G318" s="22" t="s">
        <v>1253</v>
      </c>
      <c r="H318" s="55" t="s">
        <v>1254</v>
      </c>
      <c r="I318" s="55" t="s">
        <v>404</v>
      </c>
      <c r="J318" s="94">
        <v>39745</v>
      </c>
      <c r="K318" s="55" t="s">
        <v>404</v>
      </c>
      <c r="L318" s="92">
        <v>39910</v>
      </c>
      <c r="M318" s="92">
        <v>39709</v>
      </c>
      <c r="N318" s="80">
        <f t="shared" si="5"/>
        <v>39674</v>
      </c>
      <c r="O318" s="80"/>
      <c r="Q318" s="211"/>
      <c r="R318" s="80"/>
      <c r="S318" s="80"/>
      <c r="T318" s="80"/>
      <c r="U318" s="22">
        <v>9094039</v>
      </c>
      <c r="V318" s="80">
        <v>39699</v>
      </c>
      <c r="X318" s="4">
        <v>9094303</v>
      </c>
      <c r="Y318" s="2">
        <v>39675</v>
      </c>
      <c r="AA318" s="22">
        <v>9094049</v>
      </c>
      <c r="AB318" s="55" t="s">
        <v>404</v>
      </c>
      <c r="AC318" s="94">
        <v>39745</v>
      </c>
    </row>
    <row r="319" spans="1:29" x14ac:dyDescent="0.4">
      <c r="A319" s="24" t="s">
        <v>412</v>
      </c>
      <c r="B319" s="24">
        <v>0</v>
      </c>
      <c r="C319" s="24">
        <v>39690</v>
      </c>
      <c r="D319" s="22" t="s">
        <v>578</v>
      </c>
      <c r="E319" s="22">
        <v>9094438</v>
      </c>
      <c r="F319" s="22">
        <v>1210</v>
      </c>
      <c r="G319" s="22">
        <v>10</v>
      </c>
      <c r="H319" s="55" t="s">
        <v>1255</v>
      </c>
      <c r="I319" s="55" t="s">
        <v>404</v>
      </c>
      <c r="J319" s="94">
        <v>39813</v>
      </c>
      <c r="K319" s="55" t="s">
        <v>404</v>
      </c>
      <c r="L319" s="92">
        <v>39957</v>
      </c>
      <c r="M319" s="92">
        <v>39709</v>
      </c>
      <c r="N319" s="80">
        <f t="shared" si="5"/>
        <v>39690</v>
      </c>
      <c r="O319" s="80"/>
      <c r="Q319" s="211"/>
      <c r="R319" s="80"/>
      <c r="S319" s="80"/>
      <c r="T319" s="80"/>
      <c r="U319" s="22">
        <v>9094049</v>
      </c>
      <c r="V319" s="80">
        <v>39792</v>
      </c>
      <c r="X319" s="4">
        <v>9094304</v>
      </c>
      <c r="Y319" s="2">
        <v>39675</v>
      </c>
      <c r="AA319" s="22">
        <v>9094438</v>
      </c>
      <c r="AB319" s="55" t="s">
        <v>404</v>
      </c>
      <c r="AC319" s="94">
        <v>39813</v>
      </c>
    </row>
    <row r="320" spans="1:29" x14ac:dyDescent="0.4">
      <c r="A320" s="24" t="s">
        <v>412</v>
      </c>
      <c r="B320" s="24">
        <v>39918</v>
      </c>
      <c r="C320" s="24">
        <v>39829</v>
      </c>
      <c r="D320" s="22" t="s">
        <v>578</v>
      </c>
      <c r="E320" s="155">
        <v>9094467</v>
      </c>
      <c r="F320" s="22">
        <v>1010</v>
      </c>
      <c r="G320" s="22" t="s">
        <v>1256</v>
      </c>
      <c r="H320" s="55"/>
      <c r="I320" s="55" t="s">
        <v>404</v>
      </c>
      <c r="J320" s="94">
        <v>40242</v>
      </c>
      <c r="K320" s="55" t="s">
        <v>404</v>
      </c>
      <c r="L320" s="93">
        <v>40281</v>
      </c>
      <c r="M320" s="43">
        <v>39867</v>
      </c>
      <c r="N320" s="80">
        <f t="shared" si="5"/>
        <v>39829</v>
      </c>
      <c r="O320" s="80"/>
      <c r="Q320" s="211"/>
      <c r="R320" s="80"/>
      <c r="S320" s="80"/>
      <c r="T320" s="80"/>
      <c r="U320" s="22">
        <v>9094438</v>
      </c>
      <c r="V320" s="80">
        <v>39911</v>
      </c>
      <c r="X320" s="4">
        <v>9094378</v>
      </c>
      <c r="Y320" s="2">
        <v>39675</v>
      </c>
      <c r="AA320" s="33">
        <v>9094467</v>
      </c>
      <c r="AB320" s="55" t="s">
        <v>404</v>
      </c>
      <c r="AC320" s="94">
        <v>40242</v>
      </c>
    </row>
    <row r="321" spans="1:29" x14ac:dyDescent="0.4">
      <c r="A321" s="24" t="s">
        <v>412</v>
      </c>
      <c r="B321" s="24">
        <v>39918</v>
      </c>
      <c r="C321" s="24">
        <v>39829</v>
      </c>
      <c r="D321" s="22" t="s">
        <v>578</v>
      </c>
      <c r="E321" s="155">
        <v>9094468</v>
      </c>
      <c r="F321" s="22">
        <v>715</v>
      </c>
      <c r="G321" s="22" t="s">
        <v>1257</v>
      </c>
      <c r="H321" s="55" t="s">
        <v>1258</v>
      </c>
      <c r="I321" s="55" t="s">
        <v>404</v>
      </c>
      <c r="J321" s="120">
        <v>39910</v>
      </c>
      <c r="K321" s="55" t="s">
        <v>404</v>
      </c>
      <c r="L321" s="92">
        <v>39957</v>
      </c>
      <c r="M321" s="43">
        <v>39867</v>
      </c>
      <c r="N321" s="80">
        <f t="shared" si="5"/>
        <v>39829</v>
      </c>
      <c r="O321" s="80"/>
      <c r="Q321" s="211"/>
      <c r="R321" s="80"/>
      <c r="S321" s="80"/>
      <c r="T321" s="80"/>
      <c r="U321" s="33">
        <v>9094467</v>
      </c>
      <c r="V321" s="80">
        <v>39913</v>
      </c>
      <c r="X321" s="4">
        <v>9094242</v>
      </c>
      <c r="Y321" s="2">
        <v>39917</v>
      </c>
      <c r="AA321" s="33">
        <v>9094468</v>
      </c>
      <c r="AB321" s="55" t="s">
        <v>404</v>
      </c>
      <c r="AC321" s="120">
        <v>39910</v>
      </c>
    </row>
    <row r="322" spans="1:29" x14ac:dyDescent="0.4">
      <c r="A322" s="24" t="s">
        <v>412</v>
      </c>
      <c r="B322" s="24">
        <v>39918</v>
      </c>
      <c r="C322" s="24">
        <v>39829</v>
      </c>
      <c r="D322" s="22" t="s">
        <v>578</v>
      </c>
      <c r="E322" s="155">
        <v>9094469</v>
      </c>
      <c r="F322" s="22">
        <v>1010</v>
      </c>
      <c r="G322" s="22" t="s">
        <v>1259</v>
      </c>
      <c r="H322" s="76"/>
      <c r="I322" s="55" t="s">
        <v>404</v>
      </c>
      <c r="J322" s="94">
        <v>40178</v>
      </c>
      <c r="K322" s="55" t="s">
        <v>404</v>
      </c>
      <c r="L322" s="93">
        <v>40195</v>
      </c>
      <c r="M322" s="43">
        <v>39867</v>
      </c>
      <c r="N322" s="80">
        <f t="shared" si="5"/>
        <v>39829</v>
      </c>
      <c r="O322" s="80"/>
      <c r="Q322" s="211"/>
      <c r="R322" s="80"/>
      <c r="S322" s="80"/>
      <c r="T322" s="80"/>
      <c r="U322" s="33">
        <v>9094468</v>
      </c>
      <c r="V322" s="80">
        <v>39913</v>
      </c>
      <c r="X322" s="4">
        <v>9094132</v>
      </c>
      <c r="Y322" s="2">
        <v>39917</v>
      </c>
      <c r="AA322" s="33">
        <v>9094469</v>
      </c>
      <c r="AB322" s="55" t="s">
        <v>404</v>
      </c>
      <c r="AC322" s="94">
        <v>40178</v>
      </c>
    </row>
    <row r="323" spans="1:29" x14ac:dyDescent="0.4">
      <c r="A323" s="24" t="s">
        <v>412</v>
      </c>
      <c r="B323" s="24">
        <v>39767</v>
      </c>
      <c r="C323" s="24">
        <v>39674</v>
      </c>
      <c r="D323" s="22" t="s">
        <v>578</v>
      </c>
      <c r="E323" s="22">
        <v>9094239</v>
      </c>
      <c r="F323" s="22">
        <v>1010</v>
      </c>
      <c r="G323" s="22" t="s">
        <v>1260</v>
      </c>
      <c r="H323" s="55" t="s">
        <v>1261</v>
      </c>
      <c r="I323" s="55" t="s">
        <v>404</v>
      </c>
      <c r="J323" s="94">
        <v>39752</v>
      </c>
      <c r="K323" s="55" t="s">
        <v>404</v>
      </c>
      <c r="L323" s="92">
        <v>39910</v>
      </c>
      <c r="M323" s="92">
        <v>39709</v>
      </c>
      <c r="N323" s="80">
        <f t="shared" si="5"/>
        <v>39674</v>
      </c>
      <c r="O323" s="80"/>
      <c r="Q323" s="211"/>
      <c r="R323" s="80"/>
      <c r="S323" s="80"/>
      <c r="T323" s="80"/>
      <c r="U323" s="33">
        <v>9094469</v>
      </c>
      <c r="V323" s="80">
        <v>39913</v>
      </c>
      <c r="X323" s="4">
        <v>9094421</v>
      </c>
      <c r="Y323" s="2">
        <v>40052</v>
      </c>
      <c r="AA323" s="22">
        <v>9094239</v>
      </c>
      <c r="AB323" s="55" t="s">
        <v>404</v>
      </c>
      <c r="AC323" s="94">
        <v>39752</v>
      </c>
    </row>
    <row r="324" spans="1:29" x14ac:dyDescent="0.4">
      <c r="A324" s="24" t="s">
        <v>412</v>
      </c>
      <c r="B324" s="24">
        <v>0</v>
      </c>
      <c r="C324" s="24">
        <v>39690</v>
      </c>
      <c r="D324" s="22" t="s">
        <v>578</v>
      </c>
      <c r="E324" s="22">
        <v>9094437</v>
      </c>
      <c r="F324" s="22">
        <v>1010</v>
      </c>
      <c r="G324" s="22">
        <v>9</v>
      </c>
      <c r="H324" s="55" t="s">
        <v>1262</v>
      </c>
      <c r="I324" s="55" t="s">
        <v>404</v>
      </c>
      <c r="J324" s="94">
        <v>40228</v>
      </c>
      <c r="K324" s="55" t="s">
        <v>404</v>
      </c>
      <c r="L324" s="92">
        <v>40263</v>
      </c>
      <c r="M324" s="92">
        <v>39709</v>
      </c>
      <c r="N324" s="80">
        <f t="shared" si="5"/>
        <v>39690</v>
      </c>
      <c r="O324" s="80"/>
      <c r="Q324" s="211"/>
      <c r="R324" s="80"/>
      <c r="S324" s="80"/>
      <c r="T324" s="80"/>
      <c r="U324" s="22">
        <v>9094239</v>
      </c>
      <c r="V324" s="80">
        <v>39860</v>
      </c>
      <c r="X324" s="4">
        <v>9094360</v>
      </c>
      <c r="Y324" s="2">
        <v>39675</v>
      </c>
      <c r="AA324" s="22">
        <v>9094437</v>
      </c>
      <c r="AB324" s="55" t="s">
        <v>404</v>
      </c>
      <c r="AC324" s="94">
        <v>40228</v>
      </c>
    </row>
    <row r="325" spans="1:29" x14ac:dyDescent="0.4">
      <c r="A325" s="24" t="s">
        <v>412</v>
      </c>
      <c r="B325" s="24">
        <v>39767</v>
      </c>
      <c r="C325" s="24">
        <v>39674</v>
      </c>
      <c r="D325" s="22" t="s">
        <v>578</v>
      </c>
      <c r="E325" s="22">
        <v>9094240</v>
      </c>
      <c r="F325" s="22">
        <v>1010</v>
      </c>
      <c r="G325" s="22" t="s">
        <v>1263</v>
      </c>
      <c r="H325" s="55" t="s">
        <v>1264</v>
      </c>
      <c r="I325" s="55" t="s">
        <v>404</v>
      </c>
      <c r="J325" s="94">
        <v>39752</v>
      </c>
      <c r="K325" s="55" t="s">
        <v>404</v>
      </c>
      <c r="L325" s="92">
        <v>39910</v>
      </c>
      <c r="M325" s="92">
        <v>39709</v>
      </c>
      <c r="N325" s="80">
        <f t="shared" si="5"/>
        <v>39674</v>
      </c>
      <c r="O325" s="80"/>
      <c r="Q325" s="211"/>
      <c r="R325" s="80"/>
      <c r="S325" s="80"/>
      <c r="T325" s="80"/>
      <c r="U325" s="22">
        <v>9094437</v>
      </c>
      <c r="V325" s="80">
        <v>39951</v>
      </c>
      <c r="X325" s="4">
        <v>9094416</v>
      </c>
      <c r="Y325" s="2">
        <v>39681</v>
      </c>
      <c r="AA325" s="22">
        <v>9094240</v>
      </c>
      <c r="AB325" s="55" t="s">
        <v>404</v>
      </c>
      <c r="AC325" s="94">
        <v>39752</v>
      </c>
    </row>
    <row r="326" spans="1:29" x14ac:dyDescent="0.4">
      <c r="A326" s="24" t="s">
        <v>412</v>
      </c>
      <c r="B326" s="24">
        <v>39706</v>
      </c>
      <c r="C326" s="24">
        <v>39674</v>
      </c>
      <c r="D326" s="22" t="s">
        <v>578</v>
      </c>
      <c r="E326" s="22">
        <v>9094048</v>
      </c>
      <c r="F326" s="22">
        <v>1010</v>
      </c>
      <c r="G326" s="22" t="s">
        <v>1265</v>
      </c>
      <c r="H326" s="55" t="s">
        <v>1266</v>
      </c>
      <c r="I326" s="55" t="s">
        <v>404</v>
      </c>
      <c r="J326" s="94">
        <v>39745</v>
      </c>
      <c r="K326" s="55" t="s">
        <v>404</v>
      </c>
      <c r="L326" s="92">
        <v>39986</v>
      </c>
      <c r="M326" s="92">
        <v>39709</v>
      </c>
      <c r="N326" s="80">
        <f t="shared" si="5"/>
        <v>39674</v>
      </c>
      <c r="O326" s="80"/>
      <c r="Q326" s="211"/>
      <c r="R326" s="80"/>
      <c r="S326" s="80"/>
      <c r="T326" s="80"/>
      <c r="U326" s="22">
        <v>9094240</v>
      </c>
      <c r="V326" s="80">
        <v>39861</v>
      </c>
      <c r="X326" s="4">
        <v>9094381</v>
      </c>
      <c r="Y326" s="2">
        <v>39675</v>
      </c>
      <c r="AA326" s="22">
        <v>9094048</v>
      </c>
      <c r="AB326" s="55" t="s">
        <v>404</v>
      </c>
      <c r="AC326" s="94">
        <v>39745</v>
      </c>
    </row>
    <row r="327" spans="1:29" x14ac:dyDescent="0.4">
      <c r="A327" s="24" t="s">
        <v>412</v>
      </c>
      <c r="B327" s="24">
        <v>0</v>
      </c>
      <c r="C327" s="24">
        <v>39690</v>
      </c>
      <c r="D327" s="22" t="s">
        <v>578</v>
      </c>
      <c r="E327" s="22">
        <v>9094436</v>
      </c>
      <c r="F327" s="22">
        <v>1010</v>
      </c>
      <c r="G327" s="22">
        <v>8</v>
      </c>
      <c r="H327" s="55" t="s">
        <v>1272</v>
      </c>
      <c r="I327" s="55" t="s">
        <v>404</v>
      </c>
      <c r="J327" s="94">
        <v>39813</v>
      </c>
      <c r="K327" s="55" t="s">
        <v>404</v>
      </c>
      <c r="L327" s="92">
        <v>39957</v>
      </c>
      <c r="M327" s="92">
        <v>39709</v>
      </c>
      <c r="N327" s="80">
        <f t="shared" si="5"/>
        <v>39690</v>
      </c>
      <c r="O327" s="80"/>
      <c r="Q327" s="211"/>
      <c r="R327" s="80"/>
      <c r="S327" s="80"/>
      <c r="T327" s="80"/>
      <c r="U327" s="22">
        <v>9094048</v>
      </c>
      <c r="V327" s="80">
        <v>39800</v>
      </c>
      <c r="X327" s="4">
        <v>9094266</v>
      </c>
      <c r="Y327" s="2">
        <v>39675</v>
      </c>
      <c r="AA327" s="22">
        <v>9094436</v>
      </c>
      <c r="AB327" s="55" t="s">
        <v>404</v>
      </c>
      <c r="AC327" s="94">
        <v>39813</v>
      </c>
    </row>
    <row r="328" spans="1:29" x14ac:dyDescent="0.4">
      <c r="A328" s="24" t="s">
        <v>412</v>
      </c>
      <c r="B328" s="24">
        <v>39706</v>
      </c>
      <c r="C328" s="24">
        <v>39673</v>
      </c>
      <c r="D328" s="22" t="s">
        <v>579</v>
      </c>
      <c r="E328" s="22">
        <v>9094078</v>
      </c>
      <c r="F328" s="22">
        <v>1010</v>
      </c>
      <c r="G328" s="22" t="s">
        <v>1155</v>
      </c>
      <c r="H328" s="55" t="s">
        <v>1156</v>
      </c>
      <c r="I328" s="55" t="s">
        <v>404</v>
      </c>
      <c r="J328" s="94">
        <v>40232</v>
      </c>
      <c r="K328" s="55" t="s">
        <v>404</v>
      </c>
      <c r="L328" s="92">
        <v>40298</v>
      </c>
      <c r="M328" s="92"/>
      <c r="N328" s="80">
        <f t="shared" si="5"/>
        <v>39673</v>
      </c>
      <c r="O328" s="80"/>
      <c r="Q328" s="211"/>
      <c r="R328" s="80"/>
      <c r="S328" s="80"/>
      <c r="T328" s="80"/>
      <c r="U328" s="22">
        <v>9094436</v>
      </c>
      <c r="V328" s="80">
        <v>39917</v>
      </c>
      <c r="X328" s="4">
        <v>9094376</v>
      </c>
      <c r="Y328" s="2">
        <v>39675</v>
      </c>
      <c r="AA328" s="22">
        <v>9094078</v>
      </c>
      <c r="AB328" s="55" t="s">
        <v>404</v>
      </c>
      <c r="AC328" s="94">
        <v>40232</v>
      </c>
    </row>
    <row r="329" spans="1:29" x14ac:dyDescent="0.4">
      <c r="A329" s="24" t="s">
        <v>412</v>
      </c>
      <c r="B329" s="24">
        <v>39706</v>
      </c>
      <c r="C329" s="24">
        <v>39673</v>
      </c>
      <c r="D329" s="22" t="s">
        <v>579</v>
      </c>
      <c r="E329" s="22">
        <v>9094183</v>
      </c>
      <c r="F329" s="22">
        <v>1210</v>
      </c>
      <c r="G329" s="22" t="s">
        <v>1273</v>
      </c>
      <c r="H329" s="55" t="s">
        <v>794</v>
      </c>
      <c r="I329" s="55" t="s">
        <v>406</v>
      </c>
      <c r="J329" s="94"/>
      <c r="K329" s="55" t="s">
        <v>406</v>
      </c>
      <c r="L329" s="92"/>
      <c r="M329" s="92"/>
      <c r="N329" s="80">
        <f t="shared" si="5"/>
        <v>39673</v>
      </c>
      <c r="O329" s="80"/>
      <c r="Q329" s="211"/>
      <c r="R329" s="80"/>
      <c r="S329" s="80"/>
      <c r="T329" s="80"/>
      <c r="U329" s="22">
        <v>9094183</v>
      </c>
      <c r="V329" s="80">
        <v>39975</v>
      </c>
      <c r="X329" s="4">
        <v>9094377</v>
      </c>
      <c r="Y329" s="2">
        <v>39675</v>
      </c>
      <c r="AA329" s="22">
        <v>9094183</v>
      </c>
      <c r="AB329" s="55" t="s">
        <v>404</v>
      </c>
      <c r="AC329" s="94">
        <v>40348</v>
      </c>
    </row>
    <row r="330" spans="1:29" x14ac:dyDescent="0.4">
      <c r="A330" s="24" t="s">
        <v>412</v>
      </c>
      <c r="B330" s="24">
        <v>0</v>
      </c>
      <c r="C330" s="24">
        <v>0</v>
      </c>
      <c r="D330" s="22" t="s">
        <v>579</v>
      </c>
      <c r="E330" s="210">
        <v>9094446</v>
      </c>
      <c r="F330" s="22">
        <v>1210</v>
      </c>
      <c r="G330" s="22" t="s">
        <v>1274</v>
      </c>
      <c r="H330" s="55" t="s">
        <v>1293</v>
      </c>
      <c r="I330" s="55" t="s">
        <v>404</v>
      </c>
      <c r="J330" s="94">
        <v>39850</v>
      </c>
      <c r="K330" s="55" t="s">
        <v>404</v>
      </c>
      <c r="L330" s="92">
        <v>39910</v>
      </c>
      <c r="M330" s="92">
        <v>39913</v>
      </c>
      <c r="N330" s="80">
        <f t="shared" si="5"/>
        <v>39850</v>
      </c>
      <c r="O330" s="80"/>
      <c r="Q330" s="211"/>
      <c r="R330" s="80"/>
      <c r="S330" s="80"/>
      <c r="T330" s="80"/>
      <c r="U330" s="79">
        <v>9094446</v>
      </c>
      <c r="V330" s="80">
        <v>39875</v>
      </c>
      <c r="X330" s="4">
        <v>9094379</v>
      </c>
      <c r="Y330" s="2">
        <v>39675</v>
      </c>
      <c r="AA330" s="79">
        <v>9094446</v>
      </c>
      <c r="AB330" s="55" t="s">
        <v>404</v>
      </c>
      <c r="AC330" s="94">
        <v>39850</v>
      </c>
    </row>
    <row r="331" spans="1:29" x14ac:dyDescent="0.4">
      <c r="A331" s="24" t="s">
        <v>412</v>
      </c>
      <c r="B331" s="24">
        <v>0</v>
      </c>
      <c r="C331" s="24">
        <v>0</v>
      </c>
      <c r="D331" s="22" t="s">
        <v>579</v>
      </c>
      <c r="E331" s="210">
        <v>9094445</v>
      </c>
      <c r="F331" s="22">
        <v>1210</v>
      </c>
      <c r="G331" s="22" t="s">
        <v>1274</v>
      </c>
      <c r="H331" s="55" t="s">
        <v>1293</v>
      </c>
      <c r="I331" s="55" t="s">
        <v>404</v>
      </c>
      <c r="J331" s="94">
        <v>39850</v>
      </c>
      <c r="K331" s="55" t="s">
        <v>404</v>
      </c>
      <c r="L331" s="92">
        <v>39910</v>
      </c>
      <c r="M331" s="92">
        <v>39913</v>
      </c>
      <c r="N331" s="80">
        <f t="shared" si="5"/>
        <v>39850</v>
      </c>
      <c r="O331" s="80"/>
      <c r="Q331" s="211"/>
      <c r="R331" s="80"/>
      <c r="S331" s="80"/>
      <c r="T331" s="80"/>
      <c r="U331" s="79">
        <v>9094445</v>
      </c>
      <c r="V331" s="80">
        <v>39876</v>
      </c>
      <c r="X331" s="4">
        <v>9094461</v>
      </c>
      <c r="Y331" s="2">
        <v>39787</v>
      </c>
      <c r="AA331" s="79">
        <v>9094445</v>
      </c>
      <c r="AB331" s="55" t="s">
        <v>404</v>
      </c>
      <c r="AC331" s="94">
        <v>39850</v>
      </c>
    </row>
    <row r="332" spans="1:29" x14ac:dyDescent="0.4">
      <c r="A332" s="24" t="s">
        <v>412</v>
      </c>
      <c r="B332" s="24">
        <v>0</v>
      </c>
      <c r="C332" s="24">
        <v>0</v>
      </c>
      <c r="D332" s="22" t="s">
        <v>579</v>
      </c>
      <c r="E332" s="22">
        <v>9094459</v>
      </c>
      <c r="F332" s="22">
        <v>1010</v>
      </c>
      <c r="G332" s="22" t="s">
        <v>1294</v>
      </c>
      <c r="H332" s="55" t="s">
        <v>1295</v>
      </c>
      <c r="I332" s="55" t="s">
        <v>404</v>
      </c>
      <c r="J332" s="94">
        <v>39751</v>
      </c>
      <c r="K332" s="55" t="s">
        <v>404</v>
      </c>
      <c r="L332" s="92">
        <v>39986</v>
      </c>
      <c r="M332" s="92"/>
      <c r="N332" s="80">
        <f t="shared" si="5"/>
        <v>39706</v>
      </c>
      <c r="O332" s="80"/>
      <c r="Q332" s="211"/>
      <c r="R332" s="80"/>
      <c r="S332" s="80"/>
      <c r="T332" s="80"/>
      <c r="U332" s="22">
        <v>9094459</v>
      </c>
      <c r="V332" s="80">
        <v>39882</v>
      </c>
      <c r="X332" s="4">
        <v>9094260</v>
      </c>
      <c r="Y332" s="2">
        <v>39675</v>
      </c>
      <c r="AA332" s="22">
        <v>9094459</v>
      </c>
      <c r="AB332" s="55" t="s">
        <v>404</v>
      </c>
      <c r="AC332" s="94">
        <v>39751</v>
      </c>
    </row>
    <row r="333" spans="1:29" x14ac:dyDescent="0.4">
      <c r="A333" s="24" t="s">
        <v>412</v>
      </c>
      <c r="B333" s="24">
        <v>39844</v>
      </c>
      <c r="C333" s="24">
        <v>0</v>
      </c>
      <c r="D333" s="22" t="s">
        <v>579</v>
      </c>
      <c r="E333" s="22">
        <v>9094458</v>
      </c>
      <c r="F333" s="22">
        <v>1010</v>
      </c>
      <c r="G333" s="22" t="s">
        <v>1296</v>
      </c>
      <c r="H333" s="55" t="s">
        <v>1297</v>
      </c>
      <c r="I333" s="55" t="s">
        <v>404</v>
      </c>
      <c r="J333" s="94">
        <v>39984</v>
      </c>
      <c r="K333" s="55" t="s">
        <v>404</v>
      </c>
      <c r="L333" s="92">
        <v>39986</v>
      </c>
      <c r="M333" s="92">
        <v>39948</v>
      </c>
      <c r="N333" s="80">
        <f t="shared" si="5"/>
        <v>39716</v>
      </c>
      <c r="O333" s="80"/>
      <c r="Q333" s="211"/>
      <c r="R333" s="80"/>
      <c r="S333" s="80"/>
      <c r="T333" s="80"/>
      <c r="U333" s="22">
        <v>9094458</v>
      </c>
      <c r="V333" s="80">
        <v>39827</v>
      </c>
      <c r="X333" s="4">
        <v>9094296</v>
      </c>
      <c r="Y333" s="2">
        <v>39665</v>
      </c>
      <c r="AA333" s="22">
        <v>9094458</v>
      </c>
      <c r="AB333" s="55" t="s">
        <v>404</v>
      </c>
      <c r="AC333" s="94">
        <v>39984</v>
      </c>
    </row>
    <row r="334" spans="1:29" x14ac:dyDescent="0.4">
      <c r="A334" s="24" t="s">
        <v>412</v>
      </c>
      <c r="B334" s="24">
        <v>39752</v>
      </c>
      <c r="C334" s="24">
        <v>0</v>
      </c>
      <c r="D334" s="22" t="s">
        <v>579</v>
      </c>
      <c r="E334" s="22">
        <v>9094343</v>
      </c>
      <c r="F334" s="22">
        <v>1010</v>
      </c>
      <c r="G334" s="22" t="s">
        <v>1298</v>
      </c>
      <c r="H334" s="55" t="s">
        <v>1299</v>
      </c>
      <c r="I334" s="55" t="s">
        <v>404</v>
      </c>
      <c r="J334" s="94">
        <v>39790</v>
      </c>
      <c r="K334" s="55" t="s">
        <v>404</v>
      </c>
      <c r="L334" s="92">
        <v>39957</v>
      </c>
      <c r="M334" s="92">
        <v>39918</v>
      </c>
      <c r="N334" s="80">
        <f t="shared" si="5"/>
        <v>39655</v>
      </c>
      <c r="O334" s="80"/>
      <c r="Q334" s="211"/>
      <c r="R334" s="80"/>
      <c r="S334" s="80"/>
      <c r="T334" s="80"/>
      <c r="U334" s="22">
        <v>9094343</v>
      </c>
      <c r="V334" s="80">
        <v>39745</v>
      </c>
      <c r="X334" s="4">
        <v>9094297</v>
      </c>
      <c r="Y334" s="2">
        <v>39665</v>
      </c>
      <c r="AA334" s="22">
        <v>9094343</v>
      </c>
      <c r="AB334" s="55" t="s">
        <v>404</v>
      </c>
      <c r="AC334" s="94">
        <v>39790</v>
      </c>
    </row>
    <row r="335" spans="1:29" x14ac:dyDescent="0.4">
      <c r="A335" s="24" t="s">
        <v>412</v>
      </c>
      <c r="B335" s="24">
        <v>0</v>
      </c>
      <c r="C335" s="24">
        <v>0</v>
      </c>
      <c r="D335" s="22" t="s">
        <v>579</v>
      </c>
      <c r="E335" s="210">
        <v>9094447</v>
      </c>
      <c r="F335" s="22">
        <v>1010</v>
      </c>
      <c r="G335" s="22" t="s">
        <v>1273</v>
      </c>
      <c r="H335" s="55" t="s">
        <v>1300</v>
      </c>
      <c r="I335" s="55" t="s">
        <v>404</v>
      </c>
      <c r="J335" s="94">
        <v>40164</v>
      </c>
      <c r="K335" s="55" t="s">
        <v>404</v>
      </c>
      <c r="L335" s="92">
        <v>40178</v>
      </c>
      <c r="M335" s="28"/>
      <c r="N335" s="80">
        <f t="shared" si="5"/>
        <v>39946</v>
      </c>
      <c r="O335" s="80"/>
      <c r="Q335" s="211"/>
      <c r="R335" s="80"/>
      <c r="S335" s="80"/>
      <c r="T335" s="80"/>
      <c r="U335" s="79">
        <v>9094447</v>
      </c>
      <c r="V335" s="80">
        <v>39962</v>
      </c>
      <c r="X335" s="4" t="s">
        <v>1690</v>
      </c>
      <c r="Y335" s="2"/>
      <c r="AA335" s="79">
        <v>9094447</v>
      </c>
      <c r="AB335" s="55" t="s">
        <v>404</v>
      </c>
      <c r="AC335" s="94">
        <v>40164</v>
      </c>
    </row>
    <row r="336" spans="1:29" x14ac:dyDescent="0.4">
      <c r="A336" s="24" t="s">
        <v>412</v>
      </c>
      <c r="B336" s="24">
        <v>0</v>
      </c>
      <c r="C336" s="24">
        <v>39944</v>
      </c>
      <c r="D336" s="22" t="s">
        <v>579</v>
      </c>
      <c r="E336" s="210">
        <v>9094448</v>
      </c>
      <c r="F336" s="22">
        <v>1210</v>
      </c>
      <c r="G336" s="22" t="s">
        <v>1301</v>
      </c>
      <c r="H336" s="55" t="s">
        <v>1302</v>
      </c>
      <c r="I336" s="55" t="s">
        <v>404</v>
      </c>
      <c r="J336" s="94">
        <v>39944</v>
      </c>
      <c r="K336" s="55" t="s">
        <v>404</v>
      </c>
      <c r="L336" s="92">
        <v>39986</v>
      </c>
      <c r="M336" s="92">
        <v>39965</v>
      </c>
      <c r="N336" s="80">
        <f t="shared" si="5"/>
        <v>39944</v>
      </c>
      <c r="O336" s="80"/>
      <c r="Q336" s="211"/>
      <c r="R336" s="80"/>
      <c r="S336" s="80"/>
      <c r="T336" s="80"/>
      <c r="U336" s="79">
        <v>9094448</v>
      </c>
      <c r="V336" s="80">
        <v>39951</v>
      </c>
      <c r="X336" s="4">
        <v>9094361</v>
      </c>
      <c r="Y336" s="2">
        <v>39675</v>
      </c>
      <c r="AA336" s="79">
        <v>9094448</v>
      </c>
      <c r="AB336" s="55" t="s">
        <v>404</v>
      </c>
      <c r="AC336" s="94">
        <v>39944</v>
      </c>
    </row>
    <row r="337" spans="1:29" x14ac:dyDescent="0.4">
      <c r="A337" s="24" t="s">
        <v>412</v>
      </c>
      <c r="B337" s="24">
        <v>0</v>
      </c>
      <c r="C337" s="24">
        <v>0</v>
      </c>
      <c r="D337" s="22" t="s">
        <v>579</v>
      </c>
      <c r="E337" s="22">
        <v>9094465</v>
      </c>
      <c r="F337" s="22">
        <v>715</v>
      </c>
      <c r="G337" s="22" t="s">
        <v>1303</v>
      </c>
      <c r="H337" s="55" t="s">
        <v>1304</v>
      </c>
      <c r="I337" s="55" t="s">
        <v>404</v>
      </c>
      <c r="J337" s="94">
        <v>39813</v>
      </c>
      <c r="K337" s="55" t="s">
        <v>404</v>
      </c>
      <c r="L337" s="92">
        <v>39910</v>
      </c>
      <c r="M337" s="92">
        <v>39818</v>
      </c>
      <c r="N337" s="80">
        <f t="shared" si="5"/>
        <v>39813</v>
      </c>
      <c r="O337" s="80"/>
      <c r="Q337" s="211"/>
      <c r="R337" s="80"/>
      <c r="S337" s="80"/>
      <c r="T337" s="80"/>
      <c r="U337" s="22">
        <v>9094465</v>
      </c>
      <c r="V337" s="80">
        <v>39864</v>
      </c>
      <c r="X337" s="4">
        <v>9094091</v>
      </c>
      <c r="Y337" s="2">
        <v>39675</v>
      </c>
      <c r="AA337" s="22">
        <v>9094465</v>
      </c>
      <c r="AB337" s="55" t="s">
        <v>404</v>
      </c>
      <c r="AC337" s="94">
        <v>39813</v>
      </c>
    </row>
    <row r="338" spans="1:29" x14ac:dyDescent="0.4">
      <c r="A338" s="24" t="s">
        <v>412</v>
      </c>
      <c r="B338" s="24">
        <v>39706</v>
      </c>
      <c r="C338" s="24">
        <v>39675</v>
      </c>
      <c r="D338" s="22" t="s">
        <v>588</v>
      </c>
      <c r="E338" s="22">
        <v>9094067</v>
      </c>
      <c r="F338" s="22">
        <v>1010</v>
      </c>
      <c r="G338" s="22">
        <v>1</v>
      </c>
      <c r="H338" s="55" t="s">
        <v>1151</v>
      </c>
      <c r="I338" s="55" t="s">
        <v>404</v>
      </c>
      <c r="J338" s="94">
        <v>40056</v>
      </c>
      <c r="K338" s="55" t="s">
        <v>404</v>
      </c>
      <c r="L338" s="92">
        <v>40057</v>
      </c>
      <c r="M338" s="92">
        <v>39799</v>
      </c>
      <c r="N338" s="80">
        <f t="shared" si="5"/>
        <v>39675</v>
      </c>
      <c r="O338" s="80"/>
      <c r="Q338" s="211"/>
      <c r="R338" s="80"/>
      <c r="S338" s="80"/>
      <c r="T338" s="80"/>
      <c r="U338" s="22">
        <v>9094067</v>
      </c>
      <c r="V338" s="80">
        <v>39708</v>
      </c>
      <c r="X338" s="4">
        <v>9094092</v>
      </c>
      <c r="Y338" s="2">
        <v>39675</v>
      </c>
      <c r="AA338" s="22">
        <v>9094067</v>
      </c>
      <c r="AB338" s="55" t="s">
        <v>404</v>
      </c>
      <c r="AC338" s="94">
        <v>40056</v>
      </c>
    </row>
    <row r="339" spans="1:29" x14ac:dyDescent="0.4">
      <c r="A339" s="24" t="s">
        <v>412</v>
      </c>
      <c r="B339" s="24">
        <v>39828</v>
      </c>
      <c r="C339" s="24">
        <v>39675</v>
      </c>
      <c r="D339" s="22" t="s">
        <v>588</v>
      </c>
      <c r="E339" s="22">
        <v>9094068</v>
      </c>
      <c r="F339" s="22">
        <v>1010</v>
      </c>
      <c r="G339" s="22">
        <v>2</v>
      </c>
      <c r="H339" s="55" t="s">
        <v>1152</v>
      </c>
      <c r="I339" s="55" t="s">
        <v>406</v>
      </c>
      <c r="J339" s="94"/>
      <c r="K339" s="55" t="s">
        <v>406</v>
      </c>
      <c r="L339" s="92"/>
      <c r="M339" s="92">
        <v>39890</v>
      </c>
      <c r="N339" s="80">
        <f t="shared" si="5"/>
        <v>39675</v>
      </c>
      <c r="O339" s="80"/>
      <c r="Q339" s="211"/>
      <c r="R339" s="80"/>
      <c r="S339" s="80"/>
      <c r="T339" s="80"/>
      <c r="U339" s="22">
        <v>9094068</v>
      </c>
      <c r="V339" s="80">
        <v>39708</v>
      </c>
      <c r="X339" s="4">
        <v>9094411</v>
      </c>
      <c r="Y339" s="2">
        <v>39675</v>
      </c>
      <c r="AA339" s="22">
        <v>9094068</v>
      </c>
      <c r="AB339" s="55" t="s">
        <v>404</v>
      </c>
      <c r="AC339" s="94">
        <v>40057</v>
      </c>
    </row>
    <row r="340" spans="1:29" x14ac:dyDescent="0.4">
      <c r="A340" s="24" t="s">
        <v>412</v>
      </c>
      <c r="B340" s="24">
        <v>39706</v>
      </c>
      <c r="C340" s="24">
        <v>39673</v>
      </c>
      <c r="D340" s="22" t="s">
        <v>592</v>
      </c>
      <c r="E340" s="22">
        <v>9094077</v>
      </c>
      <c r="F340" s="22">
        <v>1210</v>
      </c>
      <c r="G340" s="22" t="s">
        <v>1305</v>
      </c>
      <c r="H340" s="55" t="s">
        <v>1306</v>
      </c>
      <c r="I340" s="55" t="s">
        <v>404</v>
      </c>
      <c r="J340" s="94">
        <v>39954</v>
      </c>
      <c r="K340" s="55" t="s">
        <v>404</v>
      </c>
      <c r="L340" s="92">
        <v>39986</v>
      </c>
      <c r="M340" s="92">
        <v>39959</v>
      </c>
      <c r="N340" s="80">
        <f t="shared" si="5"/>
        <v>39673</v>
      </c>
      <c r="O340" s="80"/>
      <c r="Q340" s="211"/>
      <c r="R340" s="80"/>
      <c r="S340" s="80"/>
      <c r="T340" s="80"/>
      <c r="U340" s="22">
        <v>9094077</v>
      </c>
      <c r="V340" s="80">
        <v>39720</v>
      </c>
      <c r="X340" s="4">
        <v>9094199</v>
      </c>
      <c r="Y340" s="2">
        <v>39672</v>
      </c>
      <c r="AA340" s="22">
        <v>9094077</v>
      </c>
      <c r="AB340" s="55" t="s">
        <v>404</v>
      </c>
      <c r="AC340" s="94">
        <v>39954</v>
      </c>
    </row>
    <row r="341" spans="1:29" x14ac:dyDescent="0.4">
      <c r="A341" s="24" t="s">
        <v>412</v>
      </c>
      <c r="B341" s="24">
        <v>39828</v>
      </c>
      <c r="C341" s="24">
        <v>39681</v>
      </c>
      <c r="D341" s="22" t="s">
        <v>592</v>
      </c>
      <c r="E341" s="22">
        <v>9094416</v>
      </c>
      <c r="F341" s="22">
        <v>1010</v>
      </c>
      <c r="G341" s="22" t="s">
        <v>1307</v>
      </c>
      <c r="H341" s="55" t="s">
        <v>1308</v>
      </c>
      <c r="I341" s="55" t="s">
        <v>404</v>
      </c>
      <c r="J341" s="94">
        <v>39910</v>
      </c>
      <c r="K341" s="55" t="s">
        <v>404</v>
      </c>
      <c r="L341" s="92">
        <v>39957</v>
      </c>
      <c r="M341" s="92">
        <v>39797</v>
      </c>
      <c r="N341" s="80">
        <f t="shared" si="5"/>
        <v>39681</v>
      </c>
      <c r="O341" s="80"/>
      <c r="Q341" s="211"/>
      <c r="R341" s="80"/>
      <c r="S341" s="80"/>
      <c r="T341" s="80"/>
      <c r="U341" s="22">
        <v>9094416</v>
      </c>
      <c r="V341" s="80">
        <v>39927</v>
      </c>
      <c r="X341" s="4">
        <v>9094196</v>
      </c>
      <c r="Y341" s="2">
        <v>39672</v>
      </c>
      <c r="AA341" s="22">
        <v>9094416</v>
      </c>
      <c r="AB341" s="55" t="s">
        <v>404</v>
      </c>
      <c r="AC341" s="94">
        <v>39910</v>
      </c>
    </row>
    <row r="342" spans="1:29" x14ac:dyDescent="0.4">
      <c r="A342" s="24" t="s">
        <v>412</v>
      </c>
      <c r="B342" s="24">
        <v>39783</v>
      </c>
      <c r="C342" s="24">
        <v>39675</v>
      </c>
      <c r="D342" s="22" t="s">
        <v>592</v>
      </c>
      <c r="E342" s="22">
        <v>9094069</v>
      </c>
      <c r="F342" s="22">
        <v>1010</v>
      </c>
      <c r="G342" s="22">
        <v>1</v>
      </c>
      <c r="H342" s="55" t="s">
        <v>1309</v>
      </c>
      <c r="I342" s="55" t="s">
        <v>404</v>
      </c>
      <c r="J342" s="94">
        <v>39766</v>
      </c>
      <c r="K342" s="55" t="s">
        <v>404</v>
      </c>
      <c r="L342" s="92">
        <v>39986</v>
      </c>
      <c r="M342" s="92">
        <v>39706</v>
      </c>
      <c r="N342" s="80">
        <f t="shared" si="5"/>
        <v>39675</v>
      </c>
      <c r="O342" s="80"/>
      <c r="Q342" s="211"/>
      <c r="R342" s="80"/>
      <c r="S342" s="80"/>
      <c r="T342" s="80"/>
      <c r="U342" s="22">
        <v>9094069</v>
      </c>
      <c r="V342" s="80">
        <v>39746</v>
      </c>
      <c r="X342" s="4">
        <v>9094234</v>
      </c>
      <c r="Y342" s="2">
        <v>39672</v>
      </c>
      <c r="AA342" s="22">
        <v>9094069</v>
      </c>
      <c r="AB342" s="55" t="s">
        <v>404</v>
      </c>
      <c r="AC342" s="94">
        <v>39766</v>
      </c>
    </row>
    <row r="343" spans="1:29" x14ac:dyDescent="0.4">
      <c r="A343" s="24" t="s">
        <v>412</v>
      </c>
      <c r="B343" s="24">
        <v>39783</v>
      </c>
      <c r="C343" s="24">
        <v>39675</v>
      </c>
      <c r="D343" s="22" t="s">
        <v>592</v>
      </c>
      <c r="E343" s="22">
        <v>9094070</v>
      </c>
      <c r="F343" s="22">
        <v>1010</v>
      </c>
      <c r="G343" s="22">
        <v>2</v>
      </c>
      <c r="H343" s="55" t="s">
        <v>1310</v>
      </c>
      <c r="I343" s="55" t="s">
        <v>404</v>
      </c>
      <c r="J343" s="94">
        <v>39766</v>
      </c>
      <c r="K343" s="55" t="s">
        <v>404</v>
      </c>
      <c r="L343" s="92">
        <v>39986</v>
      </c>
      <c r="M343" s="92">
        <v>39706</v>
      </c>
      <c r="N343" s="80">
        <f t="shared" si="5"/>
        <v>39675</v>
      </c>
      <c r="O343" s="80"/>
      <c r="Q343" s="211"/>
      <c r="R343" s="80"/>
      <c r="S343" s="80"/>
      <c r="T343" s="80"/>
      <c r="U343" s="22">
        <v>9094070</v>
      </c>
      <c r="V343" s="80">
        <v>39745</v>
      </c>
      <c r="X343" s="4">
        <v>9094340</v>
      </c>
      <c r="Y343" s="2">
        <v>39668</v>
      </c>
      <c r="AA343" s="22">
        <v>9094070</v>
      </c>
      <c r="AB343" s="55" t="s">
        <v>404</v>
      </c>
      <c r="AC343" s="94">
        <v>39766</v>
      </c>
    </row>
    <row r="344" spans="1:29" x14ac:dyDescent="0.4">
      <c r="A344" s="24" t="s">
        <v>412</v>
      </c>
      <c r="B344" s="24">
        <v>39828</v>
      </c>
      <c r="C344" s="24">
        <v>39681</v>
      </c>
      <c r="D344" s="22" t="s">
        <v>592</v>
      </c>
      <c r="E344" s="22">
        <v>9094417</v>
      </c>
      <c r="F344" s="22">
        <v>1010</v>
      </c>
      <c r="G344" s="22" t="s">
        <v>1311</v>
      </c>
      <c r="H344" s="55" t="s">
        <v>1312</v>
      </c>
      <c r="I344" s="55" t="s">
        <v>404</v>
      </c>
      <c r="J344" s="94">
        <v>39962</v>
      </c>
      <c r="K344" s="55" t="s">
        <v>404</v>
      </c>
      <c r="L344" s="94">
        <v>39962</v>
      </c>
      <c r="M344" s="92">
        <v>39797</v>
      </c>
      <c r="N344" s="80">
        <f t="shared" si="5"/>
        <v>39681</v>
      </c>
      <c r="O344" s="80"/>
      <c r="Q344" s="211"/>
      <c r="R344" s="80"/>
      <c r="S344" s="80"/>
      <c r="T344" s="80"/>
      <c r="U344" s="22">
        <v>9094417</v>
      </c>
      <c r="V344" s="80">
        <v>39912</v>
      </c>
      <c r="X344" s="4">
        <v>9094341</v>
      </c>
      <c r="Y344" s="2">
        <v>39668</v>
      </c>
      <c r="AA344" s="22">
        <v>9094417</v>
      </c>
      <c r="AB344" s="55" t="s">
        <v>404</v>
      </c>
      <c r="AC344" s="94">
        <v>39962</v>
      </c>
    </row>
    <row r="345" spans="1:29" x14ac:dyDescent="0.4">
      <c r="A345" s="24" t="s">
        <v>412</v>
      </c>
      <c r="B345" s="24">
        <v>39887</v>
      </c>
      <c r="C345" s="24">
        <v>40052</v>
      </c>
      <c r="D345" s="22" t="s">
        <v>592</v>
      </c>
      <c r="E345" s="22">
        <v>9094420</v>
      </c>
      <c r="F345" s="22">
        <v>1010</v>
      </c>
      <c r="G345" s="22" t="s">
        <v>1313</v>
      </c>
      <c r="H345" s="55" t="s">
        <v>1314</v>
      </c>
      <c r="I345" s="55" t="s">
        <v>404</v>
      </c>
      <c r="J345" s="94">
        <v>39962</v>
      </c>
      <c r="K345" s="55" t="s">
        <v>404</v>
      </c>
      <c r="L345" s="94">
        <v>39962</v>
      </c>
      <c r="M345" s="92">
        <v>39947</v>
      </c>
      <c r="N345" s="80">
        <f t="shared" si="5"/>
        <v>40052</v>
      </c>
      <c r="O345" s="80"/>
      <c r="Q345" s="211"/>
      <c r="R345" s="80"/>
      <c r="S345" s="80"/>
      <c r="T345" s="80"/>
      <c r="U345" s="22">
        <v>9094420</v>
      </c>
      <c r="V345" s="80">
        <v>39912</v>
      </c>
      <c r="X345" s="4">
        <v>9094231</v>
      </c>
      <c r="Y345" s="2">
        <v>39672</v>
      </c>
      <c r="AA345" s="22">
        <v>9094420</v>
      </c>
      <c r="AB345" s="55" t="s">
        <v>404</v>
      </c>
      <c r="AC345" s="94">
        <v>39962</v>
      </c>
    </row>
    <row r="346" spans="1:29" x14ac:dyDescent="0.4">
      <c r="A346" s="24" t="s">
        <v>412</v>
      </c>
      <c r="B346" s="24">
        <v>39887</v>
      </c>
      <c r="C346" s="24">
        <v>40052</v>
      </c>
      <c r="D346" s="22" t="s">
        <v>592</v>
      </c>
      <c r="E346" s="22">
        <v>9094421</v>
      </c>
      <c r="F346" s="22">
        <v>1010</v>
      </c>
      <c r="G346" s="22" t="s">
        <v>1315</v>
      </c>
      <c r="H346" s="55" t="s">
        <v>1316</v>
      </c>
      <c r="I346" s="55" t="s">
        <v>404</v>
      </c>
      <c r="J346" s="93">
        <v>40056</v>
      </c>
      <c r="K346" s="55" t="s">
        <v>404</v>
      </c>
      <c r="L346" s="93">
        <v>40056</v>
      </c>
      <c r="M346" s="92">
        <v>39947</v>
      </c>
      <c r="N346" s="80">
        <f t="shared" si="5"/>
        <v>40052</v>
      </c>
      <c r="O346" s="80"/>
      <c r="Q346" s="211"/>
      <c r="R346" s="80"/>
      <c r="S346" s="80"/>
      <c r="T346" s="80"/>
      <c r="U346" s="22">
        <v>9094421</v>
      </c>
      <c r="V346" s="80">
        <v>39926</v>
      </c>
      <c r="X346" s="4">
        <v>9094235</v>
      </c>
      <c r="Y346" s="2">
        <v>39672</v>
      </c>
      <c r="AA346" s="22">
        <v>9094421</v>
      </c>
      <c r="AB346" s="55" t="s">
        <v>404</v>
      </c>
      <c r="AC346" s="93">
        <v>40056</v>
      </c>
    </row>
    <row r="347" spans="1:29" x14ac:dyDescent="0.4">
      <c r="A347" s="24" t="s">
        <v>412</v>
      </c>
      <c r="B347" s="24">
        <v>0</v>
      </c>
      <c r="C347" s="24">
        <v>39955</v>
      </c>
      <c r="D347" s="22" t="s">
        <v>592</v>
      </c>
      <c r="E347" s="22">
        <v>9094476</v>
      </c>
      <c r="F347" s="22">
        <v>1010</v>
      </c>
      <c r="G347" s="22">
        <v>0</v>
      </c>
      <c r="H347" s="55" t="s">
        <v>1317</v>
      </c>
      <c r="I347" s="55" t="s">
        <v>404</v>
      </c>
      <c r="J347" s="94">
        <v>40013</v>
      </c>
      <c r="K347" s="55" t="s">
        <v>404</v>
      </c>
      <c r="L347" s="92">
        <v>40069</v>
      </c>
      <c r="M347" s="92">
        <v>39976</v>
      </c>
      <c r="N347" s="80">
        <f t="shared" si="5"/>
        <v>39955</v>
      </c>
      <c r="O347" s="80"/>
      <c r="Q347" s="211"/>
      <c r="R347" s="80"/>
      <c r="S347" s="80"/>
      <c r="T347" s="80"/>
      <c r="U347" s="22">
        <v>9094476</v>
      </c>
      <c r="V347" s="80">
        <v>39973</v>
      </c>
      <c r="X347" s="4">
        <v>9094230</v>
      </c>
      <c r="Y347" s="2">
        <v>39672</v>
      </c>
      <c r="AA347" s="22">
        <v>9094476</v>
      </c>
      <c r="AB347" s="55" t="s">
        <v>404</v>
      </c>
      <c r="AC347" s="94">
        <v>40013</v>
      </c>
    </row>
    <row r="348" spans="1:29" x14ac:dyDescent="0.4">
      <c r="A348" s="24" t="s">
        <v>1367</v>
      </c>
      <c r="B348" s="24">
        <v>0</v>
      </c>
      <c r="C348" s="24">
        <v>39966</v>
      </c>
      <c r="D348" s="22" t="s">
        <v>627</v>
      </c>
      <c r="E348" s="155">
        <v>9094428</v>
      </c>
      <c r="F348" s="22">
        <v>1010</v>
      </c>
      <c r="G348" s="22">
        <v>1</v>
      </c>
      <c r="H348" s="55" t="s">
        <v>3046</v>
      </c>
      <c r="I348" s="55" t="s">
        <v>404</v>
      </c>
      <c r="J348" s="93">
        <v>40240</v>
      </c>
      <c r="K348" s="55" t="s">
        <v>404</v>
      </c>
      <c r="L348" s="93">
        <v>40244</v>
      </c>
      <c r="M348" s="28">
        <v>39995</v>
      </c>
      <c r="N348" s="80">
        <f t="shared" si="5"/>
        <v>39966</v>
      </c>
      <c r="O348" s="80"/>
      <c r="Q348" s="211"/>
      <c r="R348" s="80"/>
      <c r="S348" s="80"/>
      <c r="T348" s="80"/>
      <c r="U348" s="33">
        <v>9094428</v>
      </c>
      <c r="V348" s="80">
        <v>39982</v>
      </c>
      <c r="X348" s="4">
        <v>9094238</v>
      </c>
      <c r="Y348" s="2">
        <v>39672</v>
      </c>
      <c r="AA348" s="33">
        <v>9094428</v>
      </c>
      <c r="AB348" s="4" t="s">
        <v>404</v>
      </c>
      <c r="AC348" s="57">
        <v>40240</v>
      </c>
    </row>
    <row r="349" spans="1:29" x14ac:dyDescent="0.4">
      <c r="A349" s="24" t="s">
        <v>1367</v>
      </c>
      <c r="B349" s="24">
        <v>0</v>
      </c>
      <c r="C349" s="24">
        <v>40058</v>
      </c>
      <c r="D349" s="22" t="s">
        <v>627</v>
      </c>
      <c r="E349" s="155">
        <v>9094429</v>
      </c>
      <c r="F349" s="22">
        <v>1010</v>
      </c>
      <c r="G349" s="22">
        <v>2</v>
      </c>
      <c r="H349" s="55" t="s">
        <v>3047</v>
      </c>
      <c r="I349" s="55" t="s">
        <v>406</v>
      </c>
      <c r="J349" s="55"/>
      <c r="K349" s="55" t="s">
        <v>406</v>
      </c>
      <c r="L349" s="93"/>
      <c r="M349" s="28">
        <v>39995</v>
      </c>
      <c r="N349" s="80">
        <f t="shared" si="5"/>
        <v>40058</v>
      </c>
      <c r="O349" s="80"/>
      <c r="Q349" s="211"/>
      <c r="R349" s="80"/>
      <c r="S349" s="80"/>
      <c r="T349" s="80"/>
      <c r="U349" s="33">
        <v>9094429</v>
      </c>
      <c r="V349" s="80">
        <v>39986</v>
      </c>
      <c r="X349" s="4">
        <v>9094437</v>
      </c>
      <c r="Y349" s="2">
        <v>39690</v>
      </c>
      <c r="AA349" s="33">
        <v>9094429</v>
      </c>
      <c r="AB349" s="4" t="s">
        <v>404</v>
      </c>
      <c r="AC349" s="59">
        <v>40724</v>
      </c>
    </row>
    <row r="350" spans="1:29" x14ac:dyDescent="0.4">
      <c r="A350" s="24" t="s">
        <v>1367</v>
      </c>
      <c r="B350" s="24">
        <v>39767</v>
      </c>
      <c r="C350" s="24">
        <v>39675</v>
      </c>
      <c r="D350" s="22" t="s">
        <v>569</v>
      </c>
      <c r="E350" s="22">
        <v>9094054</v>
      </c>
      <c r="F350" s="22">
        <v>1010</v>
      </c>
      <c r="G350" s="22">
        <v>1</v>
      </c>
      <c r="H350" s="55" t="s">
        <v>3048</v>
      </c>
      <c r="I350" s="55" t="s">
        <v>404</v>
      </c>
      <c r="J350" s="93">
        <v>39864</v>
      </c>
      <c r="K350" s="55" t="s">
        <v>404</v>
      </c>
      <c r="L350" s="93">
        <v>39892</v>
      </c>
      <c r="M350" s="28">
        <v>39706</v>
      </c>
      <c r="N350" s="80">
        <f t="shared" si="5"/>
        <v>39675</v>
      </c>
      <c r="O350" s="80"/>
      <c r="Q350" s="211"/>
      <c r="R350" s="80"/>
      <c r="S350" s="80"/>
      <c r="T350" s="80"/>
      <c r="U350" s="22">
        <v>9094054</v>
      </c>
      <c r="V350" s="80">
        <v>39716</v>
      </c>
      <c r="X350" s="4">
        <v>9094351</v>
      </c>
      <c r="Y350" s="2">
        <v>39668</v>
      </c>
      <c r="AA350" s="22">
        <v>9094054</v>
      </c>
      <c r="AB350" s="4" t="s">
        <v>404</v>
      </c>
      <c r="AC350" s="57">
        <v>39864</v>
      </c>
    </row>
    <row r="351" spans="1:29" x14ac:dyDescent="0.4">
      <c r="A351" s="24" t="s">
        <v>1367</v>
      </c>
      <c r="B351" s="24">
        <v>39553</v>
      </c>
      <c r="C351" s="24">
        <v>39689</v>
      </c>
      <c r="D351" s="22" t="s">
        <v>569</v>
      </c>
      <c r="E351" s="22">
        <v>9094433</v>
      </c>
      <c r="F351" s="22">
        <v>1010</v>
      </c>
      <c r="G351" s="22">
        <v>4</v>
      </c>
      <c r="H351" s="55" t="s">
        <v>3049</v>
      </c>
      <c r="I351" s="55" t="s">
        <v>404</v>
      </c>
      <c r="J351" s="71">
        <v>40106</v>
      </c>
      <c r="K351" s="55" t="s">
        <v>404</v>
      </c>
      <c r="L351" s="71">
        <v>40106</v>
      </c>
      <c r="M351" s="92">
        <v>39888</v>
      </c>
      <c r="N351" s="80">
        <f t="shared" si="5"/>
        <v>39689</v>
      </c>
      <c r="O351" s="80"/>
      <c r="Q351" s="211"/>
      <c r="R351" s="80"/>
      <c r="S351" s="80"/>
      <c r="T351" s="80"/>
      <c r="U351" s="22">
        <v>9094433</v>
      </c>
      <c r="V351" s="80">
        <v>39895</v>
      </c>
      <c r="X351" s="187">
        <v>9094448</v>
      </c>
      <c r="Y351" s="83">
        <v>39944</v>
      </c>
      <c r="AA351" s="22">
        <v>9094433</v>
      </c>
      <c r="AB351" s="4" t="s">
        <v>404</v>
      </c>
      <c r="AC351" s="59">
        <v>40106</v>
      </c>
    </row>
    <row r="352" spans="1:29" x14ac:dyDescent="0.4">
      <c r="A352" s="24" t="s">
        <v>1367</v>
      </c>
      <c r="B352" s="24">
        <v>39583</v>
      </c>
      <c r="C352" s="24">
        <v>39689</v>
      </c>
      <c r="D352" s="22" t="s">
        <v>569</v>
      </c>
      <c r="E352" s="22">
        <v>9094434</v>
      </c>
      <c r="F352" s="22">
        <v>1010</v>
      </c>
      <c r="G352" s="22">
        <v>5</v>
      </c>
      <c r="H352" s="55" t="s">
        <v>3050</v>
      </c>
      <c r="I352" s="55" t="s">
        <v>406</v>
      </c>
      <c r="J352" s="55"/>
      <c r="K352" s="55" t="s">
        <v>406</v>
      </c>
      <c r="L352" s="55"/>
      <c r="M352" s="92">
        <v>39888</v>
      </c>
      <c r="N352" s="80">
        <f t="shared" si="5"/>
        <v>39689</v>
      </c>
      <c r="O352" s="80"/>
      <c r="Q352" s="211"/>
      <c r="R352" s="80"/>
      <c r="S352" s="80"/>
      <c r="T352" s="80"/>
      <c r="U352" s="22">
        <v>9094434</v>
      </c>
      <c r="V352" s="80">
        <v>39896</v>
      </c>
      <c r="X352" s="4">
        <v>9094352</v>
      </c>
      <c r="Y352" s="2">
        <v>39668</v>
      </c>
      <c r="AA352" s="22">
        <v>9094434</v>
      </c>
      <c r="AB352" s="4" t="s">
        <v>404</v>
      </c>
      <c r="AC352" s="59">
        <v>40391</v>
      </c>
    </row>
    <row r="353" spans="1:29" x14ac:dyDescent="0.4">
      <c r="A353" s="24" t="s">
        <v>1367</v>
      </c>
      <c r="B353" s="24">
        <v>0</v>
      </c>
      <c r="C353" s="24">
        <v>0</v>
      </c>
      <c r="D353" s="22" t="s">
        <v>577</v>
      </c>
      <c r="E353" s="22">
        <v>9094064</v>
      </c>
      <c r="F353" s="22">
        <v>1010</v>
      </c>
      <c r="G353" s="22">
        <v>1</v>
      </c>
      <c r="H353" s="55" t="s">
        <v>3051</v>
      </c>
      <c r="I353" s="55" t="s">
        <v>404</v>
      </c>
      <c r="J353" s="71">
        <v>39833</v>
      </c>
      <c r="K353" s="55" t="s">
        <v>404</v>
      </c>
      <c r="L353" s="71">
        <v>39833</v>
      </c>
      <c r="M353" s="28">
        <v>39709</v>
      </c>
      <c r="N353" s="80">
        <f t="shared" si="5"/>
        <v>39674</v>
      </c>
      <c r="O353" s="80"/>
      <c r="Q353" s="211"/>
      <c r="R353" s="80"/>
      <c r="S353" s="80"/>
      <c r="T353" s="80"/>
      <c r="U353" s="22">
        <v>9094064</v>
      </c>
      <c r="V353" s="80">
        <v>39721</v>
      </c>
      <c r="X353" s="4">
        <v>9094123</v>
      </c>
      <c r="Y353" s="2">
        <v>39675</v>
      </c>
      <c r="AA353" s="22">
        <v>9094064</v>
      </c>
      <c r="AB353" s="4" t="s">
        <v>404</v>
      </c>
      <c r="AC353" s="59">
        <v>39833</v>
      </c>
    </row>
    <row r="354" spans="1:29" x14ac:dyDescent="0.4">
      <c r="A354" s="24" t="s">
        <v>1367</v>
      </c>
      <c r="B354" s="24">
        <v>0</v>
      </c>
      <c r="C354" s="24">
        <v>0</v>
      </c>
      <c r="D354" s="22" t="s">
        <v>577</v>
      </c>
      <c r="E354" s="22">
        <v>9094066</v>
      </c>
      <c r="F354" s="22">
        <v>1010</v>
      </c>
      <c r="G354" s="22">
        <v>2</v>
      </c>
      <c r="H354" s="55" t="s">
        <v>3052</v>
      </c>
      <c r="I354" s="55" t="s">
        <v>404</v>
      </c>
      <c r="J354" s="71">
        <v>40088</v>
      </c>
      <c r="K354" s="55" t="s">
        <v>404</v>
      </c>
      <c r="L354" s="93">
        <v>40095</v>
      </c>
      <c r="M354" s="28">
        <v>39709</v>
      </c>
      <c r="N354" s="80">
        <f t="shared" si="5"/>
        <v>39674</v>
      </c>
      <c r="O354" s="80"/>
      <c r="Q354" s="211"/>
      <c r="R354" s="80"/>
      <c r="S354" s="80"/>
      <c r="T354" s="80"/>
      <c r="U354" s="22">
        <v>9094066</v>
      </c>
      <c r="V354" s="80">
        <v>39721</v>
      </c>
      <c r="X354" s="4">
        <v>9094283</v>
      </c>
      <c r="Y354" s="2">
        <v>39668</v>
      </c>
      <c r="AA354" s="22">
        <v>9094066</v>
      </c>
      <c r="AB354" s="4" t="s">
        <v>404</v>
      </c>
      <c r="AC354" s="59">
        <v>40088</v>
      </c>
    </row>
    <row r="355" spans="1:29" x14ac:dyDescent="0.4">
      <c r="A355" s="24" t="s">
        <v>1367</v>
      </c>
      <c r="B355" s="24">
        <v>39706</v>
      </c>
      <c r="C355" s="24">
        <v>39706</v>
      </c>
      <c r="D355" s="22" t="s">
        <v>585</v>
      </c>
      <c r="E355" s="22">
        <v>9094025</v>
      </c>
      <c r="F355" s="22">
        <v>1010</v>
      </c>
      <c r="G355" s="22" t="s">
        <v>711</v>
      </c>
      <c r="H355" s="55" t="s">
        <v>712</v>
      </c>
      <c r="I355" s="55" t="s">
        <v>404</v>
      </c>
      <c r="J355" s="93">
        <v>39745</v>
      </c>
      <c r="K355" s="55" t="s">
        <v>404</v>
      </c>
      <c r="L355" s="93" t="s">
        <v>812</v>
      </c>
      <c r="M355" s="27">
        <v>39708</v>
      </c>
      <c r="N355" s="80">
        <f t="shared" si="5"/>
        <v>39706</v>
      </c>
      <c r="O355" s="80"/>
      <c r="Q355" s="211"/>
      <c r="R355" s="80"/>
      <c r="S355" s="80"/>
      <c r="T355" s="80"/>
      <c r="U355" s="22">
        <v>9094025</v>
      </c>
      <c r="V355" s="80">
        <v>39689</v>
      </c>
      <c r="X355" s="4">
        <v>9094284</v>
      </c>
      <c r="Y355" s="2">
        <v>39668</v>
      </c>
      <c r="AA355" s="22">
        <v>9094025</v>
      </c>
      <c r="AB355" s="4" t="s">
        <v>404</v>
      </c>
      <c r="AC355" s="57">
        <v>39745</v>
      </c>
    </row>
    <row r="356" spans="1:29" x14ac:dyDescent="0.4">
      <c r="A356" s="24" t="s">
        <v>1367</v>
      </c>
      <c r="B356" s="24">
        <v>39706</v>
      </c>
      <c r="C356" s="24">
        <v>39706</v>
      </c>
      <c r="D356" s="22" t="s">
        <v>585</v>
      </c>
      <c r="E356" s="22">
        <v>9094023</v>
      </c>
      <c r="F356" s="22">
        <v>715</v>
      </c>
      <c r="G356" s="22" t="s">
        <v>713</v>
      </c>
      <c r="H356" s="55" t="s">
        <v>714</v>
      </c>
      <c r="I356" s="55" t="s">
        <v>404</v>
      </c>
      <c r="J356" s="71">
        <v>39703</v>
      </c>
      <c r="K356" s="55" t="s">
        <v>404</v>
      </c>
      <c r="L356" s="93">
        <v>39731</v>
      </c>
      <c r="M356" s="28">
        <v>39708</v>
      </c>
      <c r="N356" s="80">
        <f t="shared" si="5"/>
        <v>39706</v>
      </c>
      <c r="O356" s="80"/>
      <c r="Q356" s="211"/>
      <c r="R356" s="80"/>
      <c r="S356" s="80"/>
      <c r="T356" s="80"/>
      <c r="U356" s="22">
        <v>9094023</v>
      </c>
      <c r="V356" s="80">
        <v>39689</v>
      </c>
      <c r="X356" s="4">
        <v>9094264</v>
      </c>
      <c r="Y356" s="2">
        <v>39666</v>
      </c>
      <c r="AA356" s="22">
        <v>9094023</v>
      </c>
      <c r="AB356" s="4" t="s">
        <v>404</v>
      </c>
      <c r="AC356" s="59">
        <v>39703</v>
      </c>
    </row>
    <row r="357" spans="1:29" x14ac:dyDescent="0.4">
      <c r="A357" s="24" t="s">
        <v>1367</v>
      </c>
      <c r="B357" s="24">
        <v>39736</v>
      </c>
      <c r="C357" s="24">
        <v>39668</v>
      </c>
      <c r="D357" s="22" t="s">
        <v>585</v>
      </c>
      <c r="E357" s="22">
        <v>9094204</v>
      </c>
      <c r="F357" s="22">
        <v>715</v>
      </c>
      <c r="G357" s="22" t="s">
        <v>715</v>
      </c>
      <c r="H357" s="55" t="s">
        <v>716</v>
      </c>
      <c r="I357" s="55" t="s">
        <v>404</v>
      </c>
      <c r="J357" s="93">
        <v>39797</v>
      </c>
      <c r="K357" s="55" t="s">
        <v>404</v>
      </c>
      <c r="L357" s="93">
        <v>39874</v>
      </c>
      <c r="M357" s="92">
        <v>39833</v>
      </c>
      <c r="N357" s="80">
        <f t="shared" si="5"/>
        <v>39668</v>
      </c>
      <c r="O357" s="80"/>
      <c r="Q357" s="211"/>
      <c r="R357" s="80"/>
      <c r="S357" s="80"/>
      <c r="T357" s="80"/>
      <c r="U357" s="22">
        <v>9094204</v>
      </c>
      <c r="V357" s="80">
        <v>39848</v>
      </c>
      <c r="X357" s="4">
        <v>9094265</v>
      </c>
      <c r="Y357" s="2">
        <v>39666</v>
      </c>
      <c r="AA357" s="22">
        <v>9094204</v>
      </c>
      <c r="AB357" s="4" t="s">
        <v>404</v>
      </c>
      <c r="AC357" s="57">
        <v>39797</v>
      </c>
    </row>
    <row r="358" spans="1:29" x14ac:dyDescent="0.4">
      <c r="A358" s="24" t="s">
        <v>1367</v>
      </c>
      <c r="B358" s="24">
        <v>39736</v>
      </c>
      <c r="C358" s="24">
        <v>39668</v>
      </c>
      <c r="D358" s="22" t="s">
        <v>585</v>
      </c>
      <c r="E358" s="22">
        <v>9094180</v>
      </c>
      <c r="F358" s="22">
        <v>1010</v>
      </c>
      <c r="G358" s="22" t="s">
        <v>717</v>
      </c>
      <c r="H358" s="55" t="s">
        <v>718</v>
      </c>
      <c r="I358" s="55" t="s">
        <v>404</v>
      </c>
      <c r="J358" s="93">
        <v>39797</v>
      </c>
      <c r="K358" s="55" t="s">
        <v>404</v>
      </c>
      <c r="L358" s="55" t="s">
        <v>719</v>
      </c>
      <c r="M358" s="92">
        <v>39833</v>
      </c>
      <c r="N358" s="80">
        <f t="shared" si="5"/>
        <v>39668</v>
      </c>
      <c r="O358" s="80"/>
      <c r="Q358" s="211"/>
      <c r="R358" s="80"/>
      <c r="S358" s="80"/>
      <c r="T358" s="80"/>
      <c r="U358" s="22">
        <v>9094180</v>
      </c>
      <c r="V358" s="80">
        <v>39848</v>
      </c>
      <c r="X358" s="4">
        <v>9094197</v>
      </c>
      <c r="Y358" s="2">
        <v>39675</v>
      </c>
      <c r="AA358" s="22">
        <v>9094180</v>
      </c>
      <c r="AB358" s="4" t="s">
        <v>404</v>
      </c>
      <c r="AC358" s="57">
        <v>39797</v>
      </c>
    </row>
    <row r="359" spans="1:29" x14ac:dyDescent="0.4">
      <c r="A359" s="24" t="s">
        <v>1367</v>
      </c>
      <c r="B359" s="24">
        <v>39736</v>
      </c>
      <c r="C359" s="24">
        <v>39668</v>
      </c>
      <c r="D359" s="22" t="s">
        <v>585</v>
      </c>
      <c r="E359" s="22">
        <v>9094232</v>
      </c>
      <c r="F359" s="22">
        <v>1010</v>
      </c>
      <c r="G359" s="22" t="s">
        <v>720</v>
      </c>
      <c r="H359" s="55" t="s">
        <v>721</v>
      </c>
      <c r="I359" s="55" t="s">
        <v>404</v>
      </c>
      <c r="J359" s="93">
        <v>39737</v>
      </c>
      <c r="K359" s="55" t="s">
        <v>404</v>
      </c>
      <c r="L359" s="93">
        <v>39801</v>
      </c>
      <c r="M359" s="92">
        <v>39708</v>
      </c>
      <c r="N359" s="80">
        <f t="shared" si="5"/>
        <v>39668</v>
      </c>
      <c r="O359" s="80"/>
      <c r="Q359" s="211"/>
      <c r="R359" s="80"/>
      <c r="S359" s="80"/>
      <c r="T359" s="80"/>
      <c r="U359" s="22">
        <v>9094232</v>
      </c>
      <c r="V359" s="80">
        <v>39759</v>
      </c>
      <c r="X359" s="4">
        <v>9094107</v>
      </c>
      <c r="Y359" s="2">
        <v>39665</v>
      </c>
      <c r="AA359" s="22">
        <v>9094232</v>
      </c>
      <c r="AB359" s="4" t="s">
        <v>404</v>
      </c>
      <c r="AC359" s="57">
        <v>39737</v>
      </c>
    </row>
    <row r="360" spans="1:29" x14ac:dyDescent="0.4">
      <c r="A360" s="24" t="s">
        <v>1367</v>
      </c>
      <c r="B360" s="24">
        <v>39692</v>
      </c>
      <c r="C360" s="24">
        <v>39668</v>
      </c>
      <c r="D360" s="22" t="s">
        <v>585</v>
      </c>
      <c r="E360" s="22">
        <v>9094034</v>
      </c>
      <c r="F360" s="22">
        <v>1010</v>
      </c>
      <c r="G360" s="22" t="s">
        <v>722</v>
      </c>
      <c r="H360" s="55" t="s">
        <v>723</v>
      </c>
      <c r="I360" s="55" t="s">
        <v>404</v>
      </c>
      <c r="J360" s="71">
        <v>39767</v>
      </c>
      <c r="K360" s="55" t="s">
        <v>404</v>
      </c>
      <c r="L360" s="93" t="s">
        <v>724</v>
      </c>
      <c r="M360" s="28">
        <v>39708</v>
      </c>
      <c r="N360" s="80">
        <f t="shared" si="5"/>
        <v>39668</v>
      </c>
      <c r="O360" s="80"/>
      <c r="Q360" s="211"/>
      <c r="R360" s="80"/>
      <c r="S360" s="80"/>
      <c r="T360" s="80"/>
      <c r="U360" s="22">
        <v>9094034</v>
      </c>
      <c r="V360" s="80">
        <v>39762</v>
      </c>
      <c r="X360" s="4">
        <v>9094298</v>
      </c>
      <c r="Y360" s="2">
        <v>39665</v>
      </c>
      <c r="AA360" s="22">
        <v>9094034</v>
      </c>
      <c r="AB360" s="4" t="s">
        <v>404</v>
      </c>
      <c r="AC360" s="59">
        <v>39767</v>
      </c>
    </row>
    <row r="361" spans="1:29" x14ac:dyDescent="0.4">
      <c r="A361" s="24" t="s">
        <v>1367</v>
      </c>
      <c r="B361" s="24">
        <v>39692</v>
      </c>
      <c r="C361" s="24">
        <v>39664</v>
      </c>
      <c r="D361" s="22" t="s">
        <v>585</v>
      </c>
      <c r="E361" s="22">
        <v>9094031</v>
      </c>
      <c r="F361" s="22">
        <v>1010</v>
      </c>
      <c r="G361" s="22" t="s">
        <v>725</v>
      </c>
      <c r="H361" s="55" t="s">
        <v>726</v>
      </c>
      <c r="I361" s="55" t="s">
        <v>404</v>
      </c>
      <c r="J361" s="71">
        <v>39703</v>
      </c>
      <c r="K361" s="55" t="s">
        <v>404</v>
      </c>
      <c r="L361" s="93">
        <v>39738</v>
      </c>
      <c r="M361" s="28">
        <v>39708</v>
      </c>
      <c r="N361" s="80">
        <f t="shared" si="5"/>
        <v>39664</v>
      </c>
      <c r="O361" s="80"/>
      <c r="Q361" s="211"/>
      <c r="R361" s="80"/>
      <c r="S361" s="80"/>
      <c r="T361" s="80"/>
      <c r="U361" s="22">
        <v>9094031</v>
      </c>
      <c r="V361" s="80">
        <v>39689</v>
      </c>
      <c r="X361" s="4">
        <v>9094353</v>
      </c>
      <c r="Y361" s="2">
        <v>39899</v>
      </c>
      <c r="AA361" s="22">
        <v>9094031</v>
      </c>
      <c r="AB361" s="4" t="s">
        <v>404</v>
      </c>
      <c r="AC361" s="59">
        <v>39703</v>
      </c>
    </row>
    <row r="362" spans="1:29" x14ac:dyDescent="0.4">
      <c r="A362" s="24" t="s">
        <v>1367</v>
      </c>
      <c r="B362" s="24">
        <v>39692</v>
      </c>
      <c r="C362" s="24">
        <v>39664</v>
      </c>
      <c r="D362" s="22" t="s">
        <v>585</v>
      </c>
      <c r="E362" s="22">
        <v>9094032</v>
      </c>
      <c r="F362" s="22">
        <v>1010</v>
      </c>
      <c r="G362" s="22" t="s">
        <v>736</v>
      </c>
      <c r="H362" s="55" t="s">
        <v>737</v>
      </c>
      <c r="I362" s="55" t="s">
        <v>404</v>
      </c>
      <c r="J362" s="93">
        <v>39797</v>
      </c>
      <c r="K362" s="55" t="s">
        <v>404</v>
      </c>
      <c r="L362" s="93">
        <v>39801</v>
      </c>
      <c r="M362" s="28">
        <v>39708</v>
      </c>
      <c r="N362" s="80">
        <f t="shared" si="5"/>
        <v>39664</v>
      </c>
      <c r="O362" s="80"/>
      <c r="Q362" s="211"/>
      <c r="R362" s="80"/>
      <c r="S362" s="80"/>
      <c r="T362" s="80"/>
      <c r="U362" s="22">
        <v>9094032</v>
      </c>
      <c r="V362" s="80">
        <v>39696</v>
      </c>
      <c r="X362" s="4">
        <v>9094354</v>
      </c>
      <c r="Y362" s="2">
        <v>39899</v>
      </c>
      <c r="AA362" s="22">
        <v>9094032</v>
      </c>
      <c r="AB362" s="4" t="s">
        <v>404</v>
      </c>
      <c r="AC362" s="57">
        <v>39797</v>
      </c>
    </row>
    <row r="363" spans="1:29" x14ac:dyDescent="0.4">
      <c r="A363" s="24" t="s">
        <v>1367</v>
      </c>
      <c r="B363" s="24">
        <v>39736</v>
      </c>
      <c r="C363" s="24">
        <v>39668</v>
      </c>
      <c r="D363" s="22" t="s">
        <v>585</v>
      </c>
      <c r="E363" s="22">
        <v>9094217</v>
      </c>
      <c r="F363" s="22">
        <v>1010</v>
      </c>
      <c r="G363" s="22" t="s">
        <v>738</v>
      </c>
      <c r="H363" s="55" t="s">
        <v>739</v>
      </c>
      <c r="I363" s="55" t="s">
        <v>404</v>
      </c>
      <c r="J363" s="93">
        <v>39835</v>
      </c>
      <c r="K363" s="55" t="s">
        <v>404</v>
      </c>
      <c r="L363" s="93">
        <v>39892</v>
      </c>
      <c r="M363" s="92">
        <v>39833</v>
      </c>
      <c r="N363" s="80">
        <f t="shared" si="5"/>
        <v>39668</v>
      </c>
      <c r="O363" s="80"/>
      <c r="Q363" s="211"/>
      <c r="R363" s="80"/>
      <c r="S363" s="80"/>
      <c r="T363" s="80"/>
      <c r="U363" s="22">
        <v>9094217</v>
      </c>
      <c r="V363" s="80">
        <v>39853</v>
      </c>
      <c r="X363" s="4">
        <v>9094118</v>
      </c>
      <c r="Y363" s="2">
        <v>39667</v>
      </c>
      <c r="AA363" s="22">
        <v>9094217</v>
      </c>
      <c r="AB363" s="4" t="s">
        <v>404</v>
      </c>
      <c r="AC363" s="57">
        <v>39835</v>
      </c>
    </row>
    <row r="364" spans="1:29" x14ac:dyDescent="0.4">
      <c r="A364" s="24" t="s">
        <v>1367</v>
      </c>
      <c r="B364" s="24">
        <v>39736</v>
      </c>
      <c r="C364" s="24">
        <v>39668</v>
      </c>
      <c r="D364" s="22" t="s">
        <v>585</v>
      </c>
      <c r="E364" s="22">
        <v>9094146</v>
      </c>
      <c r="F364" s="22">
        <v>1010</v>
      </c>
      <c r="G364" s="22" t="s">
        <v>740</v>
      </c>
      <c r="H364" s="55" t="s">
        <v>741</v>
      </c>
      <c r="I364" s="55" t="s">
        <v>404</v>
      </c>
      <c r="J364" s="93">
        <v>39832</v>
      </c>
      <c r="K364" s="55" t="s">
        <v>404</v>
      </c>
      <c r="L364" s="93">
        <v>39892</v>
      </c>
      <c r="M364" s="28">
        <v>39833</v>
      </c>
      <c r="N364" s="80">
        <f t="shared" si="5"/>
        <v>39668</v>
      </c>
      <c r="O364" s="80"/>
      <c r="Q364" s="211"/>
      <c r="R364" s="80"/>
      <c r="S364" s="80"/>
      <c r="T364" s="80"/>
      <c r="U364" s="22">
        <v>9094146</v>
      </c>
      <c r="V364" s="80">
        <v>39854</v>
      </c>
      <c r="X364" s="4">
        <v>9094117</v>
      </c>
      <c r="Y364" s="2">
        <v>39667</v>
      </c>
      <c r="AA364" s="22">
        <v>9094146</v>
      </c>
      <c r="AB364" s="4" t="s">
        <v>404</v>
      </c>
      <c r="AC364" s="57">
        <v>39832</v>
      </c>
    </row>
    <row r="365" spans="1:29" x14ac:dyDescent="0.4">
      <c r="A365" s="24" t="s">
        <v>1367</v>
      </c>
      <c r="B365" s="24">
        <v>39736</v>
      </c>
      <c r="C365" s="24">
        <v>39668</v>
      </c>
      <c r="D365" s="22" t="s">
        <v>585</v>
      </c>
      <c r="E365" s="22">
        <v>9094216</v>
      </c>
      <c r="F365" s="22">
        <v>1010</v>
      </c>
      <c r="G365" s="22" t="s">
        <v>742</v>
      </c>
      <c r="H365" s="55" t="s">
        <v>743</v>
      </c>
      <c r="I365" s="55" t="s">
        <v>404</v>
      </c>
      <c r="J365" s="93">
        <v>39801</v>
      </c>
      <c r="K365" s="55" t="s">
        <v>404</v>
      </c>
      <c r="L365" s="55" t="s">
        <v>744</v>
      </c>
      <c r="M365" s="92">
        <v>39833</v>
      </c>
      <c r="N365" s="80">
        <f t="shared" si="5"/>
        <v>39668</v>
      </c>
      <c r="O365" s="80"/>
      <c r="Q365" s="211"/>
      <c r="R365" s="80"/>
      <c r="S365" s="80"/>
      <c r="T365" s="80"/>
      <c r="U365" s="22">
        <v>9094216</v>
      </c>
      <c r="V365" s="80">
        <v>39833</v>
      </c>
      <c r="X365" s="4">
        <v>9094447</v>
      </c>
      <c r="Y365" s="2">
        <v>39946</v>
      </c>
      <c r="AA365" s="22">
        <v>9094216</v>
      </c>
      <c r="AB365" s="4" t="s">
        <v>404</v>
      </c>
      <c r="AC365" s="57">
        <v>39801</v>
      </c>
    </row>
    <row r="366" spans="1:29" x14ac:dyDescent="0.4">
      <c r="A366" s="24" t="s">
        <v>1367</v>
      </c>
      <c r="B366" s="24">
        <v>39736</v>
      </c>
      <c r="C366" s="24">
        <v>39668</v>
      </c>
      <c r="D366" s="22" t="s">
        <v>585</v>
      </c>
      <c r="E366" s="22">
        <v>9094172</v>
      </c>
      <c r="F366" s="22">
        <v>1010</v>
      </c>
      <c r="G366" s="22" t="s">
        <v>745</v>
      </c>
      <c r="H366" s="55" t="s">
        <v>746</v>
      </c>
      <c r="I366" s="55" t="s">
        <v>404</v>
      </c>
      <c r="J366" s="93">
        <v>39794</v>
      </c>
      <c r="K366" s="55" t="s">
        <v>404</v>
      </c>
      <c r="L366" s="71">
        <v>39853</v>
      </c>
      <c r="M366" s="92">
        <v>39741</v>
      </c>
      <c r="N366" s="80">
        <f t="shared" si="5"/>
        <v>39668</v>
      </c>
      <c r="O366" s="80"/>
      <c r="Q366" s="211"/>
      <c r="R366" s="80"/>
      <c r="S366" s="80"/>
      <c r="T366" s="80"/>
      <c r="U366" s="22">
        <v>9094172</v>
      </c>
      <c r="V366" s="80">
        <v>39833</v>
      </c>
      <c r="X366" s="11">
        <v>9104262</v>
      </c>
      <c r="Y366" s="2">
        <v>40185</v>
      </c>
      <c r="AA366" s="22">
        <v>9094172</v>
      </c>
      <c r="AB366" s="4" t="s">
        <v>404</v>
      </c>
      <c r="AC366" s="57">
        <v>39794</v>
      </c>
    </row>
    <row r="367" spans="1:29" x14ac:dyDescent="0.4">
      <c r="A367" s="24" t="s">
        <v>1367</v>
      </c>
      <c r="B367" s="24">
        <v>39736</v>
      </c>
      <c r="C367" s="24">
        <v>39668</v>
      </c>
      <c r="D367" s="22" t="s">
        <v>585</v>
      </c>
      <c r="E367" s="22">
        <v>9094173</v>
      </c>
      <c r="F367" s="22">
        <v>715</v>
      </c>
      <c r="G367" s="22" t="s">
        <v>747</v>
      </c>
      <c r="H367" s="55" t="s">
        <v>748</v>
      </c>
      <c r="I367" s="55" t="s">
        <v>404</v>
      </c>
      <c r="J367" s="93">
        <v>39731</v>
      </c>
      <c r="K367" s="55" t="s">
        <v>404</v>
      </c>
      <c r="L367" s="55" t="s">
        <v>724</v>
      </c>
      <c r="M367" s="92">
        <v>39741</v>
      </c>
      <c r="N367" s="80">
        <f t="shared" si="5"/>
        <v>39668</v>
      </c>
      <c r="O367" s="80"/>
      <c r="Q367" s="211"/>
      <c r="R367" s="80"/>
      <c r="S367" s="80"/>
      <c r="T367" s="80"/>
      <c r="U367" s="22">
        <v>9094173</v>
      </c>
      <c r="V367" s="80">
        <v>39833</v>
      </c>
      <c r="X367" s="4">
        <v>9094323</v>
      </c>
      <c r="Y367" s="2">
        <v>39675</v>
      </c>
      <c r="AA367" s="22">
        <v>9094173</v>
      </c>
      <c r="AB367" s="4" t="s">
        <v>404</v>
      </c>
      <c r="AC367" s="57">
        <v>39731</v>
      </c>
    </row>
    <row r="368" spans="1:29" x14ac:dyDescent="0.4">
      <c r="A368" s="24" t="s">
        <v>1367</v>
      </c>
      <c r="B368" s="24">
        <v>39736</v>
      </c>
      <c r="C368" s="24">
        <v>39668</v>
      </c>
      <c r="D368" s="22" t="s">
        <v>585</v>
      </c>
      <c r="E368" s="22">
        <v>9094229</v>
      </c>
      <c r="F368" s="22">
        <v>1010</v>
      </c>
      <c r="G368" s="22" t="s">
        <v>749</v>
      </c>
      <c r="H368" s="55" t="s">
        <v>750</v>
      </c>
      <c r="I368" s="55" t="s">
        <v>404</v>
      </c>
      <c r="J368" s="95">
        <v>39934</v>
      </c>
      <c r="K368" s="55" t="s">
        <v>404</v>
      </c>
      <c r="L368" s="95">
        <v>39934</v>
      </c>
      <c r="M368" s="92">
        <v>39861</v>
      </c>
      <c r="N368" s="80">
        <f t="shared" si="5"/>
        <v>39668</v>
      </c>
      <c r="O368" s="80"/>
      <c r="Q368" s="211"/>
      <c r="R368" s="80"/>
      <c r="S368" s="80"/>
      <c r="T368" s="80"/>
      <c r="U368" s="22">
        <v>9094229</v>
      </c>
      <c r="V368" s="80">
        <v>39888</v>
      </c>
      <c r="X368" s="4">
        <v>9094451</v>
      </c>
      <c r="Y368" s="2">
        <v>39707</v>
      </c>
      <c r="AA368" s="22">
        <v>9094229</v>
      </c>
      <c r="AB368" s="4" t="s">
        <v>404</v>
      </c>
      <c r="AC368" s="58">
        <v>39934</v>
      </c>
    </row>
    <row r="369" spans="1:29" x14ac:dyDescent="0.4">
      <c r="A369" s="24" t="s">
        <v>1367</v>
      </c>
      <c r="B369" s="24">
        <v>39736</v>
      </c>
      <c r="C369" s="24">
        <v>39668</v>
      </c>
      <c r="D369" s="22" t="s">
        <v>585</v>
      </c>
      <c r="E369" s="22">
        <v>9094147</v>
      </c>
      <c r="F369" s="22">
        <v>715</v>
      </c>
      <c r="G369" s="22" t="s">
        <v>751</v>
      </c>
      <c r="H369" s="55" t="s">
        <v>752</v>
      </c>
      <c r="I369" s="55" t="s">
        <v>404</v>
      </c>
      <c r="J369" s="93">
        <v>39794</v>
      </c>
      <c r="K369" s="55" t="s">
        <v>404</v>
      </c>
      <c r="L369" s="93" t="s">
        <v>724</v>
      </c>
      <c r="M369" s="92">
        <v>39741</v>
      </c>
      <c r="N369" s="80">
        <f t="shared" si="5"/>
        <v>39668</v>
      </c>
      <c r="O369" s="80"/>
      <c r="Q369" s="211"/>
      <c r="R369" s="80"/>
      <c r="S369" s="80"/>
      <c r="T369" s="80"/>
      <c r="U369" s="22">
        <v>9094147</v>
      </c>
      <c r="V369" s="80">
        <v>39833</v>
      </c>
      <c r="X369" s="4">
        <v>9094363</v>
      </c>
      <c r="Y369" s="2">
        <v>39675</v>
      </c>
      <c r="AA369" s="22">
        <v>9094147</v>
      </c>
      <c r="AB369" s="4" t="s">
        <v>404</v>
      </c>
      <c r="AC369" s="57">
        <v>39794</v>
      </c>
    </row>
    <row r="370" spans="1:29" x14ac:dyDescent="0.4">
      <c r="A370" s="24" t="s">
        <v>1367</v>
      </c>
      <c r="B370" s="24">
        <v>39692</v>
      </c>
      <c r="C370" s="24">
        <v>39668</v>
      </c>
      <c r="D370" s="22" t="s">
        <v>585</v>
      </c>
      <c r="E370" s="22">
        <v>9094036</v>
      </c>
      <c r="F370" s="22">
        <v>715</v>
      </c>
      <c r="G370" s="22" t="s">
        <v>753</v>
      </c>
      <c r="H370" s="55" t="s">
        <v>754</v>
      </c>
      <c r="I370" s="55" t="s">
        <v>404</v>
      </c>
      <c r="J370" s="93">
        <v>39830</v>
      </c>
      <c r="K370" s="55" t="s">
        <v>404</v>
      </c>
      <c r="L370" s="71">
        <v>39913</v>
      </c>
      <c r="M370" s="28">
        <v>39833</v>
      </c>
      <c r="N370" s="80">
        <f t="shared" si="5"/>
        <v>39668</v>
      </c>
      <c r="O370" s="80"/>
      <c r="Q370" s="211"/>
      <c r="R370" s="80"/>
      <c r="S370" s="80"/>
      <c r="T370" s="80"/>
      <c r="U370" s="22">
        <v>9094036</v>
      </c>
      <c r="V370" s="80">
        <v>39889</v>
      </c>
      <c r="X370" s="4">
        <v>9094452</v>
      </c>
      <c r="Y370" s="2">
        <v>39707</v>
      </c>
      <c r="AA370" s="22">
        <v>9094036</v>
      </c>
      <c r="AB370" s="4" t="s">
        <v>404</v>
      </c>
      <c r="AC370" s="57">
        <v>39830</v>
      </c>
    </row>
    <row r="371" spans="1:29" x14ac:dyDescent="0.4">
      <c r="A371" s="24" t="s">
        <v>1367</v>
      </c>
      <c r="B371" s="24">
        <v>39736</v>
      </c>
      <c r="C371" s="24">
        <v>39668</v>
      </c>
      <c r="D371" s="22" t="s">
        <v>585</v>
      </c>
      <c r="E371" s="22">
        <v>9094205</v>
      </c>
      <c r="F371" s="22">
        <v>1010</v>
      </c>
      <c r="G371" s="22" t="s">
        <v>755</v>
      </c>
      <c r="H371" s="55" t="s">
        <v>756</v>
      </c>
      <c r="I371" s="55" t="s">
        <v>404</v>
      </c>
      <c r="J371" s="93">
        <v>39737</v>
      </c>
      <c r="K371" s="55" t="s">
        <v>404</v>
      </c>
      <c r="L371" s="55" t="s">
        <v>757</v>
      </c>
      <c r="M371" s="92">
        <v>39741</v>
      </c>
      <c r="N371" s="80">
        <f t="shared" si="5"/>
        <v>39668</v>
      </c>
      <c r="O371" s="80"/>
      <c r="Q371" s="211"/>
      <c r="R371" s="80"/>
      <c r="S371" s="80"/>
      <c r="T371" s="80"/>
      <c r="U371" s="22">
        <v>9094205</v>
      </c>
      <c r="V371" s="80">
        <v>39833</v>
      </c>
      <c r="X371" s="4">
        <v>9094324</v>
      </c>
      <c r="Y371" s="2">
        <v>39675</v>
      </c>
      <c r="AA371" s="22">
        <v>9094205</v>
      </c>
      <c r="AB371" s="4" t="s">
        <v>404</v>
      </c>
      <c r="AC371" s="57">
        <v>39737</v>
      </c>
    </row>
    <row r="372" spans="1:29" x14ac:dyDescent="0.4">
      <c r="A372" s="24" t="s">
        <v>1367</v>
      </c>
      <c r="B372" s="24">
        <v>39859</v>
      </c>
      <c r="C372" s="24">
        <v>39668</v>
      </c>
      <c r="D372" s="22" t="s">
        <v>585</v>
      </c>
      <c r="E372" s="22">
        <v>9094351</v>
      </c>
      <c r="F372" s="22">
        <v>715</v>
      </c>
      <c r="G372" s="22" t="s">
        <v>759</v>
      </c>
      <c r="H372" s="55" t="s">
        <v>760</v>
      </c>
      <c r="I372" s="55" t="s">
        <v>404</v>
      </c>
      <c r="J372" s="93">
        <v>39965</v>
      </c>
      <c r="K372" s="55" t="s">
        <v>404</v>
      </c>
      <c r="L372" s="93">
        <v>39965</v>
      </c>
      <c r="M372" s="28">
        <v>39861</v>
      </c>
      <c r="N372" s="80">
        <f t="shared" si="5"/>
        <v>39668</v>
      </c>
      <c r="O372" s="80"/>
      <c r="Q372" s="211"/>
      <c r="R372" s="80"/>
      <c r="S372" s="80"/>
      <c r="T372" s="80"/>
      <c r="U372" s="22">
        <v>9094351</v>
      </c>
      <c r="V372" s="80">
        <v>39951</v>
      </c>
      <c r="X372" s="4">
        <v>9094476</v>
      </c>
      <c r="Y372" s="2">
        <v>39955</v>
      </c>
      <c r="AA372" s="22">
        <v>9094351</v>
      </c>
      <c r="AB372" s="4" t="s">
        <v>404</v>
      </c>
      <c r="AC372" s="57">
        <v>39965</v>
      </c>
    </row>
    <row r="373" spans="1:29" x14ac:dyDescent="0.4">
      <c r="A373" s="24" t="s">
        <v>1367</v>
      </c>
      <c r="B373" s="24">
        <v>39736</v>
      </c>
      <c r="C373" s="24">
        <v>39668</v>
      </c>
      <c r="D373" s="22" t="s">
        <v>585</v>
      </c>
      <c r="E373" s="22">
        <v>9094181</v>
      </c>
      <c r="F373" s="22">
        <v>715</v>
      </c>
      <c r="G373" s="22" t="s">
        <v>761</v>
      </c>
      <c r="H373" s="55" t="s">
        <v>762</v>
      </c>
      <c r="I373" s="55" t="s">
        <v>404</v>
      </c>
      <c r="J373" s="93">
        <v>39835</v>
      </c>
      <c r="K373" s="55" t="s">
        <v>404</v>
      </c>
      <c r="L373" s="55"/>
      <c r="M373" s="92">
        <v>39833</v>
      </c>
      <c r="N373" s="80">
        <f t="shared" si="5"/>
        <v>39668</v>
      </c>
      <c r="O373" s="80"/>
      <c r="Q373" s="211"/>
      <c r="R373" s="80"/>
      <c r="S373" s="80"/>
      <c r="T373" s="80"/>
      <c r="U373" s="22">
        <v>9094181</v>
      </c>
      <c r="V373" s="80">
        <v>39834</v>
      </c>
      <c r="X373" s="4">
        <v>9094183</v>
      </c>
      <c r="Y373" s="2">
        <v>39673</v>
      </c>
      <c r="AA373" s="22">
        <v>9094181</v>
      </c>
      <c r="AB373" s="4" t="s">
        <v>404</v>
      </c>
      <c r="AC373" s="57">
        <v>39835</v>
      </c>
    </row>
    <row r="374" spans="1:29" x14ac:dyDescent="0.4">
      <c r="A374" s="24" t="s">
        <v>1367</v>
      </c>
      <c r="B374" s="24">
        <v>39859</v>
      </c>
      <c r="C374" s="24">
        <v>39668</v>
      </c>
      <c r="D374" s="22" t="s">
        <v>585</v>
      </c>
      <c r="E374" s="22">
        <v>9094352</v>
      </c>
      <c r="F374" s="22">
        <v>715</v>
      </c>
      <c r="G374" s="22" t="s">
        <v>763</v>
      </c>
      <c r="H374" s="55" t="s">
        <v>764</v>
      </c>
      <c r="I374" s="55" t="s">
        <v>404</v>
      </c>
      <c r="J374" s="93">
        <v>39940</v>
      </c>
      <c r="K374" s="55" t="s">
        <v>404</v>
      </c>
      <c r="L374" s="71">
        <v>39967</v>
      </c>
      <c r="M374" s="28">
        <v>39861</v>
      </c>
      <c r="N374" s="80">
        <f t="shared" si="5"/>
        <v>39668</v>
      </c>
      <c r="O374" s="80"/>
      <c r="Q374" s="211"/>
      <c r="R374" s="80"/>
      <c r="S374" s="80"/>
      <c r="T374" s="80"/>
      <c r="U374" s="22">
        <v>9094352</v>
      </c>
      <c r="V374" s="80">
        <v>39952</v>
      </c>
      <c r="X374" s="4">
        <v>9094182</v>
      </c>
      <c r="Y374" s="2">
        <v>39959</v>
      </c>
      <c r="AA374" s="22">
        <v>9094352</v>
      </c>
      <c r="AB374" s="4" t="s">
        <v>404</v>
      </c>
      <c r="AC374" s="57">
        <v>39940</v>
      </c>
    </row>
    <row r="375" spans="1:29" x14ac:dyDescent="0.4">
      <c r="A375" s="24" t="s">
        <v>1367</v>
      </c>
      <c r="B375" s="24">
        <v>39736</v>
      </c>
      <c r="C375" s="24">
        <v>39668</v>
      </c>
      <c r="D375" s="22" t="s">
        <v>585</v>
      </c>
      <c r="E375" s="22">
        <v>9094233</v>
      </c>
      <c r="F375" s="22">
        <v>1010</v>
      </c>
      <c r="G375" s="22" t="s">
        <v>765</v>
      </c>
      <c r="H375" s="55" t="s">
        <v>766</v>
      </c>
      <c r="I375" s="55" t="s">
        <v>404</v>
      </c>
      <c r="J375" s="71">
        <v>39967</v>
      </c>
      <c r="K375" s="55" t="s">
        <v>404</v>
      </c>
      <c r="L375" s="71">
        <v>39967</v>
      </c>
      <c r="M375" s="28">
        <v>39861</v>
      </c>
      <c r="N375" s="80">
        <f t="shared" si="5"/>
        <v>39668</v>
      </c>
      <c r="O375" s="80"/>
      <c r="Q375" s="211"/>
      <c r="R375" s="80"/>
      <c r="S375" s="80"/>
      <c r="T375" s="80"/>
      <c r="U375" s="22">
        <v>9094233</v>
      </c>
      <c r="V375" s="80">
        <v>39918</v>
      </c>
      <c r="X375" s="4">
        <v>9094477</v>
      </c>
      <c r="Y375" s="2">
        <v>39959</v>
      </c>
      <c r="AA375" s="22">
        <v>9094233</v>
      </c>
      <c r="AB375" s="4" t="s">
        <v>404</v>
      </c>
      <c r="AC375" s="59">
        <v>39967</v>
      </c>
    </row>
    <row r="376" spans="1:29" x14ac:dyDescent="0.4">
      <c r="A376" s="24" t="s">
        <v>1367</v>
      </c>
      <c r="B376" s="24">
        <v>39859</v>
      </c>
      <c r="C376" s="24">
        <v>39668</v>
      </c>
      <c r="D376" s="22" t="s">
        <v>585</v>
      </c>
      <c r="E376" s="22">
        <v>9094350</v>
      </c>
      <c r="F376" s="22">
        <v>715</v>
      </c>
      <c r="G376" s="22" t="s">
        <v>767</v>
      </c>
      <c r="H376" s="55" t="s">
        <v>768</v>
      </c>
      <c r="I376" s="55" t="s">
        <v>404</v>
      </c>
      <c r="J376" s="93">
        <v>39940</v>
      </c>
      <c r="K376" s="55" t="s">
        <v>404</v>
      </c>
      <c r="L376" s="95">
        <v>39934</v>
      </c>
      <c r="M376" s="28">
        <v>39861</v>
      </c>
      <c r="N376" s="80">
        <f t="shared" si="5"/>
        <v>39668</v>
      </c>
      <c r="O376" s="80"/>
      <c r="Q376" s="211"/>
      <c r="R376" s="80"/>
      <c r="S376" s="80"/>
      <c r="T376" s="80"/>
      <c r="U376" s="22">
        <v>9094350</v>
      </c>
      <c r="V376" s="80">
        <v>39919</v>
      </c>
      <c r="X376" s="4">
        <v>9094462</v>
      </c>
      <c r="Y376" s="2" t="s">
        <v>1030</v>
      </c>
      <c r="AA376" s="22">
        <v>9094350</v>
      </c>
      <c r="AB376" s="4" t="s">
        <v>404</v>
      </c>
      <c r="AC376" s="57">
        <v>39940</v>
      </c>
    </row>
    <row r="377" spans="1:29" x14ac:dyDescent="0.4">
      <c r="A377" s="24" t="s">
        <v>1367</v>
      </c>
      <c r="B377" s="24">
        <v>39692</v>
      </c>
      <c r="C377" s="24">
        <v>39668</v>
      </c>
      <c r="D377" s="22" t="s">
        <v>585</v>
      </c>
      <c r="E377" s="22">
        <v>9094033</v>
      </c>
      <c r="F377" s="22">
        <v>715</v>
      </c>
      <c r="G377" s="22" t="s">
        <v>769</v>
      </c>
      <c r="H377" s="55" t="s">
        <v>770</v>
      </c>
      <c r="I377" s="55" t="s">
        <v>404</v>
      </c>
      <c r="J377" s="71">
        <v>39703</v>
      </c>
      <c r="K377" s="55" t="s">
        <v>404</v>
      </c>
      <c r="L377" s="55" t="s">
        <v>719</v>
      </c>
      <c r="M377" s="28">
        <v>39708</v>
      </c>
      <c r="N377" s="80">
        <f t="shared" si="5"/>
        <v>39668</v>
      </c>
      <c r="O377" s="80"/>
      <c r="Q377" s="211"/>
      <c r="R377" s="80"/>
      <c r="S377" s="80"/>
      <c r="T377" s="80"/>
      <c r="U377" s="22">
        <v>9094033</v>
      </c>
      <c r="V377" s="80">
        <v>39749</v>
      </c>
      <c r="X377" s="4">
        <v>9094463</v>
      </c>
      <c r="Y377" s="2" t="s">
        <v>1030</v>
      </c>
      <c r="AA377" s="22">
        <v>9094033</v>
      </c>
      <c r="AB377" s="4" t="s">
        <v>404</v>
      </c>
      <c r="AC377" s="59">
        <v>39703</v>
      </c>
    </row>
    <row r="378" spans="1:29" x14ac:dyDescent="0.4">
      <c r="A378" s="24" t="s">
        <v>1367</v>
      </c>
      <c r="B378" s="24">
        <v>39736</v>
      </c>
      <c r="C378" s="24">
        <v>39668</v>
      </c>
      <c r="D378" s="22" t="s">
        <v>585</v>
      </c>
      <c r="E378" s="22">
        <v>9094236</v>
      </c>
      <c r="F378" s="22">
        <v>1010</v>
      </c>
      <c r="G378" s="22" t="s">
        <v>771</v>
      </c>
      <c r="H378" s="55" t="s">
        <v>772</v>
      </c>
      <c r="I378" s="55" t="s">
        <v>404</v>
      </c>
      <c r="J378" s="93">
        <v>39731</v>
      </c>
      <c r="K378" s="55" t="s">
        <v>404</v>
      </c>
      <c r="L378" s="93" t="s">
        <v>724</v>
      </c>
      <c r="M378" s="92">
        <v>39741</v>
      </c>
      <c r="N378" s="80">
        <f t="shared" si="5"/>
        <v>39668</v>
      </c>
      <c r="O378" s="80"/>
      <c r="Q378" s="211"/>
      <c r="R378" s="80"/>
      <c r="S378" s="80"/>
      <c r="T378" s="80"/>
      <c r="U378" s="22">
        <v>9094236</v>
      </c>
      <c r="V378" s="80">
        <v>39777</v>
      </c>
      <c r="X378" s="4">
        <v>9094478</v>
      </c>
      <c r="Y378" s="2">
        <v>39959</v>
      </c>
      <c r="AA378" s="22">
        <v>9094236</v>
      </c>
      <c r="AB378" s="4" t="s">
        <v>404</v>
      </c>
      <c r="AC378" s="57">
        <v>39731</v>
      </c>
    </row>
    <row r="379" spans="1:29" x14ac:dyDescent="0.4">
      <c r="A379" s="24" t="s">
        <v>1367</v>
      </c>
      <c r="B379" s="24">
        <v>39736</v>
      </c>
      <c r="C379" s="24">
        <v>39668</v>
      </c>
      <c r="D379" s="22" t="s">
        <v>585</v>
      </c>
      <c r="E379" s="22">
        <v>9094224</v>
      </c>
      <c r="F379" s="22">
        <v>715</v>
      </c>
      <c r="G379" s="22" t="s">
        <v>773</v>
      </c>
      <c r="H379" s="55" t="s">
        <v>774</v>
      </c>
      <c r="I379" s="55" t="s">
        <v>404</v>
      </c>
      <c r="J379" s="93">
        <v>39846</v>
      </c>
      <c r="K379" s="55" t="s">
        <v>404</v>
      </c>
      <c r="L379" s="55" t="s">
        <v>719</v>
      </c>
      <c r="M379" s="92">
        <v>39861</v>
      </c>
      <c r="N379" s="80">
        <f t="shared" si="5"/>
        <v>39668</v>
      </c>
      <c r="O379" s="80"/>
      <c r="Q379" s="211"/>
      <c r="R379" s="80"/>
      <c r="S379" s="80"/>
      <c r="T379" s="80"/>
      <c r="U379" s="22">
        <v>9094224</v>
      </c>
      <c r="V379" s="80">
        <v>39869</v>
      </c>
      <c r="X379" s="4">
        <v>9094184</v>
      </c>
      <c r="Y379" s="2">
        <v>39959</v>
      </c>
      <c r="AA379" s="22">
        <v>9094224</v>
      </c>
      <c r="AB379" s="4" t="s">
        <v>404</v>
      </c>
      <c r="AC379" s="57">
        <v>39846</v>
      </c>
    </row>
    <row r="380" spans="1:29" x14ac:dyDescent="0.4">
      <c r="A380" s="24" t="s">
        <v>1367</v>
      </c>
      <c r="B380" s="24">
        <v>39692</v>
      </c>
      <c r="C380" s="24">
        <v>39668</v>
      </c>
      <c r="D380" s="22" t="s">
        <v>585</v>
      </c>
      <c r="E380" s="22">
        <v>9094035</v>
      </c>
      <c r="F380" s="22">
        <v>715</v>
      </c>
      <c r="G380" s="22" t="s">
        <v>775</v>
      </c>
      <c r="H380" s="55" t="s">
        <v>776</v>
      </c>
      <c r="I380" s="55" t="s">
        <v>404</v>
      </c>
      <c r="J380" s="71">
        <v>39767</v>
      </c>
      <c r="K380" s="55" t="s">
        <v>404</v>
      </c>
      <c r="L380" s="55" t="s">
        <v>724</v>
      </c>
      <c r="M380" s="28">
        <v>39741</v>
      </c>
      <c r="N380" s="80">
        <f t="shared" si="5"/>
        <v>39668</v>
      </c>
      <c r="O380" s="80"/>
      <c r="Q380" s="211"/>
      <c r="R380" s="80"/>
      <c r="S380" s="80"/>
      <c r="T380" s="80"/>
      <c r="U380" s="22">
        <v>9094035</v>
      </c>
      <c r="V380" s="80">
        <v>39751</v>
      </c>
      <c r="X380" s="4">
        <v>9094271</v>
      </c>
      <c r="Y380" s="2">
        <v>39675</v>
      </c>
      <c r="AA380" s="22">
        <v>9094035</v>
      </c>
      <c r="AB380" s="4" t="s">
        <v>404</v>
      </c>
      <c r="AC380" s="59">
        <v>39767</v>
      </c>
    </row>
    <row r="381" spans="1:29" x14ac:dyDescent="0.4">
      <c r="A381" s="24" t="s">
        <v>1367</v>
      </c>
      <c r="B381" s="24">
        <v>39736</v>
      </c>
      <c r="C381" s="24">
        <v>39668</v>
      </c>
      <c r="D381" s="22" t="s">
        <v>585</v>
      </c>
      <c r="E381" s="22">
        <v>9094165</v>
      </c>
      <c r="F381" s="22">
        <v>1010</v>
      </c>
      <c r="G381" s="22" t="s">
        <v>779</v>
      </c>
      <c r="H381" s="55" t="s">
        <v>780</v>
      </c>
      <c r="I381" s="55" t="s">
        <v>404</v>
      </c>
      <c r="J381" s="93">
        <v>39731</v>
      </c>
      <c r="K381" s="55" t="s">
        <v>404</v>
      </c>
      <c r="L381" s="93" t="s">
        <v>724</v>
      </c>
      <c r="M381" s="28">
        <v>39741</v>
      </c>
      <c r="N381" s="80">
        <f t="shared" si="5"/>
        <v>39668</v>
      </c>
      <c r="O381" s="80"/>
      <c r="Q381" s="211"/>
      <c r="R381" s="80"/>
      <c r="S381" s="80"/>
      <c r="T381" s="80"/>
      <c r="U381" s="22">
        <v>9094165</v>
      </c>
      <c r="V381" s="80">
        <v>39778</v>
      </c>
      <c r="X381" s="4">
        <v>9094355</v>
      </c>
      <c r="Y381" s="2">
        <v>39706</v>
      </c>
      <c r="AA381" s="22">
        <v>9094165</v>
      </c>
      <c r="AB381" s="4" t="s">
        <v>404</v>
      </c>
      <c r="AC381" s="57">
        <v>39731</v>
      </c>
    </row>
    <row r="382" spans="1:29" x14ac:dyDescent="0.4">
      <c r="A382" s="24" t="s">
        <v>1367</v>
      </c>
      <c r="B382" s="24">
        <v>39736</v>
      </c>
      <c r="C382" s="24">
        <v>39668</v>
      </c>
      <c r="D382" s="22" t="s">
        <v>585</v>
      </c>
      <c r="E382" s="22">
        <v>9094225</v>
      </c>
      <c r="F382" s="22">
        <v>1010</v>
      </c>
      <c r="G382" s="22" t="s">
        <v>781</v>
      </c>
      <c r="H382" s="55" t="s">
        <v>782</v>
      </c>
      <c r="I382" s="55" t="s">
        <v>404</v>
      </c>
      <c r="J382" s="93">
        <v>39867</v>
      </c>
      <c r="K382" s="55" t="s">
        <v>404</v>
      </c>
      <c r="L382" s="71">
        <v>39913</v>
      </c>
      <c r="M382" s="92">
        <v>39861</v>
      </c>
      <c r="N382" s="80">
        <f t="shared" si="5"/>
        <v>39668</v>
      </c>
      <c r="O382" s="80"/>
      <c r="Q382" s="211"/>
      <c r="R382" s="80"/>
      <c r="S382" s="80"/>
      <c r="T382" s="80"/>
      <c r="U382" s="22">
        <v>9094225</v>
      </c>
      <c r="V382" s="80">
        <v>39869</v>
      </c>
      <c r="X382" s="4">
        <v>9094356</v>
      </c>
      <c r="Y382" s="2">
        <v>39706</v>
      </c>
      <c r="AA382" s="22">
        <v>9094225</v>
      </c>
      <c r="AB382" s="4" t="s">
        <v>404</v>
      </c>
      <c r="AC382" s="57">
        <v>39867</v>
      </c>
    </row>
    <row r="383" spans="1:29" x14ac:dyDescent="0.4">
      <c r="A383" s="24" t="s">
        <v>1367</v>
      </c>
      <c r="B383" s="24">
        <v>39736</v>
      </c>
      <c r="C383" s="24">
        <v>39668</v>
      </c>
      <c r="D383" s="22" t="s">
        <v>585</v>
      </c>
      <c r="E383" s="22">
        <v>9094176</v>
      </c>
      <c r="F383" s="22">
        <v>1010</v>
      </c>
      <c r="G383" s="22" t="s">
        <v>783</v>
      </c>
      <c r="H383" s="55" t="s">
        <v>784</v>
      </c>
      <c r="I383" s="55" t="s">
        <v>404</v>
      </c>
      <c r="J383" s="93">
        <v>39731</v>
      </c>
      <c r="K383" s="55" t="s">
        <v>404</v>
      </c>
      <c r="L383" s="93" t="s">
        <v>724</v>
      </c>
      <c r="M383" s="92">
        <v>39741</v>
      </c>
      <c r="N383" s="80"/>
      <c r="O383" s="80"/>
      <c r="P383" s="55"/>
      <c r="Q383" s="211"/>
      <c r="R383" s="80"/>
      <c r="S383" s="80"/>
      <c r="T383" s="80"/>
      <c r="U383" s="22">
        <v>9094176</v>
      </c>
      <c r="V383" s="80">
        <v>39813</v>
      </c>
      <c r="X383" s="4">
        <v>9094428</v>
      </c>
      <c r="Y383" s="2">
        <v>39966</v>
      </c>
      <c r="AA383" s="22">
        <v>9094176</v>
      </c>
      <c r="AB383" s="4" t="s">
        <v>404</v>
      </c>
      <c r="AC383" s="57">
        <v>39731</v>
      </c>
    </row>
    <row r="384" spans="1:29" x14ac:dyDescent="0.4">
      <c r="A384" s="24" t="s">
        <v>1367</v>
      </c>
      <c r="B384" s="24">
        <v>39736</v>
      </c>
      <c r="C384" s="24">
        <v>39668</v>
      </c>
      <c r="D384" s="22" t="s">
        <v>585</v>
      </c>
      <c r="E384" s="22">
        <v>9094177</v>
      </c>
      <c r="F384" s="22">
        <v>1010</v>
      </c>
      <c r="G384" s="22" t="s">
        <v>785</v>
      </c>
      <c r="H384" s="55" t="s">
        <v>786</v>
      </c>
      <c r="I384" s="55" t="s">
        <v>404</v>
      </c>
      <c r="J384" s="93">
        <v>39794</v>
      </c>
      <c r="K384" s="55" t="s">
        <v>404</v>
      </c>
      <c r="L384" s="55" t="s">
        <v>1998</v>
      </c>
      <c r="M384" s="28">
        <v>39741</v>
      </c>
      <c r="N384" s="80"/>
      <c r="O384" s="80"/>
      <c r="P384" s="80"/>
      <c r="Q384" s="80"/>
      <c r="R384" s="80"/>
      <c r="S384" s="80"/>
      <c r="T384" s="80"/>
      <c r="U384" s="22">
        <v>9094177</v>
      </c>
      <c r="V384" s="80">
        <v>39813</v>
      </c>
      <c r="X384" s="4">
        <v>9094429</v>
      </c>
      <c r="Y384" s="2">
        <v>40058</v>
      </c>
      <c r="AA384" s="22">
        <v>9094177</v>
      </c>
      <c r="AB384" s="4" t="s">
        <v>404</v>
      </c>
      <c r="AC384" s="57">
        <v>39794</v>
      </c>
    </row>
    <row r="385" spans="1:29" x14ac:dyDescent="0.4">
      <c r="A385" s="24" t="s">
        <v>1367</v>
      </c>
      <c r="B385" s="24">
        <v>39736</v>
      </c>
      <c r="C385" s="24">
        <v>39668</v>
      </c>
      <c r="D385" s="22" t="s">
        <v>585</v>
      </c>
      <c r="E385" s="22">
        <v>9094164</v>
      </c>
      <c r="F385" s="22">
        <v>1010</v>
      </c>
      <c r="G385" s="22" t="s">
        <v>787</v>
      </c>
      <c r="H385" s="55" t="s">
        <v>788</v>
      </c>
      <c r="I385" s="55" t="s">
        <v>404</v>
      </c>
      <c r="J385" s="93">
        <v>39846</v>
      </c>
      <c r="K385" s="55" t="s">
        <v>404</v>
      </c>
      <c r="L385" s="55" t="s">
        <v>719</v>
      </c>
      <c r="M385" s="28">
        <v>39833</v>
      </c>
      <c r="U385" s="22">
        <v>9094164</v>
      </c>
      <c r="V385" s="80">
        <v>39870</v>
      </c>
      <c r="X385" s="4">
        <v>9094275</v>
      </c>
      <c r="Y385" s="2">
        <v>39675</v>
      </c>
      <c r="AA385" s="22">
        <v>9094164</v>
      </c>
      <c r="AB385" s="4" t="s">
        <v>404</v>
      </c>
      <c r="AC385" s="57">
        <v>39846</v>
      </c>
    </row>
    <row r="386" spans="1:29" x14ac:dyDescent="0.4">
      <c r="A386" s="24" t="s">
        <v>1367</v>
      </c>
      <c r="B386" s="24">
        <v>39736</v>
      </c>
      <c r="C386" s="32">
        <v>39668</v>
      </c>
      <c r="D386" s="22" t="s">
        <v>585</v>
      </c>
      <c r="E386" s="34">
        <v>9094228</v>
      </c>
      <c r="F386" s="22">
        <v>715</v>
      </c>
      <c r="G386" s="22" t="s">
        <v>789</v>
      </c>
      <c r="H386" s="55" t="s">
        <v>790</v>
      </c>
      <c r="I386" s="55" t="s">
        <v>404</v>
      </c>
      <c r="J386" s="93">
        <v>39886</v>
      </c>
      <c r="K386" s="55" t="s">
        <v>404</v>
      </c>
      <c r="L386" s="93">
        <v>39892</v>
      </c>
      <c r="M386" s="92">
        <v>39861</v>
      </c>
      <c r="U386" s="34">
        <v>9094228</v>
      </c>
      <c r="V386" s="80">
        <v>39871</v>
      </c>
      <c r="X386" s="4">
        <v>9094273</v>
      </c>
      <c r="Y386" s="2">
        <v>39987</v>
      </c>
      <c r="AA386" s="34">
        <v>9094228</v>
      </c>
      <c r="AB386" s="4" t="s">
        <v>404</v>
      </c>
      <c r="AC386" s="57">
        <v>39886</v>
      </c>
    </row>
    <row r="387" spans="1:29" x14ac:dyDescent="0.4">
      <c r="A387" s="24" t="s">
        <v>1367</v>
      </c>
      <c r="B387" s="24">
        <v>0</v>
      </c>
      <c r="C387" s="32">
        <v>39959</v>
      </c>
      <c r="D387" s="22" t="s">
        <v>585</v>
      </c>
      <c r="E387" s="34">
        <v>9094182</v>
      </c>
      <c r="F387" s="22">
        <v>1010</v>
      </c>
      <c r="G387" s="22" t="s">
        <v>791</v>
      </c>
      <c r="H387" s="55" t="s">
        <v>792</v>
      </c>
      <c r="I387" s="55" t="s">
        <v>404</v>
      </c>
      <c r="J387" s="94">
        <v>40050</v>
      </c>
      <c r="K387" s="55" t="s">
        <v>404</v>
      </c>
      <c r="L387" s="92">
        <v>40065</v>
      </c>
      <c r="M387" s="92">
        <v>39979</v>
      </c>
      <c r="U387" s="34">
        <v>9094182</v>
      </c>
      <c r="V387" s="80">
        <v>39975</v>
      </c>
      <c r="X387" s="4">
        <v>9094274</v>
      </c>
      <c r="Y387" s="2">
        <v>39675</v>
      </c>
      <c r="AA387" s="34">
        <v>9094182</v>
      </c>
      <c r="AB387" s="4" t="s">
        <v>404</v>
      </c>
      <c r="AC387" s="44">
        <v>40050</v>
      </c>
    </row>
    <row r="388" spans="1:29" x14ac:dyDescent="0.4">
      <c r="A388" s="24" t="s">
        <v>1367</v>
      </c>
      <c r="B388" s="24">
        <v>0</v>
      </c>
      <c r="C388" s="32">
        <v>39959</v>
      </c>
      <c r="D388" s="22" t="s">
        <v>585</v>
      </c>
      <c r="E388" s="34">
        <v>9094184</v>
      </c>
      <c r="F388" s="22">
        <v>1010</v>
      </c>
      <c r="G388" s="22" t="s">
        <v>793</v>
      </c>
      <c r="H388" s="55" t="s">
        <v>3053</v>
      </c>
      <c r="I388" s="55" t="s">
        <v>404</v>
      </c>
      <c r="J388" s="94">
        <v>40004</v>
      </c>
      <c r="K388" s="55" t="s">
        <v>404</v>
      </c>
      <c r="L388" s="92">
        <v>40053</v>
      </c>
      <c r="M388" s="92">
        <v>39986</v>
      </c>
      <c r="U388" s="34">
        <v>9094184</v>
      </c>
      <c r="V388" s="80">
        <v>39980</v>
      </c>
      <c r="X388" s="4">
        <v>9094272</v>
      </c>
      <c r="Y388" s="2">
        <v>39675</v>
      </c>
      <c r="AA388" s="34">
        <v>9094184</v>
      </c>
      <c r="AB388" s="4" t="s">
        <v>404</v>
      </c>
      <c r="AC388" s="44">
        <v>40004</v>
      </c>
    </row>
    <row r="389" spans="1:29" x14ac:dyDescent="0.4">
      <c r="A389" s="24" t="s">
        <v>1367</v>
      </c>
      <c r="B389" s="24">
        <v>0</v>
      </c>
      <c r="C389" s="32">
        <v>39959</v>
      </c>
      <c r="D389" s="22" t="s">
        <v>585</v>
      </c>
      <c r="E389" s="34">
        <v>9094478</v>
      </c>
      <c r="F389" s="22">
        <v>1010</v>
      </c>
      <c r="G389" s="22" t="s">
        <v>795</v>
      </c>
      <c r="H389" s="55" t="s">
        <v>3054</v>
      </c>
      <c r="I389" s="55" t="s">
        <v>404</v>
      </c>
      <c r="J389" s="94">
        <v>40053</v>
      </c>
      <c r="K389" s="55" t="s">
        <v>404</v>
      </c>
      <c r="L389" s="92">
        <v>40053</v>
      </c>
      <c r="M389" s="92">
        <v>39986</v>
      </c>
      <c r="U389" s="34">
        <v>9094478</v>
      </c>
      <c r="V389" s="80">
        <v>39980</v>
      </c>
      <c r="X389" s="4">
        <v>9094362</v>
      </c>
      <c r="Y389" s="2">
        <v>39675</v>
      </c>
      <c r="AA389" s="34">
        <v>9094478</v>
      </c>
      <c r="AB389" s="4" t="s">
        <v>404</v>
      </c>
      <c r="AC389" s="44">
        <v>40053</v>
      </c>
    </row>
    <row r="390" spans="1:29" x14ac:dyDescent="0.4">
      <c r="A390" s="24" t="s">
        <v>1367</v>
      </c>
      <c r="B390" s="24">
        <v>0</v>
      </c>
      <c r="C390" s="32">
        <v>39959</v>
      </c>
      <c r="D390" s="22" t="s">
        <v>585</v>
      </c>
      <c r="E390" s="34">
        <v>9094477</v>
      </c>
      <c r="F390" s="22">
        <v>715</v>
      </c>
      <c r="G390" s="22" t="s">
        <v>803</v>
      </c>
      <c r="H390" s="55" t="s">
        <v>1406</v>
      </c>
      <c r="I390" s="55" t="s">
        <v>404</v>
      </c>
      <c r="J390" s="94">
        <v>40064</v>
      </c>
      <c r="K390" s="55" t="s">
        <v>404</v>
      </c>
      <c r="L390" s="92">
        <v>40065</v>
      </c>
      <c r="M390" s="92">
        <v>39988</v>
      </c>
      <c r="U390" s="34">
        <v>9094477</v>
      </c>
      <c r="V390" s="80">
        <v>39975</v>
      </c>
      <c r="X390" s="4">
        <v>9094276</v>
      </c>
      <c r="Y390" s="2">
        <v>39675</v>
      </c>
      <c r="AA390" s="34">
        <v>9094477</v>
      </c>
      <c r="AB390" s="4" t="s">
        <v>404</v>
      </c>
      <c r="AC390" s="44">
        <v>40064</v>
      </c>
    </row>
    <row r="391" spans="1:29" x14ac:dyDescent="0.4">
      <c r="A391" s="24" t="s">
        <v>1367</v>
      </c>
      <c r="B391" s="24">
        <v>0</v>
      </c>
      <c r="C391" s="32">
        <v>0</v>
      </c>
      <c r="D391" s="22" t="s">
        <v>628</v>
      </c>
      <c r="E391" s="55">
        <v>9094441</v>
      </c>
      <c r="F391" s="22">
        <v>1010</v>
      </c>
      <c r="G391" s="22" t="s">
        <v>804</v>
      </c>
      <c r="H391" s="55" t="s">
        <v>3055</v>
      </c>
      <c r="I391" s="1" t="s">
        <v>404</v>
      </c>
      <c r="J391" s="42">
        <v>40088</v>
      </c>
      <c r="K391" s="1" t="s">
        <v>404</v>
      </c>
      <c r="L391" s="28">
        <v>40101</v>
      </c>
      <c r="M391" s="92">
        <v>39965</v>
      </c>
      <c r="U391" s="4">
        <v>9094441</v>
      </c>
      <c r="V391" s="80">
        <v>39889</v>
      </c>
      <c r="X391" s="4">
        <v>9094384</v>
      </c>
      <c r="Y391" s="2">
        <v>39675</v>
      </c>
      <c r="AA391" s="4">
        <v>9094441</v>
      </c>
      <c r="AB391" s="1" t="s">
        <v>404</v>
      </c>
      <c r="AC391" s="42">
        <v>40088</v>
      </c>
    </row>
    <row r="392" spans="1:29" x14ac:dyDescent="0.4">
      <c r="A392" s="24" t="s">
        <v>1367</v>
      </c>
      <c r="B392" s="24">
        <v>0</v>
      </c>
      <c r="C392" s="32">
        <v>0</v>
      </c>
      <c r="D392" s="22" t="s">
        <v>628</v>
      </c>
      <c r="E392" s="55">
        <v>9094442</v>
      </c>
      <c r="F392" s="22">
        <v>715</v>
      </c>
      <c r="G392" s="22" t="s">
        <v>804</v>
      </c>
      <c r="H392" s="55" t="s">
        <v>3056</v>
      </c>
      <c r="I392" s="1" t="s">
        <v>404</v>
      </c>
      <c r="J392" s="42">
        <v>40177</v>
      </c>
      <c r="K392" s="1" t="s">
        <v>404</v>
      </c>
      <c r="L392" s="28">
        <v>40177</v>
      </c>
      <c r="M392" s="92">
        <v>39965</v>
      </c>
      <c r="U392" s="4">
        <v>9094442</v>
      </c>
      <c r="V392" s="80">
        <v>39890</v>
      </c>
      <c r="X392" s="4" t="s">
        <v>539</v>
      </c>
      <c r="Y392" s="2" t="s">
        <v>1030</v>
      </c>
      <c r="AA392" s="4">
        <v>9094442</v>
      </c>
      <c r="AB392" s="1" t="s">
        <v>404</v>
      </c>
      <c r="AC392" s="42">
        <v>40177</v>
      </c>
    </row>
    <row r="393" spans="1:29" x14ac:dyDescent="0.4">
      <c r="A393" s="24" t="s">
        <v>524</v>
      </c>
      <c r="B393" s="24"/>
      <c r="C393" s="32"/>
      <c r="D393" s="22" t="s">
        <v>1380</v>
      </c>
      <c r="E393" s="55">
        <v>9094471</v>
      </c>
      <c r="F393" s="1">
        <v>1210</v>
      </c>
      <c r="G393" s="22" t="s">
        <v>1686</v>
      </c>
      <c r="H393" s="3" t="s">
        <v>3020</v>
      </c>
      <c r="I393" s="1" t="s">
        <v>404</v>
      </c>
      <c r="J393" s="42">
        <v>40255</v>
      </c>
      <c r="K393" s="91"/>
      <c r="L393" s="1"/>
      <c r="M393" s="1"/>
      <c r="U393" s="4">
        <v>9094471</v>
      </c>
      <c r="V393" s="80">
        <v>39962</v>
      </c>
      <c r="X393" s="4" t="s">
        <v>540</v>
      </c>
      <c r="Y393" s="2" t="s">
        <v>1030</v>
      </c>
      <c r="AA393" s="4">
        <v>9094471</v>
      </c>
      <c r="AB393" s="1" t="s">
        <v>404</v>
      </c>
      <c r="AC393" s="42">
        <v>40255</v>
      </c>
    </row>
    <row r="394" spans="1:29" x14ac:dyDescent="0.4">
      <c r="L394" s="164"/>
      <c r="M394" s="164"/>
      <c r="X394" s="4" t="s">
        <v>541</v>
      </c>
      <c r="Y394" s="2"/>
    </row>
    <row r="395" spans="1:29" x14ac:dyDescent="0.4">
      <c r="L395" s="164"/>
      <c r="M395" s="164"/>
      <c r="X395" s="4" t="s">
        <v>1691</v>
      </c>
      <c r="Y395" s="2"/>
    </row>
    <row r="396" spans="1:29" x14ac:dyDescent="0.4">
      <c r="L396" s="164"/>
      <c r="M396" s="164"/>
      <c r="X396" s="4" t="s">
        <v>1692</v>
      </c>
      <c r="Y396" s="2"/>
    </row>
    <row r="397" spans="1:29" x14ac:dyDescent="0.4">
      <c r="L397" s="164"/>
      <c r="M397" s="164"/>
      <c r="X397" s="4">
        <v>9094344</v>
      </c>
      <c r="Y397" s="2"/>
    </row>
    <row r="398" spans="1:29" x14ac:dyDescent="0.4">
      <c r="L398" s="164"/>
      <c r="M398" s="164"/>
      <c r="X398" s="4">
        <v>9094345</v>
      </c>
      <c r="Y398" s="2"/>
    </row>
    <row r="399" spans="1:29" x14ac:dyDescent="0.4">
      <c r="L399" s="164"/>
      <c r="M399" s="164"/>
    </row>
    <row r="400" spans="1:29" x14ac:dyDescent="0.4">
      <c r="L400" s="164"/>
      <c r="M400" s="164"/>
    </row>
    <row r="401" spans="12:13" x14ac:dyDescent="0.4">
      <c r="L401" s="164"/>
      <c r="M401" s="164"/>
    </row>
    <row r="402" spans="12:13" x14ac:dyDescent="0.4">
      <c r="L402" s="164"/>
      <c r="M402" s="164"/>
    </row>
    <row r="403" spans="12:13" x14ac:dyDescent="0.4">
      <c r="L403" s="164"/>
      <c r="M403" s="164"/>
    </row>
    <row r="404" spans="12:13" x14ac:dyDescent="0.4">
      <c r="L404" s="164"/>
      <c r="M404" s="164"/>
    </row>
    <row r="405" spans="12:13" x14ac:dyDescent="0.4">
      <c r="L405" s="164"/>
      <c r="M405" s="164"/>
    </row>
    <row r="406" spans="12:13" x14ac:dyDescent="0.4">
      <c r="L406" s="164"/>
      <c r="M406" s="164"/>
    </row>
    <row r="407" spans="12:13" x14ac:dyDescent="0.4">
      <c r="L407" s="164"/>
      <c r="M407" s="164"/>
    </row>
    <row r="408" spans="12:13" x14ac:dyDescent="0.4">
      <c r="L408" s="164"/>
      <c r="M408" s="164"/>
    </row>
    <row r="409" spans="12:13" x14ac:dyDescent="0.4">
      <c r="L409" s="164"/>
      <c r="M409" s="164"/>
    </row>
    <row r="410" spans="12:13" x14ac:dyDescent="0.4">
      <c r="L410" s="164"/>
      <c r="M410" s="164"/>
    </row>
    <row r="411" spans="12:13" x14ac:dyDescent="0.4">
      <c r="L411" s="164"/>
      <c r="M411" s="164"/>
    </row>
    <row r="412" spans="12:13" x14ac:dyDescent="0.4">
      <c r="L412" s="164"/>
      <c r="M412" s="164"/>
    </row>
    <row r="413" spans="12:13" x14ac:dyDescent="0.4">
      <c r="L413" s="164"/>
      <c r="M413" s="164"/>
    </row>
    <row r="414" spans="12:13" x14ac:dyDescent="0.4">
      <c r="L414" s="164"/>
      <c r="M414" s="164"/>
    </row>
    <row r="415" spans="12:13" x14ac:dyDescent="0.4">
      <c r="L415" s="164"/>
      <c r="M415" s="164"/>
    </row>
    <row r="416" spans="12:13" x14ac:dyDescent="0.4">
      <c r="L416" s="164"/>
      <c r="M416" s="164"/>
    </row>
    <row r="417" spans="12:13" x14ac:dyDescent="0.4">
      <c r="L417" s="164"/>
      <c r="M417" s="164"/>
    </row>
    <row r="418" spans="12:13" x14ac:dyDescent="0.4">
      <c r="L418" s="164"/>
      <c r="M418" s="164"/>
    </row>
    <row r="419" spans="12:13" x14ac:dyDescent="0.4">
      <c r="L419" s="164"/>
      <c r="M419" s="164"/>
    </row>
    <row r="420" spans="12:13" x14ac:dyDescent="0.4">
      <c r="L420" s="164"/>
      <c r="M420" s="164"/>
    </row>
    <row r="421" spans="12:13" x14ac:dyDescent="0.4">
      <c r="L421" s="164"/>
      <c r="M421" s="164"/>
    </row>
    <row r="422" spans="12:13" x14ac:dyDescent="0.4">
      <c r="L422" s="164"/>
      <c r="M422" s="164"/>
    </row>
    <row r="423" spans="12:13" x14ac:dyDescent="0.4">
      <c r="L423" s="164"/>
      <c r="M423" s="164"/>
    </row>
    <row r="424" spans="12:13" x14ac:dyDescent="0.4">
      <c r="L424" s="164"/>
      <c r="M424" s="164"/>
    </row>
    <row r="425" spans="12:13" x14ac:dyDescent="0.4">
      <c r="L425" s="164"/>
      <c r="M425" s="164"/>
    </row>
    <row r="426" spans="12:13" x14ac:dyDescent="0.4">
      <c r="L426" s="164"/>
      <c r="M426" s="164"/>
    </row>
    <row r="427" spans="12:13" x14ac:dyDescent="0.4">
      <c r="L427" s="164"/>
      <c r="M427" s="164"/>
    </row>
    <row r="428" spans="12:13" x14ac:dyDescent="0.4">
      <c r="L428" s="164"/>
      <c r="M428" s="164"/>
    </row>
    <row r="429" spans="12:13" x14ac:dyDescent="0.4">
      <c r="L429" s="164"/>
      <c r="M429" s="164"/>
    </row>
    <row r="430" spans="12:13" x14ac:dyDescent="0.4">
      <c r="L430" s="164"/>
      <c r="M430" s="164"/>
    </row>
    <row r="431" spans="12:13" x14ac:dyDescent="0.4">
      <c r="L431" s="164"/>
      <c r="M431" s="164"/>
    </row>
    <row r="432" spans="12:13" x14ac:dyDescent="0.4">
      <c r="L432" s="164"/>
      <c r="M432" s="164"/>
    </row>
    <row r="433" spans="12:13" x14ac:dyDescent="0.4">
      <c r="L433" s="164"/>
      <c r="M433" s="164"/>
    </row>
    <row r="434" spans="12:13" x14ac:dyDescent="0.4">
      <c r="L434" s="164"/>
      <c r="M434" s="164"/>
    </row>
    <row r="435" spans="12:13" x14ac:dyDescent="0.4">
      <c r="L435" s="164"/>
      <c r="M435" s="164"/>
    </row>
    <row r="436" spans="12:13" x14ac:dyDescent="0.4">
      <c r="L436" s="164"/>
      <c r="M436" s="164"/>
    </row>
    <row r="437" spans="12:13" x14ac:dyDescent="0.4">
      <c r="L437" s="164"/>
      <c r="M437" s="164"/>
    </row>
    <row r="438" spans="12:13" x14ac:dyDescent="0.4">
      <c r="L438" s="164"/>
      <c r="M438" s="164"/>
    </row>
    <row r="439" spans="12:13" x14ac:dyDescent="0.4">
      <c r="L439" s="164"/>
      <c r="M439" s="164"/>
    </row>
    <row r="440" spans="12:13" x14ac:dyDescent="0.4">
      <c r="L440" s="164"/>
      <c r="M440" s="164"/>
    </row>
    <row r="441" spans="12:13" x14ac:dyDescent="0.4">
      <c r="L441" s="164"/>
      <c r="M441" s="164"/>
    </row>
    <row r="442" spans="12:13" x14ac:dyDescent="0.4">
      <c r="L442" s="164"/>
      <c r="M442" s="164"/>
    </row>
    <row r="443" spans="12:13" x14ac:dyDescent="0.4">
      <c r="L443" s="164"/>
      <c r="M443" s="164"/>
    </row>
    <row r="444" spans="12:13" x14ac:dyDescent="0.4">
      <c r="L444" s="164"/>
      <c r="M444" s="164"/>
    </row>
    <row r="445" spans="12:13" x14ac:dyDescent="0.4">
      <c r="L445" s="164"/>
      <c r="M445" s="164"/>
    </row>
    <row r="446" spans="12:13" x14ac:dyDescent="0.4">
      <c r="L446" s="164"/>
      <c r="M446" s="164"/>
    </row>
    <row r="447" spans="12:13" x14ac:dyDescent="0.4">
      <c r="L447" s="164"/>
      <c r="M447" s="164"/>
    </row>
    <row r="448" spans="12:13" x14ac:dyDescent="0.4">
      <c r="L448" s="164"/>
      <c r="M448" s="164"/>
    </row>
    <row r="449" spans="12:13" x14ac:dyDescent="0.4">
      <c r="L449" s="164"/>
      <c r="M449" s="164"/>
    </row>
    <row r="450" spans="12:13" x14ac:dyDescent="0.4">
      <c r="L450" s="164"/>
      <c r="M450" s="164"/>
    </row>
    <row r="451" spans="12:13" x14ac:dyDescent="0.4">
      <c r="L451" s="164"/>
      <c r="M451" s="164"/>
    </row>
    <row r="452" spans="12:13" x14ac:dyDescent="0.4">
      <c r="L452" s="164"/>
      <c r="M452" s="164"/>
    </row>
    <row r="453" spans="12:13" x14ac:dyDescent="0.4">
      <c r="L453" s="164"/>
      <c r="M453" s="164"/>
    </row>
    <row r="454" spans="12:13" x14ac:dyDescent="0.4">
      <c r="L454" s="164"/>
      <c r="M454" s="164"/>
    </row>
    <row r="455" spans="12:13" x14ac:dyDescent="0.4">
      <c r="L455" s="164"/>
      <c r="M455" s="164"/>
    </row>
    <row r="456" spans="12:13" x14ac:dyDescent="0.4">
      <c r="L456" s="164"/>
      <c r="M456" s="164"/>
    </row>
    <row r="457" spans="12:13" x14ac:dyDescent="0.4">
      <c r="L457" s="164"/>
      <c r="M457" s="164"/>
    </row>
    <row r="458" spans="12:13" x14ac:dyDescent="0.4">
      <c r="L458" s="164"/>
      <c r="M458" s="164"/>
    </row>
    <row r="459" spans="12:13" x14ac:dyDescent="0.4">
      <c r="L459" s="164"/>
      <c r="M459" s="164"/>
    </row>
    <row r="460" spans="12:13" x14ac:dyDescent="0.4">
      <c r="L460" s="164"/>
      <c r="M460" s="164"/>
    </row>
    <row r="461" spans="12:13" x14ac:dyDescent="0.4">
      <c r="L461" s="164"/>
      <c r="M461" s="164"/>
    </row>
    <row r="462" spans="12:13" x14ac:dyDescent="0.4">
      <c r="L462" s="164"/>
      <c r="M462" s="164"/>
    </row>
    <row r="463" spans="12:13" x14ac:dyDescent="0.4">
      <c r="L463" s="164"/>
      <c r="M463" s="164"/>
    </row>
    <row r="464" spans="12:13" x14ac:dyDescent="0.4">
      <c r="L464" s="164"/>
      <c r="M464" s="164"/>
    </row>
    <row r="465" spans="12:13" x14ac:dyDescent="0.4">
      <c r="L465" s="164"/>
      <c r="M465" s="164"/>
    </row>
    <row r="466" spans="12:13" x14ac:dyDescent="0.4">
      <c r="L466" s="164"/>
      <c r="M466" s="164"/>
    </row>
    <row r="467" spans="12:13" x14ac:dyDescent="0.4">
      <c r="L467" s="164"/>
      <c r="M467" s="164"/>
    </row>
    <row r="468" spans="12:13" x14ac:dyDescent="0.4">
      <c r="L468" s="164"/>
      <c r="M468" s="164"/>
    </row>
    <row r="469" spans="12:13" x14ac:dyDescent="0.4">
      <c r="L469" s="164"/>
      <c r="M469" s="164"/>
    </row>
    <row r="470" spans="12:13" x14ac:dyDescent="0.4">
      <c r="L470" s="164"/>
      <c r="M470" s="164"/>
    </row>
    <row r="471" spans="12:13" x14ac:dyDescent="0.4">
      <c r="L471" s="164"/>
      <c r="M471" s="164"/>
    </row>
    <row r="472" spans="12:13" x14ac:dyDescent="0.4">
      <c r="L472" s="164"/>
      <c r="M472" s="164"/>
    </row>
    <row r="473" spans="12:13" x14ac:dyDescent="0.4">
      <c r="L473" s="164"/>
      <c r="M473" s="164"/>
    </row>
    <row r="474" spans="12:13" x14ac:dyDescent="0.4">
      <c r="L474" s="164"/>
      <c r="M474" s="164"/>
    </row>
    <row r="475" spans="12:13" x14ac:dyDescent="0.4">
      <c r="L475" s="164"/>
      <c r="M475" s="164"/>
    </row>
    <row r="476" spans="12:13" x14ac:dyDescent="0.4">
      <c r="L476" s="164"/>
      <c r="M476" s="164"/>
    </row>
    <row r="477" spans="12:13" x14ac:dyDescent="0.4">
      <c r="L477" s="164"/>
      <c r="M477" s="164"/>
    </row>
    <row r="478" spans="12:13" x14ac:dyDescent="0.4">
      <c r="L478" s="164"/>
      <c r="M478" s="164"/>
    </row>
    <row r="479" spans="12:13" x14ac:dyDescent="0.4">
      <c r="L479" s="164"/>
      <c r="M479" s="164"/>
    </row>
    <row r="480" spans="12:13" x14ac:dyDescent="0.4">
      <c r="L480" s="164"/>
      <c r="M480" s="164"/>
    </row>
    <row r="481" spans="12:13" x14ac:dyDescent="0.4">
      <c r="L481" s="164"/>
      <c r="M481" s="164"/>
    </row>
    <row r="482" spans="12:13" x14ac:dyDescent="0.4">
      <c r="L482" s="164"/>
      <c r="M482" s="164"/>
    </row>
    <row r="483" spans="12:13" x14ac:dyDescent="0.4">
      <c r="L483" s="164"/>
      <c r="M483" s="164"/>
    </row>
    <row r="484" spans="12:13" x14ac:dyDescent="0.4">
      <c r="L484" s="164"/>
      <c r="M484" s="164"/>
    </row>
    <row r="485" spans="12:13" x14ac:dyDescent="0.4">
      <c r="L485" s="164"/>
      <c r="M485" s="164"/>
    </row>
    <row r="486" spans="12:13" x14ac:dyDescent="0.4">
      <c r="L486" s="164"/>
      <c r="M486" s="164"/>
    </row>
    <row r="487" spans="12:13" x14ac:dyDescent="0.4">
      <c r="L487" s="164"/>
      <c r="M487" s="164"/>
    </row>
    <row r="488" spans="12:13" x14ac:dyDescent="0.4">
      <c r="L488" s="164"/>
      <c r="M488" s="164"/>
    </row>
    <row r="489" spans="12:13" x14ac:dyDescent="0.4">
      <c r="L489" s="164"/>
      <c r="M489" s="164"/>
    </row>
    <row r="490" spans="12:13" x14ac:dyDescent="0.4">
      <c r="L490" s="164"/>
      <c r="M490" s="164"/>
    </row>
    <row r="491" spans="12:13" x14ac:dyDescent="0.4">
      <c r="L491" s="164"/>
      <c r="M491" s="164"/>
    </row>
    <row r="492" spans="12:13" x14ac:dyDescent="0.4">
      <c r="L492" s="164"/>
      <c r="M492" s="164"/>
    </row>
    <row r="493" spans="12:13" x14ac:dyDescent="0.4">
      <c r="L493" s="164"/>
      <c r="M493" s="164"/>
    </row>
    <row r="494" spans="12:13" x14ac:dyDescent="0.4">
      <c r="L494" s="164"/>
      <c r="M494" s="164"/>
    </row>
    <row r="495" spans="12:13" x14ac:dyDescent="0.4">
      <c r="L495" s="164"/>
      <c r="M495" s="164"/>
    </row>
    <row r="496" spans="12:13" x14ac:dyDescent="0.4">
      <c r="L496" s="164"/>
      <c r="M496" s="164"/>
    </row>
    <row r="497" spans="12:13" x14ac:dyDescent="0.4">
      <c r="L497" s="164"/>
      <c r="M497" s="164"/>
    </row>
    <row r="498" spans="12:13" x14ac:dyDescent="0.4">
      <c r="L498" s="164"/>
      <c r="M498" s="164"/>
    </row>
    <row r="499" spans="12:13" x14ac:dyDescent="0.4">
      <c r="L499" s="164"/>
      <c r="M499" s="164"/>
    </row>
    <row r="500" spans="12:13" x14ac:dyDescent="0.4">
      <c r="L500" s="164"/>
      <c r="M500" s="164"/>
    </row>
    <row r="501" spans="12:13" x14ac:dyDescent="0.4">
      <c r="L501" s="164"/>
      <c r="M501" s="164"/>
    </row>
    <row r="502" spans="12:13" x14ac:dyDescent="0.4">
      <c r="L502" s="164"/>
      <c r="M502" s="164"/>
    </row>
    <row r="503" spans="12:13" x14ac:dyDescent="0.4">
      <c r="L503" s="164"/>
      <c r="M503" s="164"/>
    </row>
    <row r="504" spans="12:13" x14ac:dyDescent="0.4">
      <c r="L504" s="164"/>
      <c r="M504" s="164"/>
    </row>
    <row r="505" spans="12:13" x14ac:dyDescent="0.4">
      <c r="L505" s="164"/>
      <c r="M505" s="164"/>
    </row>
    <row r="506" spans="12:13" x14ac:dyDescent="0.4">
      <c r="L506" s="164"/>
      <c r="M506" s="164"/>
    </row>
    <row r="507" spans="12:13" x14ac:dyDescent="0.4">
      <c r="L507" s="164"/>
      <c r="M507" s="164"/>
    </row>
    <row r="508" spans="12:13" x14ac:dyDescent="0.4">
      <c r="L508" s="164"/>
      <c r="M508" s="164"/>
    </row>
    <row r="509" spans="12:13" x14ac:dyDescent="0.4">
      <c r="L509" s="164"/>
      <c r="M509" s="164"/>
    </row>
    <row r="510" spans="12:13" x14ac:dyDescent="0.4">
      <c r="L510" s="164"/>
      <c r="M510" s="164"/>
    </row>
    <row r="511" spans="12:13" x14ac:dyDescent="0.4">
      <c r="L511" s="164"/>
      <c r="M511" s="164"/>
    </row>
    <row r="512" spans="12:13" x14ac:dyDescent="0.4">
      <c r="L512" s="164"/>
      <c r="M512" s="164"/>
    </row>
    <row r="513" spans="12:13" x14ac:dyDescent="0.4">
      <c r="L513" s="164"/>
      <c r="M513" s="164"/>
    </row>
    <row r="514" spans="12:13" x14ac:dyDescent="0.4">
      <c r="L514" s="164"/>
      <c r="M514" s="164"/>
    </row>
    <row r="515" spans="12:13" x14ac:dyDescent="0.4">
      <c r="L515" s="164"/>
      <c r="M515" s="164"/>
    </row>
    <row r="516" spans="12:13" x14ac:dyDescent="0.4">
      <c r="L516" s="164"/>
      <c r="M516" s="164"/>
    </row>
    <row r="517" spans="12:13" x14ac:dyDescent="0.4">
      <c r="L517" s="164"/>
      <c r="M517" s="164"/>
    </row>
    <row r="518" spans="12:13" x14ac:dyDescent="0.4">
      <c r="L518" s="164"/>
      <c r="M518" s="164"/>
    </row>
    <row r="519" spans="12:13" x14ac:dyDescent="0.4">
      <c r="L519" s="164"/>
      <c r="M519" s="164"/>
    </row>
    <row r="520" spans="12:13" x14ac:dyDescent="0.4">
      <c r="L520" s="164"/>
      <c r="M520" s="164"/>
    </row>
    <row r="521" spans="12:13" x14ac:dyDescent="0.4">
      <c r="L521" s="164"/>
      <c r="M521" s="164"/>
    </row>
    <row r="522" spans="12:13" x14ac:dyDescent="0.4">
      <c r="L522" s="164"/>
      <c r="M522" s="164"/>
    </row>
    <row r="523" spans="12:13" x14ac:dyDescent="0.4">
      <c r="L523" s="164"/>
      <c r="M523" s="164"/>
    </row>
    <row r="524" spans="12:13" x14ac:dyDescent="0.4">
      <c r="L524" s="164"/>
      <c r="M524" s="164"/>
    </row>
    <row r="525" spans="12:13" x14ac:dyDescent="0.4">
      <c r="L525" s="164"/>
      <c r="M525" s="164"/>
    </row>
    <row r="526" spans="12:13" x14ac:dyDescent="0.4">
      <c r="L526" s="164"/>
      <c r="M526" s="164"/>
    </row>
    <row r="527" spans="12:13" x14ac:dyDescent="0.4">
      <c r="L527" s="164"/>
      <c r="M527" s="164"/>
    </row>
    <row r="528" spans="12:13" x14ac:dyDescent="0.4">
      <c r="L528" s="164"/>
      <c r="M528" s="164"/>
    </row>
    <row r="529" spans="12:13" x14ac:dyDescent="0.4">
      <c r="L529" s="164"/>
      <c r="M529" s="164"/>
    </row>
    <row r="530" spans="12:13" x14ac:dyDescent="0.4">
      <c r="L530" s="164"/>
      <c r="M530" s="164"/>
    </row>
    <row r="531" spans="12:13" x14ac:dyDescent="0.4">
      <c r="L531" s="164"/>
      <c r="M531" s="164"/>
    </row>
    <row r="532" spans="12:13" x14ac:dyDescent="0.4">
      <c r="L532" s="164"/>
      <c r="M532" s="164"/>
    </row>
    <row r="533" spans="12:13" x14ac:dyDescent="0.4">
      <c r="L533" s="164"/>
      <c r="M533" s="164"/>
    </row>
    <row r="534" spans="12:13" x14ac:dyDescent="0.4">
      <c r="L534" s="164"/>
      <c r="M534" s="164"/>
    </row>
    <row r="535" spans="12:13" x14ac:dyDescent="0.4">
      <c r="L535" s="164"/>
      <c r="M535" s="164"/>
    </row>
    <row r="536" spans="12:13" x14ac:dyDescent="0.4">
      <c r="L536" s="164"/>
      <c r="M536" s="164"/>
    </row>
    <row r="537" spans="12:13" x14ac:dyDescent="0.4">
      <c r="L537" s="164"/>
      <c r="M537" s="164"/>
    </row>
    <row r="538" spans="12:13" x14ac:dyDescent="0.4">
      <c r="L538" s="164"/>
      <c r="M538" s="164"/>
    </row>
    <row r="539" spans="12:13" x14ac:dyDescent="0.4">
      <c r="L539" s="164"/>
      <c r="M539" s="164"/>
    </row>
    <row r="540" spans="12:13" x14ac:dyDescent="0.4">
      <c r="L540" s="164"/>
      <c r="M540" s="164"/>
    </row>
    <row r="541" spans="12:13" x14ac:dyDescent="0.4">
      <c r="L541" s="164"/>
      <c r="M541" s="164"/>
    </row>
    <row r="542" spans="12:13" x14ac:dyDescent="0.4">
      <c r="L542" s="164"/>
      <c r="M542" s="164"/>
    </row>
    <row r="543" spans="12:13" x14ac:dyDescent="0.4">
      <c r="L543" s="164"/>
      <c r="M543" s="164"/>
    </row>
    <row r="544" spans="12:13" x14ac:dyDescent="0.4">
      <c r="L544" s="164"/>
      <c r="M544" s="164"/>
    </row>
    <row r="545" spans="12:13" x14ac:dyDescent="0.4">
      <c r="L545" s="164"/>
      <c r="M545" s="164"/>
    </row>
    <row r="546" spans="12:13" x14ac:dyDescent="0.4">
      <c r="L546" s="164"/>
      <c r="M546" s="164"/>
    </row>
    <row r="547" spans="12:13" x14ac:dyDescent="0.4">
      <c r="L547" s="164"/>
      <c r="M547" s="164"/>
    </row>
    <row r="548" spans="12:13" x14ac:dyDescent="0.4">
      <c r="L548" s="164"/>
      <c r="M548" s="164"/>
    </row>
    <row r="549" spans="12:13" x14ac:dyDescent="0.4">
      <c r="L549" s="164"/>
      <c r="M549" s="164"/>
    </row>
    <row r="550" spans="12:13" x14ac:dyDescent="0.4">
      <c r="L550" s="164"/>
      <c r="M550" s="164"/>
    </row>
    <row r="551" spans="12:13" x14ac:dyDescent="0.4">
      <c r="L551" s="164"/>
    </row>
    <row r="552" spans="12:13" x14ac:dyDescent="0.4">
      <c r="L552" s="164"/>
    </row>
    <row r="553" spans="12:13" x14ac:dyDescent="0.4">
      <c r="L553" s="164"/>
    </row>
    <row r="554" spans="12:13" x14ac:dyDescent="0.4">
      <c r="L554" s="164"/>
    </row>
    <row r="555" spans="12:13" x14ac:dyDescent="0.4">
      <c r="L555" s="164"/>
    </row>
    <row r="556" spans="12:13" x14ac:dyDescent="0.4">
      <c r="L556" s="164"/>
    </row>
    <row r="557" spans="12:13" x14ac:dyDescent="0.4">
      <c r="L557" s="164"/>
    </row>
    <row r="558" spans="12:13" x14ac:dyDescent="0.4">
      <c r="L558" s="164"/>
    </row>
    <row r="559" spans="12:13" x14ac:dyDescent="0.4">
      <c r="L559" s="164"/>
    </row>
    <row r="560" spans="12:13" x14ac:dyDescent="0.4">
      <c r="L560" s="164"/>
    </row>
    <row r="561" spans="12:12" x14ac:dyDescent="0.4">
      <c r="L561" s="164"/>
    </row>
    <row r="562" spans="12:12" x14ac:dyDescent="0.4">
      <c r="L562" s="164"/>
    </row>
    <row r="563" spans="12:12" x14ac:dyDescent="0.4">
      <c r="L563" s="164"/>
    </row>
    <row r="564" spans="12:12" x14ac:dyDescent="0.4">
      <c r="L564" s="164"/>
    </row>
    <row r="565" spans="12:12" x14ac:dyDescent="0.4">
      <c r="L565" s="164"/>
    </row>
    <row r="566" spans="12:12" x14ac:dyDescent="0.4">
      <c r="L566" s="164"/>
    </row>
    <row r="567" spans="12:12" x14ac:dyDescent="0.4">
      <c r="L567" s="164"/>
    </row>
    <row r="568" spans="12:12" x14ac:dyDescent="0.4">
      <c r="L568" s="164"/>
    </row>
    <row r="569" spans="12:12" x14ac:dyDescent="0.4">
      <c r="L569" s="164"/>
    </row>
    <row r="570" spans="12:12" x14ac:dyDescent="0.4">
      <c r="L570" s="164"/>
    </row>
    <row r="571" spans="12:12" x14ac:dyDescent="0.4">
      <c r="L571" s="164"/>
    </row>
    <row r="572" spans="12:12" x14ac:dyDescent="0.4">
      <c r="L572" s="164"/>
    </row>
    <row r="573" spans="12:12" x14ac:dyDescent="0.4">
      <c r="L573" s="164"/>
    </row>
    <row r="574" spans="12:12" x14ac:dyDescent="0.4">
      <c r="L574" s="164"/>
    </row>
    <row r="575" spans="12:12" x14ac:dyDescent="0.4">
      <c r="L575" s="164"/>
    </row>
    <row r="576" spans="12:12" x14ac:dyDescent="0.4">
      <c r="L576" s="164"/>
    </row>
    <row r="577" spans="12:12" x14ac:dyDescent="0.4">
      <c r="L577" s="164"/>
    </row>
    <row r="578" spans="12:12" x14ac:dyDescent="0.4">
      <c r="L578" s="164"/>
    </row>
    <row r="579" spans="12:12" x14ac:dyDescent="0.4">
      <c r="L579" s="164"/>
    </row>
    <row r="580" spans="12:12" x14ac:dyDescent="0.4">
      <c r="L580" s="164"/>
    </row>
    <row r="581" spans="12:12" x14ac:dyDescent="0.4">
      <c r="L581" s="164"/>
    </row>
    <row r="582" spans="12:12" x14ac:dyDescent="0.4">
      <c r="L582" s="164"/>
    </row>
    <row r="583" spans="12:12" x14ac:dyDescent="0.4">
      <c r="L583" s="164"/>
    </row>
    <row r="584" spans="12:12" x14ac:dyDescent="0.4">
      <c r="L584" s="164"/>
    </row>
    <row r="585" spans="12:12" x14ac:dyDescent="0.4">
      <c r="L585" s="164"/>
    </row>
    <row r="586" spans="12:12" x14ac:dyDescent="0.4">
      <c r="L586" s="164"/>
    </row>
    <row r="587" spans="12:12" x14ac:dyDescent="0.4">
      <c r="L587" s="164"/>
    </row>
    <row r="588" spans="12:12" x14ac:dyDescent="0.4">
      <c r="L588" s="164"/>
    </row>
    <row r="589" spans="12:12" x14ac:dyDescent="0.4">
      <c r="L589" s="164"/>
    </row>
    <row r="590" spans="12:12" x14ac:dyDescent="0.4">
      <c r="L590" s="164"/>
    </row>
    <row r="591" spans="12:12" x14ac:dyDescent="0.4">
      <c r="L591" s="164"/>
    </row>
    <row r="592" spans="12:12" x14ac:dyDescent="0.4">
      <c r="L592" s="164"/>
    </row>
    <row r="593" spans="12:12" x14ac:dyDescent="0.4">
      <c r="L593" s="164"/>
    </row>
    <row r="594" spans="12:12" x14ac:dyDescent="0.4">
      <c r="L594" s="164"/>
    </row>
    <row r="595" spans="12:12" x14ac:dyDescent="0.4">
      <c r="L595" s="164"/>
    </row>
    <row r="596" spans="12:12" x14ac:dyDescent="0.4">
      <c r="L596" s="164"/>
    </row>
    <row r="597" spans="12:12" x14ac:dyDescent="0.4">
      <c r="L597" s="164"/>
    </row>
    <row r="598" spans="12:12" x14ac:dyDescent="0.4">
      <c r="L598" s="164"/>
    </row>
    <row r="599" spans="12:12" x14ac:dyDescent="0.4">
      <c r="L599" s="164"/>
    </row>
    <row r="600" spans="12:12" x14ac:dyDescent="0.4">
      <c r="L600" s="164"/>
    </row>
    <row r="601" spans="12:12" x14ac:dyDescent="0.4">
      <c r="L601" s="164"/>
    </row>
    <row r="602" spans="12:12" x14ac:dyDescent="0.4">
      <c r="L602" s="164"/>
    </row>
    <row r="603" spans="12:12" x14ac:dyDescent="0.4">
      <c r="L603" s="164"/>
    </row>
    <row r="604" spans="12:12" x14ac:dyDescent="0.4">
      <c r="L604" s="164"/>
    </row>
    <row r="605" spans="12:12" x14ac:dyDescent="0.4">
      <c r="L605" s="164"/>
    </row>
    <row r="606" spans="12:12" x14ac:dyDescent="0.4">
      <c r="L606" s="164"/>
    </row>
    <row r="607" spans="12:12" x14ac:dyDescent="0.4">
      <c r="L607" s="164"/>
    </row>
    <row r="608" spans="12:12" x14ac:dyDescent="0.4">
      <c r="L608" s="164"/>
    </row>
    <row r="609" spans="12:12" x14ac:dyDescent="0.4">
      <c r="L609" s="164"/>
    </row>
    <row r="610" spans="12:12" x14ac:dyDescent="0.4">
      <c r="L610" s="164"/>
    </row>
    <row r="611" spans="12:12" x14ac:dyDescent="0.4">
      <c r="L611" s="164"/>
    </row>
    <row r="612" spans="12:12" x14ac:dyDescent="0.4">
      <c r="L612" s="164"/>
    </row>
    <row r="613" spans="12:12" x14ac:dyDescent="0.4">
      <c r="L613" s="164"/>
    </row>
    <row r="614" spans="12:12" x14ac:dyDescent="0.4">
      <c r="L614" s="164"/>
    </row>
    <row r="615" spans="12:12" x14ac:dyDescent="0.4">
      <c r="L615" s="164"/>
    </row>
    <row r="616" spans="12:12" x14ac:dyDescent="0.4">
      <c r="L616" s="164"/>
    </row>
    <row r="617" spans="12:12" x14ac:dyDescent="0.4">
      <c r="L617" s="164"/>
    </row>
    <row r="618" spans="12:12" x14ac:dyDescent="0.4">
      <c r="L618" s="164"/>
    </row>
    <row r="619" spans="12:12" x14ac:dyDescent="0.4">
      <c r="L619" s="164"/>
    </row>
    <row r="620" spans="12:12" x14ac:dyDescent="0.4">
      <c r="L620" s="164"/>
    </row>
    <row r="621" spans="12:12" x14ac:dyDescent="0.4">
      <c r="L621" s="164"/>
    </row>
    <row r="622" spans="12:12" x14ac:dyDescent="0.4">
      <c r="L622" s="164"/>
    </row>
    <row r="623" spans="12:12" x14ac:dyDescent="0.4">
      <c r="L623" s="164"/>
    </row>
    <row r="624" spans="12:12" x14ac:dyDescent="0.4">
      <c r="L624" s="164"/>
    </row>
    <row r="625" spans="12:12" x14ac:dyDescent="0.4">
      <c r="L625" s="164"/>
    </row>
    <row r="626" spans="12:12" x14ac:dyDescent="0.4">
      <c r="L626" s="164"/>
    </row>
    <row r="627" spans="12:12" x14ac:dyDescent="0.4">
      <c r="L627" s="164"/>
    </row>
    <row r="628" spans="12:12" x14ac:dyDescent="0.4">
      <c r="L628" s="164"/>
    </row>
    <row r="629" spans="12:12" x14ac:dyDescent="0.4">
      <c r="L629" s="164"/>
    </row>
    <row r="630" spans="12:12" x14ac:dyDescent="0.4">
      <c r="L630" s="164"/>
    </row>
    <row r="631" spans="12:12" x14ac:dyDescent="0.4">
      <c r="L631" s="164"/>
    </row>
    <row r="632" spans="12:12" x14ac:dyDescent="0.4">
      <c r="L632" s="164"/>
    </row>
    <row r="633" spans="12:12" x14ac:dyDescent="0.4">
      <c r="L633" s="164"/>
    </row>
    <row r="634" spans="12:12" x14ac:dyDescent="0.4">
      <c r="L634" s="164"/>
    </row>
    <row r="635" spans="12:12" x14ac:dyDescent="0.4">
      <c r="L635" s="164"/>
    </row>
    <row r="636" spans="12:12" x14ac:dyDescent="0.4">
      <c r="L636" s="164"/>
    </row>
    <row r="637" spans="12:12" x14ac:dyDescent="0.4">
      <c r="L637" s="164"/>
    </row>
    <row r="638" spans="12:12" x14ac:dyDescent="0.4">
      <c r="L638" s="164"/>
    </row>
    <row r="639" spans="12:12" x14ac:dyDescent="0.4">
      <c r="L639" s="164"/>
    </row>
    <row r="640" spans="12:12" x14ac:dyDescent="0.4">
      <c r="L640" s="164"/>
    </row>
    <row r="641" spans="12:12" x14ac:dyDescent="0.4">
      <c r="L641" s="164"/>
    </row>
    <row r="642" spans="12:12" x14ac:dyDescent="0.4">
      <c r="L642" s="164"/>
    </row>
    <row r="643" spans="12:12" x14ac:dyDescent="0.4">
      <c r="L643" s="164"/>
    </row>
    <row r="644" spans="12:12" x14ac:dyDescent="0.4">
      <c r="L644" s="164"/>
    </row>
    <row r="645" spans="12:12" x14ac:dyDescent="0.4">
      <c r="L645" s="164"/>
    </row>
    <row r="646" spans="12:12" x14ac:dyDescent="0.4">
      <c r="L646" s="164"/>
    </row>
    <row r="647" spans="12:12" x14ac:dyDescent="0.4">
      <c r="L647" s="164"/>
    </row>
    <row r="648" spans="12:12" x14ac:dyDescent="0.4">
      <c r="L648" s="164"/>
    </row>
    <row r="649" spans="12:12" x14ac:dyDescent="0.4">
      <c r="L649" s="164"/>
    </row>
    <row r="650" spans="12:12" x14ac:dyDescent="0.4">
      <c r="L650" s="164"/>
    </row>
    <row r="651" spans="12:12" x14ac:dyDescent="0.4">
      <c r="L651" s="164"/>
    </row>
    <row r="652" spans="12:12" x14ac:dyDescent="0.4">
      <c r="L652" s="164"/>
    </row>
    <row r="653" spans="12:12" x14ac:dyDescent="0.4">
      <c r="L653" s="164"/>
    </row>
    <row r="654" spans="12:12" x14ac:dyDescent="0.4">
      <c r="L654" s="164"/>
    </row>
    <row r="655" spans="12:12" x14ac:dyDescent="0.4">
      <c r="L655" s="164"/>
    </row>
    <row r="656" spans="12:12" x14ac:dyDescent="0.4">
      <c r="L656" s="164"/>
    </row>
    <row r="657" spans="12:12" x14ac:dyDescent="0.4">
      <c r="L657" s="164"/>
    </row>
    <row r="658" spans="12:12" x14ac:dyDescent="0.4">
      <c r="L658" s="164"/>
    </row>
    <row r="659" spans="12:12" x14ac:dyDescent="0.4">
      <c r="L659" s="164"/>
    </row>
    <row r="660" spans="12:12" x14ac:dyDescent="0.4">
      <c r="L660" s="164"/>
    </row>
    <row r="661" spans="12:12" x14ac:dyDescent="0.4">
      <c r="L661" s="164"/>
    </row>
    <row r="662" spans="12:12" x14ac:dyDescent="0.4">
      <c r="L662" s="164"/>
    </row>
    <row r="663" spans="12:12" x14ac:dyDescent="0.4">
      <c r="L663" s="164"/>
    </row>
    <row r="664" spans="12:12" x14ac:dyDescent="0.4">
      <c r="L664" s="164"/>
    </row>
    <row r="665" spans="12:12" x14ac:dyDescent="0.4">
      <c r="L665" s="164"/>
    </row>
    <row r="666" spans="12:12" x14ac:dyDescent="0.4">
      <c r="L666" s="164"/>
    </row>
    <row r="667" spans="12:12" x14ac:dyDescent="0.4">
      <c r="L667" s="164"/>
    </row>
    <row r="668" spans="12:12" x14ac:dyDescent="0.4">
      <c r="L668" s="164"/>
    </row>
    <row r="669" spans="12:12" x14ac:dyDescent="0.4">
      <c r="L669" s="164"/>
    </row>
    <row r="670" spans="12:12" x14ac:dyDescent="0.4">
      <c r="L670" s="164"/>
    </row>
    <row r="671" spans="12:12" x14ac:dyDescent="0.4">
      <c r="L671" s="164"/>
    </row>
    <row r="672" spans="12:12" x14ac:dyDescent="0.4">
      <c r="L672" s="164"/>
    </row>
    <row r="673" spans="12:12" x14ac:dyDescent="0.4">
      <c r="L673" s="164"/>
    </row>
    <row r="674" spans="12:12" x14ac:dyDescent="0.4">
      <c r="L674" s="164"/>
    </row>
    <row r="675" spans="12:12" x14ac:dyDescent="0.4">
      <c r="L675" s="164"/>
    </row>
    <row r="676" spans="12:12" x14ac:dyDescent="0.4">
      <c r="L676" s="164"/>
    </row>
    <row r="677" spans="12:12" x14ac:dyDescent="0.4">
      <c r="L677" s="164"/>
    </row>
    <row r="678" spans="12:12" x14ac:dyDescent="0.4">
      <c r="L678" s="164"/>
    </row>
    <row r="679" spans="12:12" x14ac:dyDescent="0.4">
      <c r="L679" s="164"/>
    </row>
    <row r="680" spans="12:12" x14ac:dyDescent="0.4">
      <c r="L680" s="164"/>
    </row>
    <row r="681" spans="12:12" x14ac:dyDescent="0.4">
      <c r="L681" s="164"/>
    </row>
    <row r="682" spans="12:12" x14ac:dyDescent="0.4">
      <c r="L682" s="164"/>
    </row>
    <row r="683" spans="12:12" x14ac:dyDescent="0.4">
      <c r="L683" s="164"/>
    </row>
    <row r="684" spans="12:12" x14ac:dyDescent="0.4">
      <c r="L684" s="164"/>
    </row>
    <row r="685" spans="12:12" x14ac:dyDescent="0.4">
      <c r="L685" s="164"/>
    </row>
    <row r="686" spans="12:12" x14ac:dyDescent="0.4">
      <c r="L686" s="164"/>
    </row>
    <row r="687" spans="12:12" x14ac:dyDescent="0.4">
      <c r="L687" s="164"/>
    </row>
    <row r="688" spans="12:12" x14ac:dyDescent="0.4">
      <c r="L688" s="164"/>
    </row>
    <row r="689" spans="12:12" x14ac:dyDescent="0.4">
      <c r="L689" s="164"/>
    </row>
    <row r="690" spans="12:12" x14ac:dyDescent="0.4">
      <c r="L690" s="164"/>
    </row>
    <row r="691" spans="12:12" x14ac:dyDescent="0.4">
      <c r="L691" s="164"/>
    </row>
    <row r="692" spans="12:12" x14ac:dyDescent="0.4">
      <c r="L692" s="164"/>
    </row>
    <row r="693" spans="12:12" x14ac:dyDescent="0.4">
      <c r="L693" s="164"/>
    </row>
    <row r="694" spans="12:12" x14ac:dyDescent="0.4">
      <c r="L694" s="164"/>
    </row>
    <row r="695" spans="12:12" x14ac:dyDescent="0.4">
      <c r="L695" s="164"/>
    </row>
    <row r="696" spans="12:12" x14ac:dyDescent="0.4">
      <c r="L696" s="164"/>
    </row>
    <row r="697" spans="12:12" x14ac:dyDescent="0.4">
      <c r="L697" s="164"/>
    </row>
    <row r="698" spans="12:12" x14ac:dyDescent="0.4">
      <c r="L698" s="164"/>
    </row>
    <row r="699" spans="12:12" x14ac:dyDescent="0.4">
      <c r="L699" s="164"/>
    </row>
    <row r="700" spans="12:12" x14ac:dyDescent="0.4">
      <c r="L700" s="164"/>
    </row>
    <row r="701" spans="12:12" x14ac:dyDescent="0.4">
      <c r="L701" s="164"/>
    </row>
    <row r="702" spans="12:12" x14ac:dyDescent="0.4">
      <c r="L702" s="164"/>
    </row>
    <row r="703" spans="12:12" x14ac:dyDescent="0.4">
      <c r="L703" s="164"/>
    </row>
    <row r="704" spans="12:12" x14ac:dyDescent="0.4">
      <c r="L704" s="164"/>
    </row>
    <row r="705" spans="12:12" x14ac:dyDescent="0.4">
      <c r="L705" s="164"/>
    </row>
    <row r="706" spans="12:12" x14ac:dyDescent="0.4">
      <c r="L706" s="164"/>
    </row>
    <row r="707" spans="12:12" x14ac:dyDescent="0.4">
      <c r="L707" s="164"/>
    </row>
    <row r="708" spans="12:12" x14ac:dyDescent="0.4">
      <c r="L708" s="164"/>
    </row>
    <row r="709" spans="12:12" x14ac:dyDescent="0.4">
      <c r="L709" s="164"/>
    </row>
    <row r="710" spans="12:12" x14ac:dyDescent="0.4">
      <c r="L710" s="164"/>
    </row>
    <row r="711" spans="12:12" x14ac:dyDescent="0.4">
      <c r="L711" s="164"/>
    </row>
    <row r="712" spans="12:12" x14ac:dyDescent="0.4">
      <c r="L712" s="164"/>
    </row>
    <row r="713" spans="12:12" x14ac:dyDescent="0.4">
      <c r="L713" s="164"/>
    </row>
    <row r="714" spans="12:12" x14ac:dyDescent="0.4">
      <c r="L714" s="164"/>
    </row>
    <row r="715" spans="12:12" x14ac:dyDescent="0.4">
      <c r="L715" s="164"/>
    </row>
    <row r="716" spans="12:12" x14ac:dyDescent="0.4">
      <c r="L716" s="164"/>
    </row>
    <row r="717" spans="12:12" x14ac:dyDescent="0.4">
      <c r="L717" s="164"/>
    </row>
    <row r="718" spans="12:12" x14ac:dyDescent="0.4">
      <c r="L718" s="164"/>
    </row>
    <row r="719" spans="12:12" x14ac:dyDescent="0.4">
      <c r="L719" s="164"/>
    </row>
    <row r="720" spans="12:12" x14ac:dyDescent="0.4">
      <c r="L720" s="164"/>
    </row>
    <row r="721" spans="12:12" x14ac:dyDescent="0.4">
      <c r="L721" s="164"/>
    </row>
    <row r="722" spans="12:12" x14ac:dyDescent="0.4">
      <c r="L722" s="164"/>
    </row>
    <row r="723" spans="12:12" x14ac:dyDescent="0.4">
      <c r="L723" s="164"/>
    </row>
    <row r="724" spans="12:12" x14ac:dyDescent="0.4">
      <c r="L724" s="164"/>
    </row>
    <row r="725" spans="12:12" x14ac:dyDescent="0.4">
      <c r="L725" s="164"/>
    </row>
    <row r="726" spans="12:12" x14ac:dyDescent="0.4">
      <c r="L726" s="164"/>
    </row>
    <row r="727" spans="12:12" x14ac:dyDescent="0.4">
      <c r="L727" s="164"/>
    </row>
    <row r="728" spans="12:12" x14ac:dyDescent="0.4">
      <c r="L728" s="164"/>
    </row>
    <row r="729" spans="12:12" x14ac:dyDescent="0.4">
      <c r="L729" s="164"/>
    </row>
    <row r="730" spans="12:12" x14ac:dyDescent="0.4">
      <c r="L730" s="164"/>
    </row>
    <row r="731" spans="12:12" x14ac:dyDescent="0.4">
      <c r="L731" s="164"/>
    </row>
    <row r="732" spans="12:12" x14ac:dyDescent="0.4">
      <c r="L732" s="164"/>
    </row>
    <row r="733" spans="12:12" x14ac:dyDescent="0.4">
      <c r="L733" s="164"/>
    </row>
    <row r="734" spans="12:12" x14ac:dyDescent="0.4">
      <c r="L734" s="164"/>
    </row>
    <row r="735" spans="12:12" x14ac:dyDescent="0.4">
      <c r="L735" s="164"/>
    </row>
    <row r="736" spans="12:12" x14ac:dyDescent="0.4">
      <c r="L736" s="164"/>
    </row>
    <row r="737" spans="12:12" x14ac:dyDescent="0.4">
      <c r="L737" s="164"/>
    </row>
    <row r="738" spans="12:12" x14ac:dyDescent="0.4">
      <c r="L738" s="164"/>
    </row>
    <row r="739" spans="12:12" x14ac:dyDescent="0.4">
      <c r="L739" s="164"/>
    </row>
    <row r="740" spans="12:12" x14ac:dyDescent="0.4">
      <c r="L740" s="164"/>
    </row>
    <row r="741" spans="12:12" x14ac:dyDescent="0.4">
      <c r="L741" s="164"/>
    </row>
    <row r="742" spans="12:12" x14ac:dyDescent="0.4">
      <c r="L742" s="164"/>
    </row>
    <row r="743" spans="12:12" x14ac:dyDescent="0.4">
      <c r="L743" s="164"/>
    </row>
    <row r="744" spans="12:12" x14ac:dyDescent="0.4">
      <c r="L744" s="164"/>
    </row>
    <row r="745" spans="12:12" x14ac:dyDescent="0.4">
      <c r="L745" s="164"/>
    </row>
    <row r="746" spans="12:12" x14ac:dyDescent="0.4">
      <c r="L746" s="164"/>
    </row>
    <row r="747" spans="12:12" x14ac:dyDescent="0.4">
      <c r="L747" s="164"/>
    </row>
    <row r="748" spans="12:12" x14ac:dyDescent="0.4">
      <c r="L748" s="164"/>
    </row>
    <row r="749" spans="12:12" x14ac:dyDescent="0.4">
      <c r="L749" s="164"/>
    </row>
    <row r="750" spans="12:12" x14ac:dyDescent="0.4">
      <c r="L750" s="164"/>
    </row>
    <row r="751" spans="12:12" x14ac:dyDescent="0.4">
      <c r="L751" s="164"/>
    </row>
    <row r="752" spans="12:12" x14ac:dyDescent="0.4">
      <c r="L752" s="164"/>
    </row>
    <row r="753" spans="12:12" x14ac:dyDescent="0.4">
      <c r="L753" s="164"/>
    </row>
    <row r="754" spans="12:12" x14ac:dyDescent="0.4">
      <c r="L754" s="164"/>
    </row>
    <row r="755" spans="12:12" x14ac:dyDescent="0.4">
      <c r="L755" s="164"/>
    </row>
    <row r="756" spans="12:12" x14ac:dyDescent="0.4">
      <c r="L756" s="164"/>
    </row>
    <row r="757" spans="12:12" x14ac:dyDescent="0.4">
      <c r="L757" s="164"/>
    </row>
    <row r="758" spans="12:12" x14ac:dyDescent="0.4">
      <c r="L758" s="164"/>
    </row>
    <row r="759" spans="12:12" x14ac:dyDescent="0.4">
      <c r="L759" s="164"/>
    </row>
    <row r="760" spans="12:12" x14ac:dyDescent="0.4">
      <c r="L760" s="164"/>
    </row>
    <row r="761" spans="12:12" x14ac:dyDescent="0.4">
      <c r="L761" s="164"/>
    </row>
    <row r="762" spans="12:12" x14ac:dyDescent="0.4">
      <c r="L762" s="164"/>
    </row>
    <row r="763" spans="12:12" x14ac:dyDescent="0.4">
      <c r="L763" s="164"/>
    </row>
    <row r="764" spans="12:12" x14ac:dyDescent="0.4">
      <c r="L764" s="164"/>
    </row>
    <row r="765" spans="12:12" x14ac:dyDescent="0.4">
      <c r="L765" s="164"/>
    </row>
    <row r="766" spans="12:12" x14ac:dyDescent="0.4">
      <c r="L766" s="164"/>
    </row>
    <row r="767" spans="12:12" x14ac:dyDescent="0.4">
      <c r="L767" s="164"/>
    </row>
    <row r="768" spans="12:12" x14ac:dyDescent="0.4">
      <c r="L768" s="164"/>
    </row>
    <row r="769" spans="12:12" x14ac:dyDescent="0.4">
      <c r="L769" s="164"/>
    </row>
    <row r="770" spans="12:12" x14ac:dyDescent="0.4">
      <c r="L770" s="164"/>
    </row>
    <row r="771" spans="12:12" x14ac:dyDescent="0.4">
      <c r="L771" s="164"/>
    </row>
    <row r="772" spans="12:12" x14ac:dyDescent="0.4">
      <c r="L772" s="164"/>
    </row>
    <row r="773" spans="12:12" x14ac:dyDescent="0.4">
      <c r="L773" s="164"/>
    </row>
    <row r="774" spans="12:12" x14ac:dyDescent="0.4">
      <c r="L774" s="164"/>
    </row>
    <row r="775" spans="12:12" x14ac:dyDescent="0.4">
      <c r="L775" s="164"/>
    </row>
    <row r="776" spans="12:12" x14ac:dyDescent="0.4">
      <c r="L776" s="164"/>
    </row>
    <row r="777" spans="12:12" x14ac:dyDescent="0.4">
      <c r="L777" s="164"/>
    </row>
    <row r="778" spans="12:12" x14ac:dyDescent="0.4">
      <c r="L778" s="164"/>
    </row>
    <row r="779" spans="12:12" x14ac:dyDescent="0.4">
      <c r="L779" s="164"/>
    </row>
    <row r="780" spans="12:12" x14ac:dyDescent="0.4">
      <c r="L780" s="164"/>
    </row>
    <row r="781" spans="12:12" x14ac:dyDescent="0.4">
      <c r="L781" s="164"/>
    </row>
    <row r="782" spans="12:12" x14ac:dyDescent="0.4">
      <c r="L782" s="164"/>
    </row>
    <row r="783" spans="12:12" x14ac:dyDescent="0.4">
      <c r="L783" s="164"/>
    </row>
    <row r="784" spans="12:12" x14ac:dyDescent="0.4">
      <c r="L784" s="164"/>
    </row>
    <row r="785" spans="12:12" x14ac:dyDescent="0.4">
      <c r="L785" s="164"/>
    </row>
    <row r="786" spans="12:12" x14ac:dyDescent="0.4">
      <c r="L786" s="164"/>
    </row>
    <row r="787" spans="12:12" x14ac:dyDescent="0.4">
      <c r="L787" s="164"/>
    </row>
    <row r="788" spans="12:12" x14ac:dyDescent="0.4">
      <c r="L788" s="164"/>
    </row>
    <row r="789" spans="12:12" x14ac:dyDescent="0.4">
      <c r="L789" s="164"/>
    </row>
    <row r="790" spans="12:12" x14ac:dyDescent="0.4">
      <c r="L790" s="164"/>
    </row>
    <row r="791" spans="12:12" x14ac:dyDescent="0.4">
      <c r="L791" s="164"/>
    </row>
    <row r="792" spans="12:12" x14ac:dyDescent="0.4">
      <c r="L792" s="164"/>
    </row>
    <row r="793" spans="12:12" x14ac:dyDescent="0.4">
      <c r="L793" s="164"/>
    </row>
    <row r="794" spans="12:12" x14ac:dyDescent="0.4">
      <c r="L794" s="164"/>
    </row>
    <row r="795" spans="12:12" x14ac:dyDescent="0.4">
      <c r="L795" s="164"/>
    </row>
    <row r="796" spans="12:12" x14ac:dyDescent="0.4">
      <c r="L796" s="164"/>
    </row>
    <row r="797" spans="12:12" x14ac:dyDescent="0.4">
      <c r="L797" s="164"/>
    </row>
    <row r="798" spans="12:12" x14ac:dyDescent="0.4">
      <c r="L798" s="164"/>
    </row>
    <row r="799" spans="12:12" x14ac:dyDescent="0.4">
      <c r="L799" s="164"/>
    </row>
    <row r="800" spans="12:12" x14ac:dyDescent="0.4">
      <c r="L800" s="164"/>
    </row>
    <row r="801" spans="12:12" x14ac:dyDescent="0.4">
      <c r="L801" s="164"/>
    </row>
    <row r="802" spans="12:12" x14ac:dyDescent="0.4">
      <c r="L802" s="164"/>
    </row>
    <row r="803" spans="12:12" x14ac:dyDescent="0.4">
      <c r="L803" s="164"/>
    </row>
    <row r="804" spans="12:12" x14ac:dyDescent="0.4">
      <c r="L804" s="164"/>
    </row>
    <row r="805" spans="12:12" x14ac:dyDescent="0.4">
      <c r="L805" s="164"/>
    </row>
    <row r="806" spans="12:12" x14ac:dyDescent="0.4">
      <c r="L806" s="164"/>
    </row>
    <row r="807" spans="12:12" x14ac:dyDescent="0.4">
      <c r="L807" s="164"/>
    </row>
    <row r="808" spans="12:12" x14ac:dyDescent="0.4">
      <c r="L808" s="164"/>
    </row>
    <row r="809" spans="12:12" x14ac:dyDescent="0.4">
      <c r="L809" s="164"/>
    </row>
    <row r="810" spans="12:12" x14ac:dyDescent="0.4">
      <c r="L810" s="164"/>
    </row>
    <row r="811" spans="12:12" x14ac:dyDescent="0.4">
      <c r="L811" s="164"/>
    </row>
    <row r="812" spans="12:12" x14ac:dyDescent="0.4">
      <c r="L812" s="164"/>
    </row>
    <row r="813" spans="12:12" x14ac:dyDescent="0.4">
      <c r="L813" s="164"/>
    </row>
    <row r="814" spans="12:12" x14ac:dyDescent="0.4">
      <c r="L814" s="164"/>
    </row>
    <row r="815" spans="12:12" x14ac:dyDescent="0.4">
      <c r="L815" s="164"/>
    </row>
    <row r="816" spans="12:12" x14ac:dyDescent="0.4">
      <c r="L816" s="164"/>
    </row>
    <row r="817" spans="12:12" x14ac:dyDescent="0.4">
      <c r="L817" s="164"/>
    </row>
    <row r="818" spans="12:12" x14ac:dyDescent="0.4">
      <c r="L818" s="164"/>
    </row>
    <row r="819" spans="12:12" x14ac:dyDescent="0.4">
      <c r="L819" s="164"/>
    </row>
    <row r="820" spans="12:12" x14ac:dyDescent="0.4">
      <c r="L820" s="164"/>
    </row>
    <row r="821" spans="12:12" x14ac:dyDescent="0.4">
      <c r="L821" s="164"/>
    </row>
    <row r="822" spans="12:12" x14ac:dyDescent="0.4">
      <c r="L822" s="164"/>
    </row>
    <row r="823" spans="12:12" x14ac:dyDescent="0.4">
      <c r="L823" s="164"/>
    </row>
    <row r="824" spans="12:12" x14ac:dyDescent="0.4">
      <c r="L824" s="164"/>
    </row>
    <row r="825" spans="12:12" x14ac:dyDescent="0.4">
      <c r="L825" s="164"/>
    </row>
    <row r="826" spans="12:12" x14ac:dyDescent="0.4">
      <c r="L826" s="164"/>
    </row>
    <row r="827" spans="12:12" x14ac:dyDescent="0.4">
      <c r="L827" s="164"/>
    </row>
    <row r="828" spans="12:12" x14ac:dyDescent="0.4">
      <c r="L828" s="164"/>
    </row>
    <row r="829" spans="12:12" x14ac:dyDescent="0.4">
      <c r="L829" s="164"/>
    </row>
    <row r="830" spans="12:12" x14ac:dyDescent="0.4">
      <c r="L830" s="164"/>
    </row>
    <row r="831" spans="12:12" x14ac:dyDescent="0.4">
      <c r="L831" s="164"/>
    </row>
    <row r="832" spans="12:12" x14ac:dyDescent="0.4">
      <c r="L832" s="164"/>
    </row>
    <row r="833" spans="12:12" x14ac:dyDescent="0.4">
      <c r="L833" s="164"/>
    </row>
    <row r="834" spans="12:12" x14ac:dyDescent="0.4">
      <c r="L834" s="164"/>
    </row>
    <row r="835" spans="12:12" x14ac:dyDescent="0.4">
      <c r="L835" s="164"/>
    </row>
    <row r="836" spans="12:12" x14ac:dyDescent="0.4">
      <c r="L836" s="164"/>
    </row>
    <row r="837" spans="12:12" x14ac:dyDescent="0.4">
      <c r="L837" s="164"/>
    </row>
    <row r="838" spans="12:12" x14ac:dyDescent="0.4">
      <c r="L838" s="164"/>
    </row>
    <row r="839" spans="12:12" x14ac:dyDescent="0.4">
      <c r="L839" s="164"/>
    </row>
    <row r="840" spans="12:12" x14ac:dyDescent="0.4">
      <c r="L840" s="164"/>
    </row>
    <row r="841" spans="12:12" x14ac:dyDescent="0.4">
      <c r="L841" s="164"/>
    </row>
    <row r="842" spans="12:12" x14ac:dyDescent="0.4">
      <c r="L842" s="164"/>
    </row>
    <row r="843" spans="12:12" x14ac:dyDescent="0.4">
      <c r="L843" s="164"/>
    </row>
    <row r="844" spans="12:12" x14ac:dyDescent="0.4">
      <c r="L844" s="164"/>
    </row>
    <row r="845" spans="12:12" x14ac:dyDescent="0.4">
      <c r="L845" s="164"/>
    </row>
    <row r="846" spans="12:12" x14ac:dyDescent="0.4">
      <c r="L846" s="164"/>
    </row>
    <row r="847" spans="12:12" x14ac:dyDescent="0.4">
      <c r="L847" s="164"/>
    </row>
  </sheetData>
  <autoFilter ref="A2:N393" xr:uid="{00000000-0009-0000-0000-000001000000}"/>
  <phoneticPr fontId="0" type="noConversion"/>
  <conditionalFormatting sqref="U305:U386 U270:U302 U232:U237 U240:U267 U205:U228 U3:U44 U47:U202 AA47:AA202 AA305:AA386 AA270:AA302 AA232:AA237 AA240:AA267 AA205:AA228 AA3:AA44 AB3:AB393 A1:L1">
    <cfRule type="cellIs" dxfId="27" priority="3" stopIfTrue="1" operator="equal">
      <formula>0</formula>
    </cfRule>
  </conditionalFormatting>
  <conditionalFormatting sqref="AL4:AL50 AG6 AG25 AG29">
    <cfRule type="expression" dxfId="26" priority="5" stopIfTrue="1">
      <formula>BG4=0</formula>
    </cfRule>
  </conditionalFormatting>
  <conditionalFormatting sqref="E305:E386 E270:E302 E232:E237 E240:E267 E205:E228 E47:E202 F3:F392 A3:D393 H273:H289 H291:H294 H297:H298 H300:H386 G3:G393 H3:I126 I127 I273:I393 L267:L277 H128:I272 K3:K393 E3:E44">
    <cfRule type="cellIs" dxfId="25" priority="1" stopIfTrue="1" operator="equal">
      <formula>0</formula>
    </cfRule>
  </conditionalFormatting>
  <dataValidations count="1">
    <dataValidation type="list" allowBlank="1" showInputMessage="1" showErrorMessage="1" sqref="AB3:AB126 AB128:AB384 I3:I126 K3:K126 K128:K384 I128:I384" xr:uid="{00000000-0002-0000-0100-000000000000}">
      <formula1>Yes_No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indexed="57"/>
    <pageSetUpPr fitToPage="1"/>
  </sheetPr>
  <dimension ref="A1:AH766"/>
  <sheetViews>
    <sheetView topLeftCell="Q1" zoomScaleNormal="100" zoomScaleSheetLayoutView="75" workbookViewId="0">
      <pane ySplit="6" topLeftCell="A31" activePane="bottomLeft" state="frozen"/>
      <selection activeCell="B445" sqref="B445"/>
      <selection pane="bottomLeft" activeCell="Q15" sqref="Q15"/>
    </sheetView>
  </sheetViews>
  <sheetFormatPr defaultColWidth="9.1640625" defaultRowHeight="14.25" customHeight="1" x14ac:dyDescent="0.4"/>
  <cols>
    <col min="1" max="1" width="12.83203125" customWidth="1"/>
    <col min="2" max="2" width="12.1640625" style="1" customWidth="1"/>
    <col min="3" max="3" width="3" style="1" hidden="1" customWidth="1"/>
    <col min="4" max="4" width="5.5546875" style="1" bestFit="1" customWidth="1"/>
    <col min="5" max="5" width="14.5546875" style="1" bestFit="1" customWidth="1"/>
    <col min="6" max="6" width="11.5546875" style="1" customWidth="1"/>
    <col min="7" max="7" width="8.5546875" style="1" customWidth="1"/>
    <col min="8" max="8" width="8.5546875" style="1" bestFit="1" customWidth="1"/>
    <col min="9" max="9" width="16" style="1" bestFit="1" customWidth="1"/>
    <col min="10" max="10" width="12.27734375" style="2" bestFit="1" customWidth="1"/>
    <col min="11" max="11" width="14.27734375" style="2" customWidth="1"/>
    <col min="12" max="12" width="12.27734375" style="2" customWidth="1"/>
    <col min="13" max="13" width="26.44140625" style="2" customWidth="1"/>
    <col min="14" max="14" width="18.71875" style="1" bestFit="1" customWidth="1"/>
    <col min="15" max="15" width="11.5546875" style="1" bestFit="1" customWidth="1"/>
    <col min="16" max="16" width="11" style="1" customWidth="1"/>
    <col min="17" max="17" width="22.5546875" style="1" bestFit="1" customWidth="1"/>
    <col min="18" max="18" width="36" style="3" bestFit="1" customWidth="1"/>
    <col min="19" max="20" width="11.71875" customWidth="1"/>
    <col min="21" max="22" width="10.71875" style="1" customWidth="1"/>
    <col min="23" max="23" width="10.71875" style="72" customWidth="1"/>
    <col min="24" max="24" width="13.71875" style="1" bestFit="1" customWidth="1"/>
    <col min="25" max="25" width="14.83203125" style="1" bestFit="1" customWidth="1"/>
    <col min="26" max="26" width="11.27734375" style="1" customWidth="1"/>
    <col min="27" max="27" width="13.1640625" style="1" bestFit="1" customWidth="1"/>
    <col min="28" max="32" width="9.1640625" style="1"/>
    <col min="33" max="33" width="8.83203125" customWidth="1"/>
    <col min="34" max="34" width="11.1640625" style="1" customWidth="1"/>
    <col min="35" max="16384" width="9.1640625" style="1"/>
  </cols>
  <sheetData>
    <row r="1" spans="1:34" ht="39" customHeight="1" thickBot="1" x14ac:dyDescent="0.45">
      <c r="J1" s="15" t="s">
        <v>409</v>
      </c>
      <c r="R1" s="26" t="s">
        <v>548</v>
      </c>
      <c r="S1" s="26" t="s">
        <v>551</v>
      </c>
      <c r="T1" s="26"/>
      <c r="U1" s="26" t="s">
        <v>547</v>
      </c>
      <c r="V1" s="26"/>
      <c r="W1" s="26"/>
    </row>
    <row r="2" spans="1:34" ht="14.25" customHeight="1" thickBot="1" x14ac:dyDescent="0.45">
      <c r="J2" s="25" t="s">
        <v>412</v>
      </c>
      <c r="W2" s="1"/>
      <c r="AE2" s="1">
        <v>39</v>
      </c>
    </row>
    <row r="3" spans="1:34" ht="14.25" customHeight="1" x14ac:dyDescent="0.4">
      <c r="W3" s="1"/>
    </row>
    <row r="4" spans="1:34" ht="14.25" customHeight="1" x14ac:dyDescent="0.4">
      <c r="K4" s="2" t="s">
        <v>1318</v>
      </c>
      <c r="M4" s="2">
        <v>40185</v>
      </c>
      <c r="W4" s="1"/>
    </row>
    <row r="5" spans="1:34" ht="14.25" customHeight="1" thickBot="1" x14ac:dyDescent="0.45">
      <c r="S5" s="31" t="s">
        <v>544</v>
      </c>
      <c r="T5" s="31"/>
      <c r="U5" s="31" t="s">
        <v>544</v>
      </c>
      <c r="W5" s="1"/>
    </row>
    <row r="6" spans="1:34" s="10" customFormat="1" ht="28.5" customHeight="1" thickBot="1" x14ac:dyDescent="0.45">
      <c r="A6" s="10" t="s">
        <v>598</v>
      </c>
      <c r="B6" s="39" t="s">
        <v>468</v>
      </c>
      <c r="C6" s="40" t="s">
        <v>554</v>
      </c>
      <c r="D6" s="19" t="s">
        <v>423</v>
      </c>
      <c r="E6" s="19" t="s">
        <v>469</v>
      </c>
      <c r="F6" s="19" t="s">
        <v>1455</v>
      </c>
      <c r="G6" s="19" t="s">
        <v>431</v>
      </c>
      <c r="H6" s="19" t="s">
        <v>470</v>
      </c>
      <c r="I6" s="21" t="s">
        <v>537</v>
      </c>
      <c r="J6" s="21" t="s">
        <v>552</v>
      </c>
      <c r="K6" s="10" t="s">
        <v>409</v>
      </c>
      <c r="L6" s="10" t="s">
        <v>432</v>
      </c>
      <c r="M6" s="10" t="s">
        <v>419</v>
      </c>
      <c r="N6" s="10" t="s">
        <v>394</v>
      </c>
      <c r="O6" s="10" t="s">
        <v>405</v>
      </c>
      <c r="P6" s="10" t="s">
        <v>401</v>
      </c>
      <c r="Q6" s="10" t="s">
        <v>433</v>
      </c>
      <c r="R6" s="10" t="s">
        <v>543</v>
      </c>
      <c r="S6" s="10" t="s">
        <v>603</v>
      </c>
      <c r="T6" s="41" t="s">
        <v>602</v>
      </c>
      <c r="U6" s="10" t="s">
        <v>427</v>
      </c>
      <c r="V6" s="41" t="s">
        <v>596</v>
      </c>
      <c r="W6" s="73" t="s">
        <v>1332</v>
      </c>
      <c r="X6" s="10" t="s">
        <v>546</v>
      </c>
      <c r="Y6" s="10" t="s">
        <v>545</v>
      </c>
      <c r="Z6" s="19" t="s">
        <v>593</v>
      </c>
      <c r="AA6" s="10" t="s">
        <v>296</v>
      </c>
      <c r="AG6" s="10" t="s">
        <v>1456</v>
      </c>
      <c r="AH6" s="10" t="s">
        <v>1451</v>
      </c>
    </row>
    <row r="7" spans="1:34" s="16" customFormat="1" ht="14.25" customHeight="1" thickTop="1" x14ac:dyDescent="0.4">
      <c r="A7"/>
      <c r="B7" s="22">
        <v>0</v>
      </c>
      <c r="C7" s="22" t="s">
        <v>2102</v>
      </c>
      <c r="D7" s="22">
        <v>0</v>
      </c>
      <c r="E7" s="24">
        <v>40050</v>
      </c>
      <c r="F7" s="24" t="s">
        <v>393</v>
      </c>
      <c r="G7" s="24">
        <v>40056</v>
      </c>
      <c r="H7" s="23">
        <v>0</v>
      </c>
      <c r="I7" s="23">
        <v>40026</v>
      </c>
      <c r="J7" s="37">
        <v>36</v>
      </c>
      <c r="K7" s="24" t="s">
        <v>1367</v>
      </c>
      <c r="L7" s="24" t="s">
        <v>1991</v>
      </c>
      <c r="M7" s="24">
        <v>40030</v>
      </c>
      <c r="N7" s="22" t="s">
        <v>627</v>
      </c>
      <c r="O7" s="3">
        <v>9100108</v>
      </c>
      <c r="P7" s="22">
        <v>1010</v>
      </c>
      <c r="Q7" s="22" t="s">
        <v>1466</v>
      </c>
      <c r="R7" s="4" t="s">
        <v>1885</v>
      </c>
      <c r="S7" s="4" t="s">
        <v>404</v>
      </c>
      <c r="T7" s="59">
        <v>40221</v>
      </c>
      <c r="U7" s="4" t="s">
        <v>404</v>
      </c>
      <c r="V7" s="57">
        <v>40228</v>
      </c>
      <c r="W7" s="74">
        <v>0</v>
      </c>
      <c r="X7" s="9">
        <v>40130</v>
      </c>
      <c r="Y7" s="9"/>
      <c r="Z7" s="24" t="s">
        <v>393</v>
      </c>
      <c r="AF7" s="13">
        <v>39934</v>
      </c>
      <c r="AG7" s="16">
        <f t="array" ref="AG7">SUM((PO_Date&gt;=$AF7)*(PO_Date&lt;$AF8))</f>
        <v>0</v>
      </c>
      <c r="AH7" s="16">
        <f t="array" ref="AH7">SUM((Date_Committed&gt;=$AF7)*(Date_Committed&lt;$AF8))</f>
        <v>0</v>
      </c>
    </row>
    <row r="8" spans="1:34" s="16" customFormat="1" ht="14.25" customHeight="1" x14ac:dyDescent="0.4">
      <c r="A8"/>
      <c r="B8" s="22">
        <v>0</v>
      </c>
      <c r="C8" s="22" t="s">
        <v>2165</v>
      </c>
      <c r="D8" s="22">
        <v>0</v>
      </c>
      <c r="E8" s="24">
        <v>40054</v>
      </c>
      <c r="F8" s="24" t="s">
        <v>393</v>
      </c>
      <c r="G8" s="24">
        <v>40058</v>
      </c>
      <c r="H8" s="23">
        <v>0</v>
      </c>
      <c r="I8" s="23">
        <v>40026</v>
      </c>
      <c r="J8" s="37">
        <v>37</v>
      </c>
      <c r="K8" s="24" t="s">
        <v>1367</v>
      </c>
      <c r="L8" s="24" t="s">
        <v>1991</v>
      </c>
      <c r="M8" s="24">
        <v>40030</v>
      </c>
      <c r="N8" s="22" t="s">
        <v>627</v>
      </c>
      <c r="O8" s="3">
        <v>9100109</v>
      </c>
      <c r="P8" s="22">
        <v>1010</v>
      </c>
      <c r="Q8" s="22" t="s">
        <v>1467</v>
      </c>
      <c r="R8" s="4" t="s">
        <v>1395</v>
      </c>
      <c r="S8" s="4" t="s">
        <v>404</v>
      </c>
      <c r="T8" s="59">
        <v>40170</v>
      </c>
      <c r="U8" s="4" t="s">
        <v>404</v>
      </c>
      <c r="V8" s="57">
        <v>40247</v>
      </c>
      <c r="W8" s="74">
        <v>0</v>
      </c>
      <c r="X8" s="28">
        <v>40130</v>
      </c>
      <c r="Y8" s="28"/>
      <c r="Z8" s="24" t="s">
        <v>393</v>
      </c>
      <c r="AF8" s="13">
        <v>39965</v>
      </c>
      <c r="AG8" s="16">
        <f t="array" ref="AG8">SUM((PO_Date&gt;=$AF8)*(PO_Date&lt;$AF9))</f>
        <v>18</v>
      </c>
      <c r="AH8" s="16">
        <f t="array" ref="AH8">SUM((Date_Committed&gt;=$AF8)*(Date_Committed&lt;$AF9))</f>
        <v>0</v>
      </c>
    </row>
    <row r="9" spans="1:34" ht="14.25" customHeight="1" x14ac:dyDescent="0.4">
      <c r="B9" s="22">
        <v>0</v>
      </c>
      <c r="C9" s="22">
        <v>0</v>
      </c>
      <c r="D9" s="22">
        <v>0</v>
      </c>
      <c r="E9" s="24">
        <v>40049</v>
      </c>
      <c r="F9" s="24" t="s">
        <v>393</v>
      </c>
      <c r="G9" s="24">
        <v>40052</v>
      </c>
      <c r="H9" s="23">
        <v>0</v>
      </c>
      <c r="I9" s="23">
        <v>40026</v>
      </c>
      <c r="J9" s="37">
        <v>33</v>
      </c>
      <c r="K9" s="24" t="s">
        <v>1367</v>
      </c>
      <c r="L9" s="24">
        <v>0</v>
      </c>
      <c r="M9" s="24">
        <v>40011</v>
      </c>
      <c r="N9" s="22" t="s">
        <v>671</v>
      </c>
      <c r="O9" s="4">
        <v>9100081</v>
      </c>
      <c r="P9" s="22">
        <v>1010</v>
      </c>
      <c r="Q9" s="22" t="s">
        <v>1343</v>
      </c>
      <c r="R9" s="4" t="s">
        <v>1695</v>
      </c>
      <c r="S9" s="4" t="s">
        <v>404</v>
      </c>
      <c r="T9" s="59">
        <v>40262</v>
      </c>
      <c r="U9" s="4" t="s">
        <v>404</v>
      </c>
      <c r="V9" s="57">
        <v>40269</v>
      </c>
      <c r="W9" s="75">
        <v>0</v>
      </c>
      <c r="X9" s="28">
        <v>40164</v>
      </c>
      <c r="Y9" s="28"/>
      <c r="Z9" s="24" t="s">
        <v>393</v>
      </c>
      <c r="AA9" s="16"/>
      <c r="AF9" s="13">
        <v>39995</v>
      </c>
      <c r="AG9" s="16">
        <f t="array" ref="AG9">SUM((PO_Date&gt;=$AF9)*(PO_Date&lt;$AF10))</f>
        <v>57</v>
      </c>
      <c r="AH9" s="16">
        <f t="array" ref="AH9">SUM((Date_Committed&gt;=$AF9)*(Date_Committed&lt;$AF10))</f>
        <v>5</v>
      </c>
    </row>
    <row r="10" spans="1:34" ht="14.25" customHeight="1" x14ac:dyDescent="0.4">
      <c r="B10" s="22">
        <v>0</v>
      </c>
      <c r="C10" s="22" t="s">
        <v>2165</v>
      </c>
      <c r="D10" s="22">
        <v>0</v>
      </c>
      <c r="E10" s="24">
        <v>40043</v>
      </c>
      <c r="F10" s="24" t="s">
        <v>393</v>
      </c>
      <c r="G10" s="24">
        <v>40049</v>
      </c>
      <c r="H10" s="23">
        <v>0</v>
      </c>
      <c r="I10" s="23">
        <v>40026</v>
      </c>
      <c r="J10" s="37">
        <v>24</v>
      </c>
      <c r="K10" s="24" t="s">
        <v>1367</v>
      </c>
      <c r="L10" s="24">
        <v>0</v>
      </c>
      <c r="M10" s="24">
        <v>40011</v>
      </c>
      <c r="N10" s="22" t="s">
        <v>671</v>
      </c>
      <c r="O10" s="4">
        <v>9100082</v>
      </c>
      <c r="P10" s="22">
        <v>1010</v>
      </c>
      <c r="Q10" s="22" t="s">
        <v>1344</v>
      </c>
      <c r="R10" s="4" t="s">
        <v>1698</v>
      </c>
      <c r="S10" s="4" t="s">
        <v>404</v>
      </c>
      <c r="T10" s="57">
        <v>40268</v>
      </c>
      <c r="U10" s="4" t="s">
        <v>404</v>
      </c>
      <c r="V10" s="57">
        <v>40273</v>
      </c>
      <c r="W10" s="75">
        <v>0</v>
      </c>
      <c r="X10" s="28">
        <v>40164</v>
      </c>
      <c r="Y10" s="28"/>
      <c r="Z10" s="24" t="s">
        <v>393</v>
      </c>
      <c r="AA10" s="16"/>
      <c r="AF10" s="13">
        <v>40026</v>
      </c>
      <c r="AG10" s="16">
        <f t="array" ref="AG10">SUM((PO_Date&gt;=$AF10)*(PO_Date&lt;$AF11))</f>
        <v>133</v>
      </c>
      <c r="AH10" s="16">
        <f t="array" ref="AH10">SUM((Date_Committed&gt;=$AF10)*(Date_Committed&lt;$AF11))</f>
        <v>18</v>
      </c>
    </row>
    <row r="11" spans="1:34" ht="14.25" customHeight="1" x14ac:dyDescent="0.4">
      <c r="A11" s="4"/>
      <c r="B11" s="22">
        <v>0</v>
      </c>
      <c r="C11" s="22" t="s">
        <v>2165</v>
      </c>
      <c r="D11" s="22">
        <v>0</v>
      </c>
      <c r="E11" s="24">
        <v>40337</v>
      </c>
      <c r="F11" s="24" t="s">
        <v>393</v>
      </c>
      <c r="G11" s="24">
        <v>40344</v>
      </c>
      <c r="H11" s="23">
        <v>0</v>
      </c>
      <c r="I11" s="23">
        <v>40330</v>
      </c>
      <c r="J11" s="37">
        <v>5</v>
      </c>
      <c r="K11" s="24" t="s">
        <v>1367</v>
      </c>
      <c r="L11" s="24" t="s">
        <v>1724</v>
      </c>
      <c r="M11" s="24">
        <v>40312</v>
      </c>
      <c r="N11" s="22" t="s">
        <v>671</v>
      </c>
      <c r="O11" s="4">
        <v>9101002</v>
      </c>
      <c r="P11" s="22">
        <v>1010</v>
      </c>
      <c r="Q11" s="22" t="s">
        <v>1725</v>
      </c>
      <c r="R11" s="4" t="s">
        <v>1800</v>
      </c>
      <c r="S11" s="38" t="s">
        <v>404</v>
      </c>
      <c r="T11" s="44">
        <v>40389</v>
      </c>
      <c r="U11" s="38" t="s">
        <v>404</v>
      </c>
      <c r="V11" s="9">
        <v>40390</v>
      </c>
      <c r="W11" s="74">
        <v>0</v>
      </c>
      <c r="X11" s="9">
        <v>40357</v>
      </c>
      <c r="Y11" s="9"/>
      <c r="Z11" s="24" t="s">
        <v>393</v>
      </c>
      <c r="AA11" s="16"/>
      <c r="AF11" s="13">
        <v>40057</v>
      </c>
      <c r="AG11" s="16">
        <f t="array" ref="AG11">SUM((PO_Date&gt;=$AF11)*(PO_Date&lt;$AF12))</f>
        <v>13</v>
      </c>
      <c r="AH11" s="16">
        <f t="array" ref="AH11">SUM((Date_Committed&gt;=$AF11)*(Date_Committed&lt;$AF12))</f>
        <v>32</v>
      </c>
    </row>
    <row r="12" spans="1:34" ht="14.25" customHeight="1" x14ac:dyDescent="0.4">
      <c r="B12" s="22">
        <v>0</v>
      </c>
      <c r="C12" s="22">
        <v>0</v>
      </c>
      <c r="D12" s="22">
        <v>0</v>
      </c>
      <c r="E12" s="24">
        <v>40337</v>
      </c>
      <c r="F12" s="24" t="s">
        <v>393</v>
      </c>
      <c r="G12" s="24">
        <v>40344</v>
      </c>
      <c r="H12" s="23">
        <v>0</v>
      </c>
      <c r="I12" s="23">
        <v>40330</v>
      </c>
      <c r="J12" s="37">
        <v>6</v>
      </c>
      <c r="K12" s="24" t="s">
        <v>1367</v>
      </c>
      <c r="L12" s="24" t="s">
        <v>1724</v>
      </c>
      <c r="M12" s="24">
        <v>40312</v>
      </c>
      <c r="N12" s="22" t="s">
        <v>671</v>
      </c>
      <c r="O12" s="4">
        <v>9101003</v>
      </c>
      <c r="P12" s="22">
        <v>1010</v>
      </c>
      <c r="Q12" s="22" t="s">
        <v>1726</v>
      </c>
      <c r="R12" s="4" t="s">
        <v>131</v>
      </c>
      <c r="S12" s="38" t="s">
        <v>404</v>
      </c>
      <c r="T12" s="44">
        <v>40647</v>
      </c>
      <c r="U12" s="38" t="s">
        <v>404</v>
      </c>
      <c r="V12" s="9">
        <v>40647</v>
      </c>
      <c r="W12" s="74">
        <v>0</v>
      </c>
      <c r="X12" s="9">
        <v>40357</v>
      </c>
      <c r="Y12" s="9"/>
      <c r="Z12" s="24" t="s">
        <v>393</v>
      </c>
      <c r="AA12" s="16"/>
      <c r="AF12" s="13">
        <v>40087</v>
      </c>
      <c r="AG12" s="16">
        <f t="array" ref="AG12">SUM((PO_Date&gt;=$AF12)*(PO_Date&lt;$AF13))</f>
        <v>10</v>
      </c>
      <c r="AH12" s="16">
        <f t="array" ref="AH12">SUM((Date_Committed&gt;=$AF12)*(Date_Committed&lt;$AF13))</f>
        <v>20</v>
      </c>
    </row>
    <row r="13" spans="1:34" ht="14.25" customHeight="1" x14ac:dyDescent="0.4">
      <c r="B13" s="22">
        <v>0</v>
      </c>
      <c r="C13" s="22">
        <v>0</v>
      </c>
      <c r="D13" s="22">
        <v>0</v>
      </c>
      <c r="E13" s="24">
        <v>40024</v>
      </c>
      <c r="F13" s="24" t="s">
        <v>393</v>
      </c>
      <c r="G13" s="24">
        <v>40031</v>
      </c>
      <c r="H13" s="23">
        <v>0</v>
      </c>
      <c r="I13" s="23">
        <v>40026</v>
      </c>
      <c r="J13" s="37">
        <v>1</v>
      </c>
      <c r="K13" s="24" t="s">
        <v>1367</v>
      </c>
      <c r="L13" s="24">
        <v>0</v>
      </c>
      <c r="M13" s="24">
        <v>40007</v>
      </c>
      <c r="N13" s="22" t="s">
        <v>577</v>
      </c>
      <c r="O13" s="4">
        <v>9100054</v>
      </c>
      <c r="P13" s="22">
        <v>1010</v>
      </c>
      <c r="Q13" s="22" t="s">
        <v>1343</v>
      </c>
      <c r="R13" s="4" t="s">
        <v>1368</v>
      </c>
      <c r="S13" s="4" t="s">
        <v>404</v>
      </c>
      <c r="T13" s="57">
        <v>40131</v>
      </c>
      <c r="U13" s="4" t="s">
        <v>404</v>
      </c>
      <c r="V13" s="57">
        <v>40133</v>
      </c>
      <c r="W13" s="75">
        <v>0</v>
      </c>
      <c r="X13" s="9">
        <v>40141</v>
      </c>
      <c r="Y13" s="9"/>
      <c r="Z13" s="24" t="s">
        <v>393</v>
      </c>
      <c r="AA13" s="16"/>
      <c r="AF13" s="13">
        <v>40118</v>
      </c>
      <c r="AG13" s="16">
        <f t="array" ref="AG13">SUM((PO_Date&gt;=$AF13)*(PO_Date&lt;$AF14))</f>
        <v>1</v>
      </c>
      <c r="AH13" s="16">
        <f t="array" ref="AH13">SUM((Date_Committed&gt;=$AF13)*(Date_Committed&lt;$AF14))</f>
        <v>19</v>
      </c>
    </row>
    <row r="14" spans="1:34" ht="14.25" customHeight="1" x14ac:dyDescent="0.4">
      <c r="B14" s="22">
        <v>0</v>
      </c>
      <c r="C14" s="22">
        <v>0</v>
      </c>
      <c r="D14" s="22">
        <v>0</v>
      </c>
      <c r="E14" s="24">
        <v>40025</v>
      </c>
      <c r="F14" s="24" t="s">
        <v>393</v>
      </c>
      <c r="G14" s="24">
        <v>40032</v>
      </c>
      <c r="H14" s="23">
        <v>0</v>
      </c>
      <c r="I14" s="23">
        <v>40026</v>
      </c>
      <c r="J14" s="37">
        <v>2</v>
      </c>
      <c r="K14" s="24" t="s">
        <v>1367</v>
      </c>
      <c r="L14" s="24">
        <v>0</v>
      </c>
      <c r="M14" s="24">
        <v>40007</v>
      </c>
      <c r="N14" s="22" t="s">
        <v>577</v>
      </c>
      <c r="O14" s="4">
        <v>9100055</v>
      </c>
      <c r="P14" s="22">
        <v>715</v>
      </c>
      <c r="Q14" s="22" t="s">
        <v>1344</v>
      </c>
      <c r="R14" s="4" t="s">
        <v>1722</v>
      </c>
      <c r="S14" s="4" t="s">
        <v>404</v>
      </c>
      <c r="T14" s="57">
        <v>40296</v>
      </c>
      <c r="U14" s="4" t="s">
        <v>404</v>
      </c>
      <c r="V14" s="57">
        <v>40296</v>
      </c>
      <c r="W14" s="75">
        <v>0</v>
      </c>
      <c r="X14" s="9">
        <v>40164</v>
      </c>
      <c r="Y14" s="9"/>
      <c r="Z14" s="24" t="s">
        <v>393</v>
      </c>
      <c r="AA14" s="16"/>
      <c r="AF14" s="13">
        <v>40148</v>
      </c>
      <c r="AG14" s="16">
        <f t="array" ref="AG14">SUM((PO_Date&gt;=$AF14)*(PO_Date&lt;$AF15))</f>
        <v>21</v>
      </c>
      <c r="AH14" s="16">
        <f t="array" ref="AH14">SUM((Date_Committed&gt;=$AF14)*(Date_Committed&lt;$AF15))</f>
        <v>23</v>
      </c>
    </row>
    <row r="15" spans="1:34" ht="14.25" customHeight="1" x14ac:dyDescent="0.4">
      <c r="B15" s="22">
        <v>0</v>
      </c>
      <c r="C15" s="22">
        <v>0</v>
      </c>
      <c r="D15" s="22">
        <v>0</v>
      </c>
      <c r="E15" s="24">
        <v>40161</v>
      </c>
      <c r="F15" s="24" t="s">
        <v>393</v>
      </c>
      <c r="G15" s="24">
        <v>40165</v>
      </c>
      <c r="H15" s="23">
        <v>0</v>
      </c>
      <c r="I15" s="23">
        <v>40148</v>
      </c>
      <c r="J15" s="37">
        <v>10</v>
      </c>
      <c r="K15" s="24" t="s">
        <v>1367</v>
      </c>
      <c r="L15" s="24" t="s">
        <v>1724</v>
      </c>
      <c r="M15" s="24">
        <v>40151</v>
      </c>
      <c r="N15" s="22" t="s">
        <v>577</v>
      </c>
      <c r="O15" s="4">
        <v>9100265</v>
      </c>
      <c r="P15" s="22">
        <v>1010</v>
      </c>
      <c r="Q15" s="22" t="s">
        <v>1713</v>
      </c>
      <c r="R15" s="4" t="s">
        <v>1699</v>
      </c>
      <c r="S15" s="3" t="s">
        <v>404</v>
      </c>
      <c r="T15" s="28">
        <v>40262</v>
      </c>
      <c r="U15" s="3" t="s">
        <v>404</v>
      </c>
      <c r="V15" s="9">
        <v>40294</v>
      </c>
      <c r="W15" s="74">
        <v>0</v>
      </c>
      <c r="X15" s="9">
        <v>40178</v>
      </c>
      <c r="Y15" s="9"/>
      <c r="Z15" s="24" t="s">
        <v>393</v>
      </c>
      <c r="AA15" s="16"/>
      <c r="AF15" s="13">
        <v>40179</v>
      </c>
      <c r="AG15" s="16">
        <f t="array" ref="AG15">SUM((PO_Date&gt;=$AF15)*(PO_Date&lt;$AF16))</f>
        <v>22</v>
      </c>
      <c r="AH15" s="16">
        <f t="array" ref="AH15">SUM((Date_Committed&gt;=$AF15)*(Date_Committed&lt;$AF16))</f>
        <v>17</v>
      </c>
    </row>
    <row r="16" spans="1:34" ht="14.25" customHeight="1" x14ac:dyDescent="0.4">
      <c r="B16" s="22">
        <v>0</v>
      </c>
      <c r="C16" s="22" t="s">
        <v>2165</v>
      </c>
      <c r="D16" s="22">
        <v>0</v>
      </c>
      <c r="E16" s="24">
        <v>40168</v>
      </c>
      <c r="F16" s="24" t="s">
        <v>393</v>
      </c>
      <c r="G16" s="24">
        <v>40176</v>
      </c>
      <c r="H16" s="23">
        <v>0</v>
      </c>
      <c r="I16" s="23">
        <v>40148</v>
      </c>
      <c r="J16" s="37">
        <v>15</v>
      </c>
      <c r="K16" s="24" t="s">
        <v>1367</v>
      </c>
      <c r="L16" s="24" t="s">
        <v>1724</v>
      </c>
      <c r="M16" s="24">
        <v>40162</v>
      </c>
      <c r="N16" s="22" t="s">
        <v>577</v>
      </c>
      <c r="O16" s="4">
        <v>9100269</v>
      </c>
      <c r="P16" s="22">
        <v>1010</v>
      </c>
      <c r="Q16" s="22"/>
      <c r="R16" s="4" t="s">
        <v>1886</v>
      </c>
      <c r="S16" s="38" t="s">
        <v>404</v>
      </c>
      <c r="T16" s="44">
        <v>40585</v>
      </c>
      <c r="U16" s="38" t="s">
        <v>404</v>
      </c>
      <c r="V16" s="9">
        <v>40603</v>
      </c>
      <c r="W16" s="74">
        <v>0</v>
      </c>
      <c r="X16" s="9">
        <v>40228</v>
      </c>
      <c r="Y16" s="9"/>
      <c r="Z16" s="24" t="s">
        <v>393</v>
      </c>
      <c r="AA16" s="16"/>
      <c r="AF16" s="13">
        <v>40210</v>
      </c>
      <c r="AG16" s="16">
        <f t="array" ref="AG16">SUM((PO_Date&gt;=$AF16)*(PO_Date&lt;$AF17))</f>
        <v>10</v>
      </c>
      <c r="AH16" s="16">
        <f t="array" ref="AH16">SUM((Date_Committed&gt;=$AF16)*(Date_Committed&lt;$AF17))</f>
        <v>23</v>
      </c>
    </row>
    <row r="17" spans="1:34" ht="14.25" customHeight="1" x14ac:dyDescent="0.4">
      <c r="A17" s="4"/>
      <c r="B17" s="22">
        <v>0</v>
      </c>
      <c r="C17" s="22" t="s">
        <v>2165</v>
      </c>
      <c r="D17" s="22">
        <v>0</v>
      </c>
      <c r="E17" s="24">
        <v>40303</v>
      </c>
      <c r="F17" s="24" t="s">
        <v>393</v>
      </c>
      <c r="G17" s="24">
        <v>40311</v>
      </c>
      <c r="H17" s="23">
        <v>0</v>
      </c>
      <c r="I17" s="23">
        <v>40269</v>
      </c>
      <c r="J17" s="37">
        <v>22</v>
      </c>
      <c r="K17" s="24" t="s">
        <v>1367</v>
      </c>
      <c r="L17" s="24">
        <v>0</v>
      </c>
      <c r="M17" s="24">
        <v>40280</v>
      </c>
      <c r="N17" s="160" t="s">
        <v>585</v>
      </c>
      <c r="O17" s="11">
        <v>9100602</v>
      </c>
      <c r="P17" s="65">
        <v>1010</v>
      </c>
      <c r="Q17" s="65">
        <v>0</v>
      </c>
      <c r="R17" s="11" t="s">
        <v>2025</v>
      </c>
      <c r="S17" s="11" t="s">
        <v>404</v>
      </c>
      <c r="T17" s="122">
        <v>40906</v>
      </c>
      <c r="U17" s="38" t="s">
        <v>406</v>
      </c>
      <c r="V17" s="44"/>
      <c r="W17" s="74">
        <v>0</v>
      </c>
      <c r="X17" s="9">
        <v>40325</v>
      </c>
      <c r="Y17" s="9"/>
      <c r="Z17" s="24" t="s">
        <v>393</v>
      </c>
      <c r="AA17" s="16"/>
      <c r="AF17" s="13">
        <v>40238</v>
      </c>
      <c r="AG17" s="16">
        <f t="array" ref="AG17">SUM((PO_Date&gt;=$AF17)*(PO_Date&lt;$AF18))</f>
        <v>9</v>
      </c>
      <c r="AH17" s="16">
        <f t="array" ref="AH17">SUM((Date_Committed&gt;=$AF17)*(Date_Committed&lt;$AF18))</f>
        <v>30</v>
      </c>
    </row>
    <row r="18" spans="1:34" ht="14.25" customHeight="1" x14ac:dyDescent="0.4">
      <c r="B18" s="22">
        <v>0</v>
      </c>
      <c r="C18" s="22">
        <v>0</v>
      </c>
      <c r="D18" s="22">
        <v>0</v>
      </c>
      <c r="E18" s="24">
        <v>40324</v>
      </c>
      <c r="F18" s="24" t="s">
        <v>393</v>
      </c>
      <c r="G18" s="24">
        <v>40326</v>
      </c>
      <c r="H18" s="23">
        <v>0</v>
      </c>
      <c r="I18" s="23">
        <v>40299</v>
      </c>
      <c r="J18" s="37">
        <v>12</v>
      </c>
      <c r="K18" s="24" t="s">
        <v>1367</v>
      </c>
      <c r="L18" s="24" t="s">
        <v>1724</v>
      </c>
      <c r="M18" s="24">
        <v>40305</v>
      </c>
      <c r="N18" s="22" t="s">
        <v>577</v>
      </c>
      <c r="O18" s="4">
        <v>9100810</v>
      </c>
      <c r="P18" s="22">
        <v>1010</v>
      </c>
      <c r="Q18" s="22">
        <v>0</v>
      </c>
      <c r="R18" s="4" t="s">
        <v>1887</v>
      </c>
      <c r="S18" s="38" t="s">
        <v>404</v>
      </c>
      <c r="T18" s="44">
        <v>40159</v>
      </c>
      <c r="U18" s="38" t="s">
        <v>404</v>
      </c>
      <c r="V18" s="9">
        <v>40221</v>
      </c>
      <c r="W18" s="74">
        <v>0</v>
      </c>
      <c r="X18" s="9">
        <v>40336</v>
      </c>
      <c r="Y18" s="9"/>
      <c r="Z18" s="24" t="s">
        <v>393</v>
      </c>
      <c r="AA18" s="16"/>
      <c r="AF18" s="13">
        <v>40269</v>
      </c>
      <c r="AG18" s="16">
        <f t="array" ref="AG18">SUM((PO_Date&gt;=$AF18)*(PO_Date&lt;$AF19))</f>
        <v>12</v>
      </c>
      <c r="AH18" s="16">
        <f t="array" ref="AH18">SUM((Date_Committed&gt;=$AF18)*(Date_Committed&lt;$AF19))</f>
        <v>11</v>
      </c>
    </row>
    <row r="19" spans="1:34" ht="14.25" customHeight="1" x14ac:dyDescent="0.4">
      <c r="B19" s="22"/>
      <c r="C19" s="22"/>
      <c r="D19" s="22"/>
      <c r="E19" s="24">
        <v>39997</v>
      </c>
      <c r="F19" s="24" t="s">
        <v>393</v>
      </c>
      <c r="G19" s="24">
        <v>40002</v>
      </c>
      <c r="H19" s="23">
        <v>0</v>
      </c>
      <c r="I19" s="23">
        <v>39995</v>
      </c>
      <c r="J19" s="37">
        <v>1</v>
      </c>
      <c r="K19" s="24" t="s">
        <v>1367</v>
      </c>
      <c r="L19" s="24">
        <v>39995</v>
      </c>
      <c r="M19" s="24">
        <v>39987</v>
      </c>
      <c r="N19" s="22" t="s">
        <v>585</v>
      </c>
      <c r="O19" s="4">
        <v>9100029</v>
      </c>
      <c r="P19" s="22">
        <v>1010</v>
      </c>
      <c r="Q19" s="22" t="s">
        <v>1468</v>
      </c>
      <c r="R19" s="4" t="s">
        <v>1391</v>
      </c>
      <c r="S19" s="4" t="s">
        <v>404</v>
      </c>
      <c r="T19" s="59">
        <v>40098</v>
      </c>
      <c r="U19" s="4" t="s">
        <v>404</v>
      </c>
      <c r="V19" s="57">
        <v>40156</v>
      </c>
      <c r="W19" s="74">
        <v>22</v>
      </c>
      <c r="X19" s="28">
        <v>40133</v>
      </c>
      <c r="Y19" s="28"/>
      <c r="Z19" s="24" t="s">
        <v>393</v>
      </c>
      <c r="AA19" s="16"/>
      <c r="AF19" s="13">
        <v>40299</v>
      </c>
      <c r="AG19" s="16">
        <f t="array" ref="AG19">SUM((PO_Date&gt;=$AF19)*(PO_Date&lt;$AF20))</f>
        <v>20</v>
      </c>
      <c r="AH19" s="16">
        <f t="array" ref="AH19">SUM((Date_Committed&gt;=$AF19)*(Date_Committed&lt;$AF20))</f>
        <v>18</v>
      </c>
    </row>
    <row r="20" spans="1:34" ht="14.25" customHeight="1" x14ac:dyDescent="0.4">
      <c r="B20" s="22"/>
      <c r="C20" s="22"/>
      <c r="D20" s="22"/>
      <c r="E20" s="24">
        <v>40000</v>
      </c>
      <c r="F20" s="24" t="s">
        <v>393</v>
      </c>
      <c r="G20" s="24">
        <v>40014</v>
      </c>
      <c r="H20" s="23">
        <v>0</v>
      </c>
      <c r="I20" s="23">
        <v>39995</v>
      </c>
      <c r="J20" s="37">
        <v>2</v>
      </c>
      <c r="K20" s="24" t="s">
        <v>1367</v>
      </c>
      <c r="L20" s="24">
        <v>39995</v>
      </c>
      <c r="M20" s="24">
        <v>39987</v>
      </c>
      <c r="N20" s="22" t="s">
        <v>585</v>
      </c>
      <c r="O20" s="4">
        <v>9100030</v>
      </c>
      <c r="P20" s="22">
        <v>1010</v>
      </c>
      <c r="Q20" s="22" t="s">
        <v>1469</v>
      </c>
      <c r="R20" s="4" t="s">
        <v>1370</v>
      </c>
      <c r="S20" s="4" t="s">
        <v>404</v>
      </c>
      <c r="T20" s="59">
        <v>40098</v>
      </c>
      <c r="U20" s="4" t="s">
        <v>404</v>
      </c>
      <c r="V20" s="57">
        <v>40116</v>
      </c>
      <c r="W20" s="74">
        <v>0</v>
      </c>
      <c r="X20" s="28">
        <v>40073</v>
      </c>
      <c r="Y20" s="28"/>
      <c r="Z20" s="24" t="s">
        <v>393</v>
      </c>
      <c r="AA20" s="16"/>
      <c r="AF20" s="13">
        <v>40330</v>
      </c>
      <c r="AG20" s="16">
        <f t="array" ref="AG20">SUM((PO_Date&gt;=$AF20)*(PO_Date&lt;$AF21))</f>
        <v>10</v>
      </c>
      <c r="AH20" s="16">
        <f t="array" ref="AH20">SUM((Date_Committed&gt;=$AF20)*(Date_Committed&lt;$AF21))</f>
        <v>15</v>
      </c>
    </row>
    <row r="21" spans="1:34" ht="14.25" customHeight="1" x14ac:dyDescent="0.4">
      <c r="B21" s="22">
        <v>0</v>
      </c>
      <c r="C21" s="22" t="s">
        <v>2165</v>
      </c>
      <c r="D21" s="22">
        <v>0</v>
      </c>
      <c r="E21" s="24">
        <v>40001</v>
      </c>
      <c r="F21" s="24" t="s">
        <v>393</v>
      </c>
      <c r="G21" s="24">
        <v>40015</v>
      </c>
      <c r="H21" s="23">
        <v>0</v>
      </c>
      <c r="I21" s="23">
        <v>39995</v>
      </c>
      <c r="J21" s="37">
        <v>3</v>
      </c>
      <c r="K21" s="24" t="s">
        <v>1367</v>
      </c>
      <c r="L21" s="24">
        <v>39995</v>
      </c>
      <c r="M21" s="24">
        <v>39987</v>
      </c>
      <c r="N21" s="22" t="s">
        <v>585</v>
      </c>
      <c r="O21" s="4">
        <v>9100027</v>
      </c>
      <c r="P21" s="22">
        <v>715</v>
      </c>
      <c r="Q21" s="22" t="s">
        <v>1470</v>
      </c>
      <c r="R21" s="4" t="s">
        <v>1398</v>
      </c>
      <c r="S21" s="4" t="s">
        <v>404</v>
      </c>
      <c r="T21" s="57">
        <v>40142</v>
      </c>
      <c r="U21" s="4" t="s">
        <v>404</v>
      </c>
      <c r="V21" s="57">
        <v>40156</v>
      </c>
      <c r="W21" s="74">
        <v>4</v>
      </c>
      <c r="X21" s="28">
        <v>40133</v>
      </c>
      <c r="Y21" s="28"/>
      <c r="Z21" s="24" t="s">
        <v>393</v>
      </c>
      <c r="AA21" s="16"/>
      <c r="AF21" s="13">
        <v>40360</v>
      </c>
      <c r="AG21" s="16">
        <f t="array" ref="AG21">SUM((PO_Date&gt;=$AF21)*(PO_Date&lt;$AF22))</f>
        <v>12</v>
      </c>
      <c r="AH21" s="16">
        <f t="array" ref="AH21">SUM((Date_Committed&gt;=$AF21)*(Date_Committed&lt;$AF22))</f>
        <v>15</v>
      </c>
    </row>
    <row r="22" spans="1:34" ht="14.25" customHeight="1" x14ac:dyDescent="0.4">
      <c r="B22" s="22">
        <v>0</v>
      </c>
      <c r="C22" s="22" t="s">
        <v>2165</v>
      </c>
      <c r="D22" s="22">
        <v>0</v>
      </c>
      <c r="E22" s="24">
        <v>40002</v>
      </c>
      <c r="F22" s="24" t="s">
        <v>393</v>
      </c>
      <c r="G22" s="24">
        <v>40015</v>
      </c>
      <c r="H22" s="23">
        <v>0</v>
      </c>
      <c r="I22" s="23">
        <v>39995</v>
      </c>
      <c r="J22" s="37">
        <v>4</v>
      </c>
      <c r="K22" s="24" t="s">
        <v>1367</v>
      </c>
      <c r="L22" s="24">
        <v>39995</v>
      </c>
      <c r="M22" s="24">
        <v>39987</v>
      </c>
      <c r="N22" s="22" t="s">
        <v>585</v>
      </c>
      <c r="O22" s="4">
        <v>9100028</v>
      </c>
      <c r="P22" s="22">
        <v>715</v>
      </c>
      <c r="Q22" s="22" t="s">
        <v>1471</v>
      </c>
      <c r="R22" s="4" t="s">
        <v>1417</v>
      </c>
      <c r="S22" s="4" t="s">
        <v>404</v>
      </c>
      <c r="T22" s="57">
        <v>40162</v>
      </c>
      <c r="U22" s="4" t="s">
        <v>404</v>
      </c>
      <c r="V22" s="57">
        <v>40188</v>
      </c>
      <c r="W22" s="74">
        <v>0</v>
      </c>
      <c r="X22" s="28">
        <v>40073</v>
      </c>
      <c r="Y22" s="28"/>
      <c r="Z22" s="24" t="s">
        <v>393</v>
      </c>
      <c r="AA22" s="16"/>
      <c r="AF22" s="13">
        <v>40391</v>
      </c>
      <c r="AG22" s="16">
        <f t="array" ref="AG22">SUM((PO_Date&gt;=$AF22)*(PO_Date&lt;$AF23))</f>
        <v>1</v>
      </c>
      <c r="AH22" s="16">
        <f t="array" ref="AH22">SUM((Date_Committed&gt;=$AF22)*(Date_Committed&lt;$AF23))</f>
        <v>14</v>
      </c>
    </row>
    <row r="23" spans="1:34" ht="14.25" customHeight="1" x14ac:dyDescent="0.4">
      <c r="B23" s="22">
        <v>0</v>
      </c>
      <c r="C23" s="22" t="s">
        <v>2165</v>
      </c>
      <c r="D23" s="22">
        <v>0</v>
      </c>
      <c r="E23" s="24">
        <v>40003</v>
      </c>
      <c r="F23" s="24" t="s">
        <v>393</v>
      </c>
      <c r="G23" s="24">
        <v>40008</v>
      </c>
      <c r="H23" s="23">
        <v>0</v>
      </c>
      <c r="I23" s="23">
        <v>39995</v>
      </c>
      <c r="J23" s="37">
        <v>5</v>
      </c>
      <c r="K23" s="24" t="s">
        <v>1367</v>
      </c>
      <c r="L23" s="24">
        <v>39995</v>
      </c>
      <c r="M23" s="24">
        <v>39987</v>
      </c>
      <c r="N23" s="22" t="s">
        <v>585</v>
      </c>
      <c r="O23" s="4">
        <v>9100031</v>
      </c>
      <c r="P23" s="22">
        <v>1010</v>
      </c>
      <c r="Q23" s="22" t="s">
        <v>1472</v>
      </c>
      <c r="R23" s="4" t="s">
        <v>680</v>
      </c>
      <c r="S23" s="4" t="s">
        <v>404</v>
      </c>
      <c r="T23" s="57">
        <v>40042</v>
      </c>
      <c r="U23" s="4" t="s">
        <v>404</v>
      </c>
      <c r="V23" s="57">
        <v>40057</v>
      </c>
      <c r="W23" s="74">
        <v>0</v>
      </c>
      <c r="X23" s="28">
        <v>40074</v>
      </c>
      <c r="Y23" s="28"/>
      <c r="Z23" s="24" t="s">
        <v>393</v>
      </c>
      <c r="AA23" s="16"/>
      <c r="AF23" s="13">
        <v>40422</v>
      </c>
      <c r="AG23" s="16">
        <f t="array" ref="AG23">SUM((PO_Date&gt;=$AF23)*(PO_Date&lt;$AF24))</f>
        <v>0</v>
      </c>
      <c r="AH23" s="16">
        <f t="array" ref="AH23">SUM((Date_Committed&gt;=$AF23)*(Date_Committed&lt;$AF24))</f>
        <v>9</v>
      </c>
    </row>
    <row r="24" spans="1:34" ht="14.25" customHeight="1" x14ac:dyDescent="0.4">
      <c r="B24" s="22">
        <v>0</v>
      </c>
      <c r="C24" s="22" t="s">
        <v>2165</v>
      </c>
      <c r="D24" s="22">
        <v>0</v>
      </c>
      <c r="E24" s="24">
        <v>40003</v>
      </c>
      <c r="F24" s="24" t="s">
        <v>393</v>
      </c>
      <c r="G24" s="24">
        <v>40009</v>
      </c>
      <c r="H24" s="23">
        <v>0</v>
      </c>
      <c r="I24" s="23">
        <v>39995</v>
      </c>
      <c r="J24" s="37">
        <v>6</v>
      </c>
      <c r="K24" s="24" t="s">
        <v>1367</v>
      </c>
      <c r="L24" s="24">
        <v>39995</v>
      </c>
      <c r="M24" s="24">
        <v>39987</v>
      </c>
      <c r="N24" s="22" t="s">
        <v>585</v>
      </c>
      <c r="O24" s="4">
        <v>9100032</v>
      </c>
      <c r="P24" s="22">
        <v>715</v>
      </c>
      <c r="Q24" s="22" t="s">
        <v>1473</v>
      </c>
      <c r="R24" s="4" t="s">
        <v>1700</v>
      </c>
      <c r="S24" s="4" t="s">
        <v>404</v>
      </c>
      <c r="T24" s="57">
        <v>40255</v>
      </c>
      <c r="U24" s="4" t="s">
        <v>404</v>
      </c>
      <c r="V24" s="57">
        <v>40238</v>
      </c>
      <c r="W24" s="74">
        <v>0</v>
      </c>
      <c r="X24" s="28">
        <v>40073</v>
      </c>
      <c r="Y24" s="28"/>
      <c r="Z24" s="24" t="s">
        <v>393</v>
      </c>
      <c r="AA24" s="16"/>
      <c r="AF24" s="13">
        <v>40452</v>
      </c>
      <c r="AG24" s="16">
        <f t="array" ref="AG24">SUM((PO_Date&gt;=$AF24)*(PO_Date&lt;$AF25))</f>
        <v>2</v>
      </c>
      <c r="AH24" s="16">
        <f t="array" ref="AH24">SUM((Date_Committed&gt;=$AF24)*(Date_Committed&lt;$AF25))</f>
        <v>11</v>
      </c>
    </row>
    <row r="25" spans="1:34" s="69" customFormat="1" ht="14.25" customHeight="1" x14ac:dyDescent="0.4">
      <c r="A25"/>
      <c r="B25" s="22">
        <v>0</v>
      </c>
      <c r="C25" s="22" t="s">
        <v>2165</v>
      </c>
      <c r="D25" s="22">
        <v>0</v>
      </c>
      <c r="E25" s="24">
        <v>40010</v>
      </c>
      <c r="F25" s="24" t="s">
        <v>393</v>
      </c>
      <c r="G25" s="24">
        <v>40018</v>
      </c>
      <c r="H25" s="23">
        <v>0</v>
      </c>
      <c r="I25" s="23">
        <v>39995</v>
      </c>
      <c r="J25" s="37">
        <v>13</v>
      </c>
      <c r="K25" s="24" t="s">
        <v>1367</v>
      </c>
      <c r="L25" s="24">
        <v>39995</v>
      </c>
      <c r="M25" s="24">
        <v>39987</v>
      </c>
      <c r="N25" s="22" t="s">
        <v>585</v>
      </c>
      <c r="O25" s="4">
        <v>9100033</v>
      </c>
      <c r="P25" s="22">
        <v>1010</v>
      </c>
      <c r="Q25" s="22" t="s">
        <v>1474</v>
      </c>
      <c r="R25" s="4" t="s">
        <v>681</v>
      </c>
      <c r="S25" s="4" t="s">
        <v>404</v>
      </c>
      <c r="T25" s="57">
        <v>40042</v>
      </c>
      <c r="U25" s="4" t="s">
        <v>404</v>
      </c>
      <c r="V25" s="57">
        <v>40057</v>
      </c>
      <c r="W25" s="74">
        <v>0</v>
      </c>
      <c r="X25" s="28">
        <v>40042</v>
      </c>
      <c r="Y25" s="28"/>
      <c r="Z25" s="24" t="s">
        <v>393</v>
      </c>
      <c r="AA25" s="16"/>
      <c r="AF25" s="13">
        <v>40483</v>
      </c>
      <c r="AG25" s="16">
        <f t="array" ref="AG25">SUM((PO_Date&gt;=$AF25)*(PO_Date&lt;$AF26))</f>
        <v>0</v>
      </c>
      <c r="AH25" s="16">
        <f t="array" ref="AH25">SUM((Date_Committed&gt;=$AF25)*(Date_Committed&lt;$AF26))</f>
        <v>11</v>
      </c>
    </row>
    <row r="26" spans="1:34" ht="14.25" customHeight="1" x14ac:dyDescent="0.4">
      <c r="B26" s="22">
        <v>0</v>
      </c>
      <c r="C26" s="22" t="s">
        <v>2165</v>
      </c>
      <c r="D26" s="22">
        <v>0</v>
      </c>
      <c r="E26" s="24">
        <v>40010</v>
      </c>
      <c r="F26" s="24" t="s">
        <v>393</v>
      </c>
      <c r="G26" s="24">
        <v>40021</v>
      </c>
      <c r="H26" s="23">
        <v>0</v>
      </c>
      <c r="I26" s="23">
        <v>39995</v>
      </c>
      <c r="J26" s="37">
        <v>14</v>
      </c>
      <c r="K26" s="24" t="s">
        <v>1367</v>
      </c>
      <c r="L26" s="24">
        <v>39995</v>
      </c>
      <c r="M26" s="24">
        <v>39987</v>
      </c>
      <c r="N26" s="22" t="s">
        <v>585</v>
      </c>
      <c r="O26" s="4">
        <v>9100034</v>
      </c>
      <c r="P26" s="22">
        <v>1010</v>
      </c>
      <c r="Q26" s="22" t="s">
        <v>1475</v>
      </c>
      <c r="R26" s="4" t="s">
        <v>1407</v>
      </c>
      <c r="S26" s="4" t="s">
        <v>404</v>
      </c>
      <c r="T26" s="57">
        <v>40162</v>
      </c>
      <c r="U26" s="4" t="s">
        <v>404</v>
      </c>
      <c r="V26" s="57">
        <v>40188</v>
      </c>
      <c r="W26" s="74">
        <v>0</v>
      </c>
      <c r="X26" s="28">
        <v>40073</v>
      </c>
      <c r="Y26" s="28"/>
      <c r="Z26" s="24" t="s">
        <v>393</v>
      </c>
      <c r="AA26" s="16"/>
      <c r="AF26" s="13">
        <v>40513</v>
      </c>
      <c r="AG26" s="16">
        <f t="array" ref="AG26">SUM((PO_Date&gt;=$AF26)*(PO_Date&lt;$AF27))</f>
        <v>0</v>
      </c>
      <c r="AH26" s="16">
        <f t="array" ref="AH26">SUM((Date_Committed&gt;=$AF26)*(Date_Committed&lt;$AF27))</f>
        <v>11</v>
      </c>
    </row>
    <row r="27" spans="1:34" ht="14.25" customHeight="1" x14ac:dyDescent="0.4">
      <c r="B27" s="22">
        <v>0</v>
      </c>
      <c r="C27" s="22" t="s">
        <v>2165</v>
      </c>
      <c r="D27" s="22">
        <v>0</v>
      </c>
      <c r="E27" s="24">
        <v>40014</v>
      </c>
      <c r="F27" s="24" t="s">
        <v>393</v>
      </c>
      <c r="G27" s="24">
        <v>40025</v>
      </c>
      <c r="H27" s="23">
        <v>0</v>
      </c>
      <c r="I27" s="23">
        <v>39995</v>
      </c>
      <c r="J27" s="37">
        <v>15</v>
      </c>
      <c r="K27" s="24" t="s">
        <v>1367</v>
      </c>
      <c r="L27" s="24">
        <v>39995</v>
      </c>
      <c r="M27" s="24">
        <v>39987</v>
      </c>
      <c r="N27" s="22" t="s">
        <v>585</v>
      </c>
      <c r="O27" s="4">
        <v>9100036</v>
      </c>
      <c r="P27" s="22">
        <v>1010</v>
      </c>
      <c r="Q27" s="22" t="s">
        <v>1476</v>
      </c>
      <c r="R27" s="4" t="s">
        <v>1408</v>
      </c>
      <c r="S27" s="4" t="s">
        <v>404</v>
      </c>
      <c r="T27" s="57">
        <v>40142</v>
      </c>
      <c r="U27" s="4" t="s">
        <v>404</v>
      </c>
      <c r="V27" s="57">
        <v>40188</v>
      </c>
      <c r="W27" s="74">
        <v>0</v>
      </c>
      <c r="X27" s="28">
        <v>40073</v>
      </c>
      <c r="Y27" s="28"/>
      <c r="Z27" s="24" t="s">
        <v>393</v>
      </c>
      <c r="AA27" s="16"/>
      <c r="AF27" s="13">
        <v>40544</v>
      </c>
      <c r="AG27" s="16">
        <f t="array" ref="AG27">SUM((PO_Date&gt;=$AF27)*(PO_Date&lt;$AF28))</f>
        <v>0</v>
      </c>
      <c r="AH27" s="16">
        <f t="array" ref="AH27">SUM((Date_Committed&gt;=$AF27)*(Date_Committed&lt;$AF28))</f>
        <v>10</v>
      </c>
    </row>
    <row r="28" spans="1:34" ht="14.25" customHeight="1" x14ac:dyDescent="0.4">
      <c r="B28" s="22">
        <v>0</v>
      </c>
      <c r="C28" s="22" t="s">
        <v>2165</v>
      </c>
      <c r="D28" s="22">
        <v>0</v>
      </c>
      <c r="E28" s="24">
        <v>40015</v>
      </c>
      <c r="F28" s="24" t="s">
        <v>393</v>
      </c>
      <c r="G28" s="24">
        <v>40022</v>
      </c>
      <c r="H28" s="23">
        <v>0</v>
      </c>
      <c r="I28" s="23">
        <v>39995</v>
      </c>
      <c r="J28" s="37">
        <v>16</v>
      </c>
      <c r="K28" s="24" t="s">
        <v>1367</v>
      </c>
      <c r="L28" s="24">
        <v>39995</v>
      </c>
      <c r="M28" s="24">
        <v>39987</v>
      </c>
      <c r="N28" s="22" t="s">
        <v>585</v>
      </c>
      <c r="O28" s="4">
        <v>9100037</v>
      </c>
      <c r="P28" s="22">
        <v>1010</v>
      </c>
      <c r="Q28" s="22" t="s">
        <v>1477</v>
      </c>
      <c r="R28" s="4" t="s">
        <v>682</v>
      </c>
      <c r="S28" s="4" t="s">
        <v>404</v>
      </c>
      <c r="T28" s="59">
        <v>40042</v>
      </c>
      <c r="U28" s="4" t="s">
        <v>404</v>
      </c>
      <c r="V28" s="57">
        <v>40057</v>
      </c>
      <c r="W28" s="74">
        <v>0</v>
      </c>
      <c r="X28" s="28">
        <v>40074</v>
      </c>
      <c r="Y28" s="28"/>
      <c r="Z28" s="24" t="s">
        <v>393</v>
      </c>
      <c r="AA28" s="16"/>
      <c r="AF28" s="13">
        <v>40575</v>
      </c>
      <c r="AG28" s="16">
        <f t="array" ref="AG28">SUM((PO_Date&gt;=$AF28)*(PO_Date&lt;$AF29))</f>
        <v>0</v>
      </c>
      <c r="AH28" s="16">
        <f t="array" ref="AH28">SUM((Date_Committed&gt;=$AF28)*(Date_Committed&lt;$AF29))</f>
        <v>2</v>
      </c>
    </row>
    <row r="29" spans="1:34" ht="14.25" customHeight="1" x14ac:dyDescent="0.4">
      <c r="B29" s="22">
        <v>0</v>
      </c>
      <c r="C29" s="22" t="s">
        <v>2165</v>
      </c>
      <c r="D29" s="22">
        <v>0</v>
      </c>
      <c r="E29" s="24">
        <v>40017</v>
      </c>
      <c r="F29" s="24" t="s">
        <v>393</v>
      </c>
      <c r="G29" s="24">
        <v>40023</v>
      </c>
      <c r="H29" s="23">
        <v>0</v>
      </c>
      <c r="I29" s="23">
        <v>39995</v>
      </c>
      <c r="J29" s="37">
        <v>18</v>
      </c>
      <c r="K29" s="24" t="s">
        <v>1367</v>
      </c>
      <c r="L29" s="24">
        <v>39995</v>
      </c>
      <c r="M29" s="24">
        <v>39987</v>
      </c>
      <c r="N29" s="22" t="s">
        <v>585</v>
      </c>
      <c r="O29" s="4">
        <v>9100035</v>
      </c>
      <c r="P29" s="22">
        <v>715</v>
      </c>
      <c r="Q29" s="22" t="s">
        <v>1478</v>
      </c>
      <c r="R29" s="4" t="s">
        <v>1409</v>
      </c>
      <c r="S29" s="4" t="s">
        <v>404</v>
      </c>
      <c r="T29" s="59">
        <v>40158</v>
      </c>
      <c r="U29" s="4" t="s">
        <v>404</v>
      </c>
      <c r="V29" s="59">
        <v>40188</v>
      </c>
      <c r="W29" s="74">
        <v>0</v>
      </c>
      <c r="X29" s="28">
        <v>40073</v>
      </c>
      <c r="Y29" s="28"/>
      <c r="Z29" s="24" t="s">
        <v>393</v>
      </c>
      <c r="AA29" s="16"/>
      <c r="AF29" s="13">
        <v>40603</v>
      </c>
      <c r="AG29" s="16">
        <f t="array" ref="AG29">SUM((PO_Date&gt;=$AF29)*(PO_Date&lt;$AF30))</f>
        <v>0</v>
      </c>
      <c r="AH29" s="16">
        <f t="array" ref="AH29">SUM((Date_Committed&gt;=$AF29)*(Date_Committed&lt;$AF30))</f>
        <v>7</v>
      </c>
    </row>
    <row r="30" spans="1:34" ht="14.25" customHeight="1" x14ac:dyDescent="0.4">
      <c r="B30" s="22">
        <v>0</v>
      </c>
      <c r="C30" s="22" t="s">
        <v>2165</v>
      </c>
      <c r="D30" s="22">
        <v>0</v>
      </c>
      <c r="E30" s="24">
        <v>40017</v>
      </c>
      <c r="F30" s="24" t="s">
        <v>393</v>
      </c>
      <c r="G30" s="24">
        <v>40023</v>
      </c>
      <c r="H30" s="23">
        <v>0</v>
      </c>
      <c r="I30" s="23">
        <v>39995</v>
      </c>
      <c r="J30" s="37">
        <v>19</v>
      </c>
      <c r="K30" s="24" t="s">
        <v>1367</v>
      </c>
      <c r="L30" s="24">
        <v>39995</v>
      </c>
      <c r="M30" s="24">
        <v>39987</v>
      </c>
      <c r="N30" s="22" t="s">
        <v>585</v>
      </c>
      <c r="O30" s="4">
        <v>9100038</v>
      </c>
      <c r="P30" s="22">
        <v>715</v>
      </c>
      <c r="Q30" s="22" t="s">
        <v>1479</v>
      </c>
      <c r="R30" s="4" t="s">
        <v>1392</v>
      </c>
      <c r="S30" s="4" t="s">
        <v>404</v>
      </c>
      <c r="T30" s="57">
        <v>40098</v>
      </c>
      <c r="U30" s="4" t="s">
        <v>404</v>
      </c>
      <c r="V30" s="57">
        <v>40116</v>
      </c>
      <c r="W30" s="74">
        <v>0</v>
      </c>
      <c r="X30" s="28">
        <v>40073</v>
      </c>
      <c r="Y30" s="28"/>
      <c r="Z30" s="24" t="s">
        <v>393</v>
      </c>
      <c r="AA30" s="16"/>
      <c r="AF30" s="13">
        <v>40634</v>
      </c>
      <c r="AG30" s="16">
        <f t="array" ref="AG30">SUM((PO_Date&gt;=$AF30)*(PO_Date&lt;$AF31))</f>
        <v>0</v>
      </c>
      <c r="AH30" s="16">
        <f t="array" ref="AH30">SUM((Date_Committed&gt;=$AF30)*(Date_Committed&lt;$AF31))</f>
        <v>5</v>
      </c>
    </row>
    <row r="31" spans="1:34" ht="14.25" customHeight="1" x14ac:dyDescent="0.4">
      <c r="B31" s="22">
        <v>0</v>
      </c>
      <c r="C31" s="22" t="s">
        <v>2165</v>
      </c>
      <c r="D31" s="22">
        <v>0</v>
      </c>
      <c r="E31" s="24">
        <v>40021</v>
      </c>
      <c r="F31" s="24" t="s">
        <v>393</v>
      </c>
      <c r="G31" s="24">
        <v>40024</v>
      </c>
      <c r="H31" s="23">
        <v>0</v>
      </c>
      <c r="I31" s="23">
        <v>39995</v>
      </c>
      <c r="J31" s="37">
        <v>20</v>
      </c>
      <c r="K31" s="24" t="s">
        <v>1367</v>
      </c>
      <c r="L31" s="24">
        <v>39995</v>
      </c>
      <c r="M31" s="24">
        <v>39987</v>
      </c>
      <c r="N31" s="22" t="s">
        <v>585</v>
      </c>
      <c r="O31" s="4">
        <v>9100040</v>
      </c>
      <c r="P31" s="22">
        <v>1010</v>
      </c>
      <c r="Q31" s="22" t="s">
        <v>1480</v>
      </c>
      <c r="R31" s="4" t="s">
        <v>1410</v>
      </c>
      <c r="S31" s="4" t="s">
        <v>404</v>
      </c>
      <c r="T31" s="57">
        <v>40098</v>
      </c>
      <c r="U31" s="4" t="s">
        <v>404</v>
      </c>
      <c r="V31" s="57">
        <v>40188</v>
      </c>
      <c r="W31" s="74">
        <v>0</v>
      </c>
      <c r="X31" s="28">
        <v>40073</v>
      </c>
      <c r="Y31" s="28"/>
      <c r="Z31" s="24" t="s">
        <v>393</v>
      </c>
      <c r="AA31" s="16"/>
      <c r="AF31" s="13">
        <v>40664</v>
      </c>
      <c r="AG31" s="16">
        <f t="array" ref="AG31">SUM((PO_Date&gt;=$AF31)*(PO_Date&lt;$AF32))</f>
        <v>0</v>
      </c>
      <c r="AH31" s="16">
        <f t="array" ref="AH31">SUM((Date_Committed&gt;=$AF31)*(Date_Committed&lt;$AF32))</f>
        <v>5</v>
      </c>
    </row>
    <row r="32" spans="1:34" ht="14.25" customHeight="1" x14ac:dyDescent="0.4">
      <c r="B32" s="22">
        <v>0</v>
      </c>
      <c r="C32" s="22" t="s">
        <v>2165</v>
      </c>
      <c r="D32" s="22">
        <v>0</v>
      </c>
      <c r="E32" s="24">
        <v>40021</v>
      </c>
      <c r="F32" s="24" t="s">
        <v>393</v>
      </c>
      <c r="G32" s="24">
        <v>40025</v>
      </c>
      <c r="H32" s="23">
        <v>0</v>
      </c>
      <c r="I32" s="23">
        <v>39995</v>
      </c>
      <c r="J32" s="37">
        <v>21</v>
      </c>
      <c r="K32" s="24" t="s">
        <v>1367</v>
      </c>
      <c r="L32" s="24">
        <v>39995</v>
      </c>
      <c r="M32" s="24">
        <v>39987</v>
      </c>
      <c r="N32" s="22" t="s">
        <v>585</v>
      </c>
      <c r="O32" s="4">
        <v>9100039</v>
      </c>
      <c r="P32" s="22">
        <v>715</v>
      </c>
      <c r="Q32" s="22" t="s">
        <v>1481</v>
      </c>
      <c r="R32" s="4" t="s">
        <v>1717</v>
      </c>
      <c r="S32" s="4" t="s">
        <v>404</v>
      </c>
      <c r="T32" s="57">
        <v>40256</v>
      </c>
      <c r="U32" s="4" t="s">
        <v>404</v>
      </c>
      <c r="V32" s="57">
        <v>40269</v>
      </c>
      <c r="W32" s="74">
        <v>0</v>
      </c>
      <c r="X32" s="28">
        <v>40073</v>
      </c>
      <c r="Y32" s="28"/>
      <c r="Z32" s="24" t="s">
        <v>393</v>
      </c>
      <c r="AA32" s="16"/>
      <c r="AF32" s="13">
        <v>40695</v>
      </c>
      <c r="AG32" s="16">
        <f t="array" ref="AG32">SUM((PO_Date&gt;=$AF32)*(PO_Date&lt;$AF33))</f>
        <v>0</v>
      </c>
      <c r="AH32" s="16">
        <f t="array" ref="AH32">SUM((Date_Committed&gt;=$AF32)*(Date_Committed&lt;$AF33))</f>
        <v>3</v>
      </c>
    </row>
    <row r="33" spans="2:34" ht="14.25" customHeight="1" x14ac:dyDescent="0.4">
      <c r="B33" s="22">
        <v>0</v>
      </c>
      <c r="C33" s="22" t="s">
        <v>2102</v>
      </c>
      <c r="D33" s="22">
        <v>0</v>
      </c>
      <c r="E33" s="24">
        <v>40079</v>
      </c>
      <c r="F33" s="24" t="s">
        <v>393</v>
      </c>
      <c r="G33" s="24">
        <v>40081</v>
      </c>
      <c r="H33" s="23">
        <v>0</v>
      </c>
      <c r="I33" s="23">
        <v>40057</v>
      </c>
      <c r="J33" s="37">
        <v>34</v>
      </c>
      <c r="K33" s="24" t="s">
        <v>1367</v>
      </c>
      <c r="L33" s="24" t="s">
        <v>1993</v>
      </c>
      <c r="M33" s="24">
        <v>40028</v>
      </c>
      <c r="N33" s="22" t="s">
        <v>585</v>
      </c>
      <c r="O33" s="3">
        <v>9100110</v>
      </c>
      <c r="P33" s="22">
        <v>1010</v>
      </c>
      <c r="Q33" s="22" t="s">
        <v>1482</v>
      </c>
      <c r="R33" s="4" t="s">
        <v>1393</v>
      </c>
      <c r="S33" s="4" t="s">
        <v>404</v>
      </c>
      <c r="T33" s="57">
        <v>40053</v>
      </c>
      <c r="U33" s="4" t="s">
        <v>404</v>
      </c>
      <c r="V33" s="57">
        <v>40156</v>
      </c>
      <c r="W33" s="74">
        <v>0</v>
      </c>
      <c r="X33" s="9">
        <v>40192</v>
      </c>
      <c r="Y33" s="9"/>
      <c r="Z33" s="24" t="s">
        <v>393</v>
      </c>
      <c r="AA33" s="16"/>
      <c r="AF33" s="13">
        <v>40725</v>
      </c>
      <c r="AG33" s="16">
        <f t="array" ref="AG33">SUM((PO_Date&gt;=$AF33)*(PO_Date&lt;$AF34))</f>
        <v>0</v>
      </c>
      <c r="AH33" s="16">
        <f t="array" ref="AH33">SUM((Date_Committed&gt;=$AF33)*(Date_Committed&lt;$AF34))</f>
        <v>1</v>
      </c>
    </row>
    <row r="34" spans="2:34" ht="14.25" customHeight="1" x14ac:dyDescent="0.4">
      <c r="B34" s="22">
        <v>0</v>
      </c>
      <c r="C34" s="22" t="s">
        <v>2102</v>
      </c>
      <c r="D34" s="22">
        <v>0</v>
      </c>
      <c r="E34" s="24">
        <v>40079</v>
      </c>
      <c r="F34" s="24" t="s">
        <v>393</v>
      </c>
      <c r="G34" s="24">
        <v>40084</v>
      </c>
      <c r="H34" s="23">
        <v>0</v>
      </c>
      <c r="I34" s="23">
        <v>40057</v>
      </c>
      <c r="J34" s="37">
        <v>35</v>
      </c>
      <c r="K34" s="24" t="s">
        <v>1367</v>
      </c>
      <c r="L34" s="24" t="s">
        <v>1993</v>
      </c>
      <c r="M34" s="24">
        <v>40028</v>
      </c>
      <c r="N34" s="22" t="s">
        <v>585</v>
      </c>
      <c r="O34" s="3">
        <v>9100111</v>
      </c>
      <c r="P34" s="22">
        <v>1010</v>
      </c>
      <c r="Q34" s="22" t="s">
        <v>1483</v>
      </c>
      <c r="R34" s="4" t="s">
        <v>1900</v>
      </c>
      <c r="S34" s="4" t="s">
        <v>404</v>
      </c>
      <c r="T34" s="57">
        <v>40042</v>
      </c>
      <c r="U34" s="4" t="s">
        <v>404</v>
      </c>
      <c r="V34" s="57">
        <v>40188</v>
      </c>
      <c r="W34" s="74">
        <v>0</v>
      </c>
      <c r="X34" s="9">
        <v>40192</v>
      </c>
      <c r="Y34" s="9"/>
      <c r="Z34" s="24" t="s">
        <v>393</v>
      </c>
      <c r="AA34" s="16"/>
      <c r="AF34" s="13">
        <v>40756</v>
      </c>
      <c r="AG34" s="16">
        <f t="array" ref="AG34">SUM((PO_Date&gt;=$AF34)*(PO_Date&lt;$AF35))</f>
        <v>0</v>
      </c>
      <c r="AH34" s="16">
        <f t="array" ref="AH34">SUM((Date_Committed&gt;=$AF34)*(Date_Committed&lt;$AF35))</f>
        <v>1</v>
      </c>
    </row>
    <row r="35" spans="2:34" ht="14.25" customHeight="1" x14ac:dyDescent="0.4">
      <c r="B35" s="22">
        <v>0</v>
      </c>
      <c r="C35" s="22">
        <v>0</v>
      </c>
      <c r="D35" s="22">
        <v>0</v>
      </c>
      <c r="E35" s="24">
        <v>40079</v>
      </c>
      <c r="F35" s="24" t="s">
        <v>393</v>
      </c>
      <c r="G35" s="24">
        <v>40084</v>
      </c>
      <c r="H35" s="23">
        <v>0</v>
      </c>
      <c r="I35" s="23">
        <v>40057</v>
      </c>
      <c r="J35" s="37">
        <v>36</v>
      </c>
      <c r="K35" s="24" t="s">
        <v>1367</v>
      </c>
      <c r="L35" s="24" t="s">
        <v>1993</v>
      </c>
      <c r="M35" s="24">
        <v>40028</v>
      </c>
      <c r="N35" s="22" t="s">
        <v>585</v>
      </c>
      <c r="O35" s="3">
        <v>9100112</v>
      </c>
      <c r="P35" s="22">
        <v>1010</v>
      </c>
      <c r="Q35" s="22" t="s">
        <v>1484</v>
      </c>
      <c r="R35" s="4" t="s">
        <v>1394</v>
      </c>
      <c r="S35" s="4" t="s">
        <v>404</v>
      </c>
      <c r="T35" s="59">
        <v>40066</v>
      </c>
      <c r="U35" s="4" t="s">
        <v>404</v>
      </c>
      <c r="V35" s="57">
        <v>40095</v>
      </c>
      <c r="W35" s="74">
        <v>0</v>
      </c>
      <c r="X35" s="9">
        <v>40149</v>
      </c>
      <c r="Y35" s="9"/>
      <c r="Z35" s="24" t="s">
        <v>393</v>
      </c>
      <c r="AA35" s="16"/>
      <c r="AF35" s="13">
        <v>40787</v>
      </c>
      <c r="AG35" s="16">
        <f t="array" ref="AG35">SUM((PO_Date&gt;=$AF35)*(PO_Date&lt;$AF36))</f>
        <v>0</v>
      </c>
      <c r="AH35" s="16">
        <f t="array" ref="AH35">SUM((Date_Committed&gt;=$AF35)*(Date_Committed&lt;$AF36))</f>
        <v>2</v>
      </c>
    </row>
    <row r="36" spans="2:34" ht="14.25" customHeight="1" x14ac:dyDescent="0.4">
      <c r="B36" s="22">
        <v>0</v>
      </c>
      <c r="C36" s="22">
        <v>0</v>
      </c>
      <c r="D36" s="22">
        <v>0</v>
      </c>
      <c r="E36" s="24">
        <v>40092</v>
      </c>
      <c r="F36" s="24" t="s">
        <v>393</v>
      </c>
      <c r="G36" s="24">
        <v>40094</v>
      </c>
      <c r="H36" s="23">
        <v>0</v>
      </c>
      <c r="I36" s="23">
        <v>40087</v>
      </c>
      <c r="J36" s="37">
        <v>9</v>
      </c>
      <c r="K36" s="24" t="s">
        <v>1367</v>
      </c>
      <c r="L36" s="24" t="s">
        <v>1993</v>
      </c>
      <c r="M36" s="24">
        <v>40028</v>
      </c>
      <c r="N36" s="22" t="s">
        <v>585</v>
      </c>
      <c r="O36" s="3">
        <v>9100113</v>
      </c>
      <c r="P36" s="22">
        <v>715</v>
      </c>
      <c r="Q36" s="22" t="s">
        <v>1485</v>
      </c>
      <c r="R36" s="4" t="s">
        <v>1901</v>
      </c>
      <c r="S36" s="4" t="s">
        <v>404</v>
      </c>
      <c r="T36" s="57">
        <v>40066</v>
      </c>
      <c r="U36" s="4" t="s">
        <v>404</v>
      </c>
      <c r="V36" s="57">
        <v>40247</v>
      </c>
      <c r="W36" s="74">
        <v>0</v>
      </c>
      <c r="X36" s="28">
        <v>40203</v>
      </c>
      <c r="Y36" s="28"/>
      <c r="Z36" s="24" t="s">
        <v>393</v>
      </c>
      <c r="AA36" s="16"/>
      <c r="AF36" s="13">
        <v>40817</v>
      </c>
      <c r="AG36" s="16">
        <f t="array" ref="AG36">SUM((PO_Date&gt;=$AF36)*(PO_Date&lt;$AF37))</f>
        <v>0</v>
      </c>
      <c r="AH36" s="16">
        <f t="array" ref="AH36">SUM((Date_Committed&gt;=$AF36)*(Date_Committed&lt;$AF37))</f>
        <v>1</v>
      </c>
    </row>
    <row r="37" spans="2:34" ht="14.25" customHeight="1" x14ac:dyDescent="0.4">
      <c r="B37" s="22">
        <v>0</v>
      </c>
      <c r="C37" s="22" t="s">
        <v>2165</v>
      </c>
      <c r="D37" s="22">
        <v>0</v>
      </c>
      <c r="E37" s="24">
        <v>40081</v>
      </c>
      <c r="F37" s="24" t="s">
        <v>393</v>
      </c>
      <c r="G37" s="24">
        <v>40085</v>
      </c>
      <c r="H37" s="23">
        <v>0</v>
      </c>
      <c r="I37" s="23">
        <v>40057</v>
      </c>
      <c r="J37" s="37">
        <v>39</v>
      </c>
      <c r="K37" s="24" t="s">
        <v>1367</v>
      </c>
      <c r="L37" s="24" t="s">
        <v>1997</v>
      </c>
      <c r="M37" s="24">
        <v>40028</v>
      </c>
      <c r="N37" s="22" t="s">
        <v>585</v>
      </c>
      <c r="O37" s="3">
        <v>9100114</v>
      </c>
      <c r="P37" s="22">
        <v>1010</v>
      </c>
      <c r="Q37" s="22" t="s">
        <v>1486</v>
      </c>
      <c r="R37" s="4" t="s">
        <v>1418</v>
      </c>
      <c r="S37" s="4" t="s">
        <v>404</v>
      </c>
      <c r="T37" s="57">
        <v>40066</v>
      </c>
      <c r="U37" s="4" t="s">
        <v>404</v>
      </c>
      <c r="V37" s="57">
        <v>40179</v>
      </c>
      <c r="W37" s="74">
        <v>0</v>
      </c>
      <c r="X37" s="28">
        <v>40164</v>
      </c>
      <c r="Y37" s="28"/>
      <c r="Z37" s="24" t="s">
        <v>393</v>
      </c>
      <c r="AA37" s="16"/>
      <c r="AF37" s="13">
        <v>40848</v>
      </c>
      <c r="AG37" s="16">
        <f t="array" ref="AG37">SUM((PO_Date&gt;=$AF37)*(PO_Date&lt;$AF38))</f>
        <v>0</v>
      </c>
      <c r="AH37" s="16">
        <f t="array" ref="AH37">SUM((Date_Committed&gt;=$AF37)*(Date_Committed&lt;$AF38))</f>
        <v>2</v>
      </c>
    </row>
    <row r="38" spans="2:34" ht="14.25" customHeight="1" x14ac:dyDescent="0.4">
      <c r="B38" s="22">
        <v>0</v>
      </c>
      <c r="C38" s="22" t="s">
        <v>2102</v>
      </c>
      <c r="D38" s="22">
        <v>0</v>
      </c>
      <c r="E38" s="24">
        <v>40081</v>
      </c>
      <c r="F38" s="24" t="s">
        <v>393</v>
      </c>
      <c r="G38" s="24">
        <v>40085</v>
      </c>
      <c r="H38" s="23">
        <v>0</v>
      </c>
      <c r="I38" s="23">
        <v>40057</v>
      </c>
      <c r="J38" s="37">
        <v>40</v>
      </c>
      <c r="K38" s="24" t="s">
        <v>1367</v>
      </c>
      <c r="L38" s="24" t="s">
        <v>1997</v>
      </c>
      <c r="M38" s="24">
        <v>40028</v>
      </c>
      <c r="N38" s="22" t="s">
        <v>585</v>
      </c>
      <c r="O38" s="3">
        <v>9100115</v>
      </c>
      <c r="P38" s="22">
        <v>1010</v>
      </c>
      <c r="Q38" s="22" t="s">
        <v>1487</v>
      </c>
      <c r="R38" s="4" t="s">
        <v>1902</v>
      </c>
      <c r="S38" s="4" t="s">
        <v>404</v>
      </c>
      <c r="T38" s="57">
        <v>40066</v>
      </c>
      <c r="U38" s="4" t="s">
        <v>404</v>
      </c>
      <c r="V38" s="59">
        <v>40188</v>
      </c>
      <c r="W38" s="74">
        <v>0</v>
      </c>
      <c r="X38" s="9">
        <v>40200</v>
      </c>
      <c r="Y38" s="9"/>
      <c r="Z38" s="24" t="s">
        <v>393</v>
      </c>
      <c r="AA38" s="16"/>
      <c r="AF38" s="13">
        <v>40878</v>
      </c>
      <c r="AG38" s="16">
        <f t="array" ref="AG38">SUM((PO_Date&gt;=$AF38)*(PO_Date&lt;$AF39))</f>
        <v>0</v>
      </c>
      <c r="AH38" s="16">
        <f t="array" ref="AH38">SUM((Date_Committed&gt;=$AF38)*(Date_Committed&lt;$AF39))</f>
        <v>2</v>
      </c>
    </row>
    <row r="39" spans="2:34" ht="14.25" customHeight="1" x14ac:dyDescent="0.4">
      <c r="B39" s="22">
        <v>0</v>
      </c>
      <c r="C39" s="22" t="s">
        <v>2102</v>
      </c>
      <c r="D39" s="22">
        <v>0</v>
      </c>
      <c r="E39" s="24">
        <v>40127</v>
      </c>
      <c r="F39" s="24" t="s">
        <v>393</v>
      </c>
      <c r="G39" s="24">
        <v>40133</v>
      </c>
      <c r="H39" s="23">
        <v>0</v>
      </c>
      <c r="I39" s="23">
        <v>40118</v>
      </c>
      <c r="J39" s="37">
        <v>12</v>
      </c>
      <c r="K39" s="24" t="s">
        <v>1367</v>
      </c>
      <c r="L39" s="24" t="s">
        <v>1998</v>
      </c>
      <c r="M39" s="24">
        <v>40028</v>
      </c>
      <c r="N39" s="22" t="s">
        <v>585</v>
      </c>
      <c r="O39" s="3">
        <v>9100116</v>
      </c>
      <c r="P39" s="22">
        <v>1010</v>
      </c>
      <c r="Q39" s="22" t="s">
        <v>1488</v>
      </c>
      <c r="R39" s="4" t="s">
        <v>1419</v>
      </c>
      <c r="S39" s="4" t="s">
        <v>404</v>
      </c>
      <c r="T39" s="57">
        <v>40053</v>
      </c>
      <c r="U39" s="4" t="s">
        <v>404</v>
      </c>
      <c r="V39" s="59">
        <v>40188</v>
      </c>
      <c r="W39" s="74">
        <v>0</v>
      </c>
      <c r="X39" s="9">
        <v>40193</v>
      </c>
      <c r="Y39" s="9"/>
      <c r="Z39" s="24" t="s">
        <v>393</v>
      </c>
      <c r="AA39" s="16"/>
      <c r="AF39" s="13">
        <v>40909</v>
      </c>
      <c r="AG39" s="16">
        <f t="array" ref="AG39">SUM((PO_Date&gt;=$AF39)*(PO_Date&lt;$AF40))</f>
        <v>0</v>
      </c>
      <c r="AH39" s="16">
        <f t="array" ref="AH39">SUM((Date_Committed&gt;=$AF39)*(Date_Committed&lt;$AF40))</f>
        <v>0</v>
      </c>
    </row>
    <row r="40" spans="2:34" ht="14.25" customHeight="1" x14ac:dyDescent="0.4">
      <c r="B40" s="22">
        <v>0</v>
      </c>
      <c r="C40" s="22" t="s">
        <v>2102</v>
      </c>
      <c r="D40" s="22">
        <v>0</v>
      </c>
      <c r="E40" s="24">
        <v>40108</v>
      </c>
      <c r="F40" s="24" t="s">
        <v>393</v>
      </c>
      <c r="G40" s="24">
        <v>40113</v>
      </c>
      <c r="H40" s="23">
        <v>0</v>
      </c>
      <c r="I40" s="23">
        <v>40087</v>
      </c>
      <c r="J40" s="37">
        <v>35</v>
      </c>
      <c r="K40" s="24" t="s">
        <v>1367</v>
      </c>
      <c r="L40" s="24" t="s">
        <v>1998</v>
      </c>
      <c r="M40" s="24">
        <v>40028</v>
      </c>
      <c r="N40" s="22" t="s">
        <v>585</v>
      </c>
      <c r="O40" s="3">
        <v>9100117</v>
      </c>
      <c r="P40" s="22">
        <v>1010</v>
      </c>
      <c r="Q40" s="22" t="s">
        <v>1489</v>
      </c>
      <c r="R40" s="4" t="s">
        <v>1903</v>
      </c>
      <c r="S40" s="4" t="s">
        <v>404</v>
      </c>
      <c r="T40" s="57">
        <v>40071</v>
      </c>
      <c r="U40" s="4" t="s">
        <v>404</v>
      </c>
      <c r="V40" s="59">
        <v>40247</v>
      </c>
      <c r="W40" s="74">
        <v>0</v>
      </c>
      <c r="X40" s="9">
        <v>40252</v>
      </c>
      <c r="Y40" s="9"/>
      <c r="Z40" s="24" t="s">
        <v>393</v>
      </c>
      <c r="AA40" s="16"/>
      <c r="AF40" s="13">
        <v>40940</v>
      </c>
      <c r="AG40" s="16">
        <f t="array" ref="AG40">SUM((PO_Date&gt;=$AF40)*(PO_Date&lt;$AF41))</f>
        <v>0</v>
      </c>
      <c r="AH40" s="16">
        <f t="array" ref="AH40">SUM((Date_Committed&gt;=$AF40)*(Date_Committed&lt;$AF41))</f>
        <v>4</v>
      </c>
    </row>
    <row r="41" spans="2:34" ht="14.25" customHeight="1" x14ac:dyDescent="0.4">
      <c r="B41" s="22">
        <v>0</v>
      </c>
      <c r="C41" s="22" t="s">
        <v>2165</v>
      </c>
      <c r="D41" s="22">
        <v>0</v>
      </c>
      <c r="E41" s="24">
        <v>40108</v>
      </c>
      <c r="F41" s="24" t="s">
        <v>393</v>
      </c>
      <c r="G41" s="24">
        <v>40113</v>
      </c>
      <c r="H41" s="23">
        <v>0</v>
      </c>
      <c r="I41" s="23">
        <v>40087</v>
      </c>
      <c r="J41" s="37">
        <v>34</v>
      </c>
      <c r="K41" s="24" t="s">
        <v>1367</v>
      </c>
      <c r="L41" s="24" t="s">
        <v>1998</v>
      </c>
      <c r="M41" s="24">
        <v>40028</v>
      </c>
      <c r="N41" s="22" t="s">
        <v>585</v>
      </c>
      <c r="O41" s="3">
        <v>9100118</v>
      </c>
      <c r="P41" s="22">
        <v>1010</v>
      </c>
      <c r="Q41" s="22" t="s">
        <v>1490</v>
      </c>
      <c r="R41" s="4" t="s">
        <v>1411</v>
      </c>
      <c r="S41" s="4" t="s">
        <v>404</v>
      </c>
      <c r="T41" s="57">
        <v>40066</v>
      </c>
      <c r="U41" s="4" t="s">
        <v>404</v>
      </c>
      <c r="V41" s="57">
        <v>40156</v>
      </c>
      <c r="W41" s="74">
        <v>0</v>
      </c>
      <c r="X41" s="28">
        <v>40192</v>
      </c>
      <c r="Y41" s="28"/>
      <c r="Z41" s="24" t="s">
        <v>393</v>
      </c>
      <c r="AA41" s="16"/>
      <c r="AF41" s="13">
        <v>40969</v>
      </c>
      <c r="AG41" s="16">
        <f t="array" ref="AG41">SUM((PO_Date&gt;=$AF41)*(PO_Date&lt;$AF42))</f>
        <v>0</v>
      </c>
      <c r="AH41" s="16">
        <f t="array" ref="AH41">SUM((Date_Committed&gt;=$AF41)*(Date_Committed&lt;$AF42))</f>
        <v>1</v>
      </c>
    </row>
    <row r="42" spans="2:34" ht="14.25" customHeight="1" x14ac:dyDescent="0.4">
      <c r="B42" s="22">
        <v>0</v>
      </c>
      <c r="C42" s="22" t="s">
        <v>2102</v>
      </c>
      <c r="D42" s="22">
        <v>0</v>
      </c>
      <c r="E42" s="24">
        <v>40133</v>
      </c>
      <c r="F42" s="24" t="s">
        <v>393</v>
      </c>
      <c r="G42" s="24">
        <v>40141</v>
      </c>
      <c r="H42" s="23">
        <v>0</v>
      </c>
      <c r="I42" s="23">
        <v>40118</v>
      </c>
      <c r="J42" s="37">
        <v>17</v>
      </c>
      <c r="K42" s="24" t="s">
        <v>1367</v>
      </c>
      <c r="L42" s="24" t="s">
        <v>1999</v>
      </c>
      <c r="M42" s="24">
        <v>40028</v>
      </c>
      <c r="N42" s="22" t="s">
        <v>585</v>
      </c>
      <c r="O42" s="3">
        <v>9100119</v>
      </c>
      <c r="P42" s="22">
        <v>1010</v>
      </c>
      <c r="Q42" s="22" t="s">
        <v>1491</v>
      </c>
      <c r="R42" s="4" t="s">
        <v>1444</v>
      </c>
      <c r="S42" s="4" t="s">
        <v>404</v>
      </c>
      <c r="T42" s="57">
        <v>40066</v>
      </c>
      <c r="U42" s="4" t="s">
        <v>404</v>
      </c>
      <c r="V42" s="59">
        <v>40247</v>
      </c>
      <c r="W42" s="74">
        <v>0</v>
      </c>
      <c r="X42" s="9">
        <v>40248</v>
      </c>
      <c r="Y42" s="9"/>
      <c r="Z42" s="24" t="s">
        <v>393</v>
      </c>
      <c r="AA42" s="16"/>
      <c r="AF42" s="13">
        <v>41000</v>
      </c>
      <c r="AG42" s="16">
        <f t="array" ref="AG42">SUM((PO_Date&gt;=$AF42)*(PO_Date&lt;$AF43))</f>
        <v>0</v>
      </c>
      <c r="AH42" s="16">
        <f t="array" ref="AH42">SUM((Date_Committed&gt;=$AF42)*(Date_Committed&lt;$AF43))</f>
        <v>0</v>
      </c>
    </row>
    <row r="43" spans="2:34" ht="14.25" customHeight="1" x14ac:dyDescent="0.4">
      <c r="B43" s="22">
        <v>0</v>
      </c>
      <c r="C43" s="22">
        <v>0</v>
      </c>
      <c r="D43" s="22">
        <v>0</v>
      </c>
      <c r="E43" s="24" t="s">
        <v>18</v>
      </c>
      <c r="F43" s="24" t="s">
        <v>393</v>
      </c>
      <c r="G43" s="24">
        <v>40142</v>
      </c>
      <c r="H43" s="23">
        <v>0</v>
      </c>
      <c r="I43" s="23">
        <v>40118</v>
      </c>
      <c r="J43" s="37">
        <v>18</v>
      </c>
      <c r="K43" s="24" t="s">
        <v>1367</v>
      </c>
      <c r="L43" s="24" t="s">
        <v>1999</v>
      </c>
      <c r="M43" s="24">
        <v>40028</v>
      </c>
      <c r="N43" s="22" t="s">
        <v>585</v>
      </c>
      <c r="O43" s="3">
        <v>9100120</v>
      </c>
      <c r="P43" s="22">
        <v>1010</v>
      </c>
      <c r="Q43" s="22" t="s">
        <v>1492</v>
      </c>
      <c r="R43" s="4" t="s">
        <v>1420</v>
      </c>
      <c r="S43" s="4" t="s">
        <v>404</v>
      </c>
      <c r="T43" s="57">
        <v>40066</v>
      </c>
      <c r="U43" s="4" t="s">
        <v>404</v>
      </c>
      <c r="V43" s="57">
        <v>40188</v>
      </c>
      <c r="W43" s="74">
        <v>0</v>
      </c>
      <c r="X43" s="28">
        <v>40199</v>
      </c>
      <c r="Y43" s="28"/>
      <c r="Z43" s="24" t="s">
        <v>393</v>
      </c>
      <c r="AA43" s="16"/>
      <c r="AF43" s="13">
        <v>41030</v>
      </c>
      <c r="AG43" s="16">
        <f t="array" ref="AG43">SUM((PO_Date&gt;=$AF43)*(PO_Date&lt;$AF44))</f>
        <v>0</v>
      </c>
      <c r="AH43" s="16">
        <f t="array" ref="AH43">SUM((Date_Committed&gt;=$AF43)*(Date_Committed&lt;$AF44))</f>
        <v>1</v>
      </c>
    </row>
    <row r="44" spans="2:34" ht="14.25" customHeight="1" x14ac:dyDescent="0.4">
      <c r="B44" s="22">
        <v>0</v>
      </c>
      <c r="C44" s="22" t="s">
        <v>2165</v>
      </c>
      <c r="D44" s="22">
        <v>0</v>
      </c>
      <c r="E44" s="24">
        <v>40148</v>
      </c>
      <c r="F44" s="24" t="s">
        <v>393</v>
      </c>
      <c r="G44" s="24">
        <v>40156</v>
      </c>
      <c r="H44" s="23">
        <v>0</v>
      </c>
      <c r="I44" s="23">
        <v>40118</v>
      </c>
      <c r="J44" s="37">
        <v>29</v>
      </c>
      <c r="K44" s="24" t="s">
        <v>1367</v>
      </c>
      <c r="L44" s="24" t="s">
        <v>2000</v>
      </c>
      <c r="M44" s="24">
        <v>40028</v>
      </c>
      <c r="N44" s="22" t="s">
        <v>585</v>
      </c>
      <c r="O44" s="3">
        <v>9100121</v>
      </c>
      <c r="P44" s="22">
        <v>1010</v>
      </c>
      <c r="Q44" s="22" t="s">
        <v>1493</v>
      </c>
      <c r="R44" s="4" t="s">
        <v>1421</v>
      </c>
      <c r="S44" s="4" t="s">
        <v>404</v>
      </c>
      <c r="T44" s="57">
        <v>40066</v>
      </c>
      <c r="U44" s="4" t="s">
        <v>404</v>
      </c>
      <c r="V44" s="57">
        <v>40188</v>
      </c>
      <c r="W44" s="74">
        <v>0</v>
      </c>
      <c r="X44" s="28">
        <v>40233</v>
      </c>
      <c r="Y44" s="28"/>
      <c r="Z44" s="24" t="s">
        <v>393</v>
      </c>
      <c r="AA44" s="16"/>
      <c r="AF44" s="13">
        <v>41061</v>
      </c>
      <c r="AG44" s="16">
        <f t="array" ref="AG44">SUM((PO_Date&gt;=$AF44)*(PO_Date&lt;$AF45))</f>
        <v>0</v>
      </c>
      <c r="AH44" s="16">
        <f t="array" ref="AH44">SUM((Date_Committed&gt;=$AF44)*(Date_Committed&lt;$AF45))</f>
        <v>0</v>
      </c>
    </row>
    <row r="45" spans="2:34" ht="14.25" customHeight="1" x14ac:dyDescent="0.4">
      <c r="B45" s="22">
        <v>0</v>
      </c>
      <c r="C45" s="22">
        <v>0</v>
      </c>
      <c r="D45" s="22">
        <v>0</v>
      </c>
      <c r="E45" s="24">
        <v>40148</v>
      </c>
      <c r="F45" s="24" t="s">
        <v>393</v>
      </c>
      <c r="G45" s="24">
        <v>40161</v>
      </c>
      <c r="H45" s="23">
        <v>0</v>
      </c>
      <c r="I45" s="23">
        <v>40118</v>
      </c>
      <c r="J45" s="37">
        <v>30</v>
      </c>
      <c r="K45" s="24" t="s">
        <v>1367</v>
      </c>
      <c r="L45" s="24" t="s">
        <v>2000</v>
      </c>
      <c r="M45" s="24">
        <v>40028</v>
      </c>
      <c r="N45" s="22" t="s">
        <v>585</v>
      </c>
      <c r="O45" s="3">
        <v>9100122</v>
      </c>
      <c r="P45" s="22">
        <v>1010</v>
      </c>
      <c r="Q45" s="22" t="s">
        <v>1494</v>
      </c>
      <c r="R45" s="4" t="s">
        <v>1422</v>
      </c>
      <c r="S45" s="4" t="s">
        <v>404</v>
      </c>
      <c r="T45" s="57">
        <v>40161</v>
      </c>
      <c r="U45" s="4" t="s">
        <v>404</v>
      </c>
      <c r="V45" s="57">
        <v>40188</v>
      </c>
      <c r="W45" s="74">
        <v>0</v>
      </c>
      <c r="X45" s="9">
        <v>40073</v>
      </c>
      <c r="Y45" s="9"/>
      <c r="Z45" s="24" t="s">
        <v>393</v>
      </c>
      <c r="AA45" s="16"/>
      <c r="AF45" s="13">
        <v>41091</v>
      </c>
    </row>
    <row r="46" spans="2:34" ht="14.25" customHeight="1" x14ac:dyDescent="0.4">
      <c r="B46" s="22">
        <v>0</v>
      </c>
      <c r="C46" s="22">
        <v>0</v>
      </c>
      <c r="D46" s="22">
        <v>0</v>
      </c>
      <c r="E46" s="24">
        <v>40151</v>
      </c>
      <c r="F46" s="24" t="s">
        <v>393</v>
      </c>
      <c r="G46" s="24">
        <v>40158</v>
      </c>
      <c r="H46" s="23">
        <v>0</v>
      </c>
      <c r="I46" s="23">
        <v>40148</v>
      </c>
      <c r="J46" s="37">
        <v>5</v>
      </c>
      <c r="K46" s="24" t="s">
        <v>1367</v>
      </c>
      <c r="L46" s="24" t="s">
        <v>2001</v>
      </c>
      <c r="M46" s="24">
        <v>40028</v>
      </c>
      <c r="N46" s="22" t="s">
        <v>585</v>
      </c>
      <c r="O46" s="3">
        <v>9100123</v>
      </c>
      <c r="P46" s="22">
        <v>1010</v>
      </c>
      <c r="Q46" s="22" t="s">
        <v>1495</v>
      </c>
      <c r="R46" s="4" t="s">
        <v>1424</v>
      </c>
      <c r="S46" s="4" t="s">
        <v>404</v>
      </c>
      <c r="T46" s="57">
        <v>40158</v>
      </c>
      <c r="U46" s="4" t="s">
        <v>404</v>
      </c>
      <c r="V46" s="57">
        <v>40188</v>
      </c>
      <c r="W46" s="74">
        <v>0</v>
      </c>
      <c r="X46" s="9">
        <v>40073</v>
      </c>
      <c r="Y46" s="9"/>
      <c r="Z46" s="24" t="s">
        <v>393</v>
      </c>
      <c r="AA46" s="16"/>
    </row>
    <row r="47" spans="2:34" ht="14.25" customHeight="1" x14ac:dyDescent="0.4">
      <c r="B47" s="22">
        <v>0</v>
      </c>
      <c r="C47" s="22">
        <v>0</v>
      </c>
      <c r="D47" s="22">
        <v>0</v>
      </c>
      <c r="E47" s="24">
        <v>40154</v>
      </c>
      <c r="F47" s="24" t="s">
        <v>393</v>
      </c>
      <c r="G47" s="24">
        <v>40161</v>
      </c>
      <c r="H47" s="23">
        <v>0</v>
      </c>
      <c r="I47" s="23">
        <v>40148</v>
      </c>
      <c r="J47" s="37">
        <v>6</v>
      </c>
      <c r="K47" s="24" t="s">
        <v>1367</v>
      </c>
      <c r="L47" s="24" t="s">
        <v>2001</v>
      </c>
      <c r="M47" s="24">
        <v>40028</v>
      </c>
      <c r="N47" s="22" t="s">
        <v>585</v>
      </c>
      <c r="O47" s="3">
        <v>9100124</v>
      </c>
      <c r="P47" s="22">
        <v>1010</v>
      </c>
      <c r="Q47" s="22" t="s">
        <v>1496</v>
      </c>
      <c r="R47" s="4" t="s">
        <v>1425</v>
      </c>
      <c r="S47" s="4" t="s">
        <v>404</v>
      </c>
      <c r="T47" s="57">
        <v>40144</v>
      </c>
      <c r="U47" s="4" t="s">
        <v>404</v>
      </c>
      <c r="V47" s="59">
        <v>40188</v>
      </c>
      <c r="W47" s="74">
        <v>0</v>
      </c>
      <c r="X47" s="9">
        <v>40073</v>
      </c>
      <c r="Y47" s="9"/>
      <c r="Z47" s="24" t="s">
        <v>393</v>
      </c>
      <c r="AA47" s="16"/>
    </row>
    <row r="48" spans="2:34" ht="14.25" customHeight="1" x14ac:dyDescent="0.4">
      <c r="B48" s="22">
        <v>0</v>
      </c>
      <c r="C48" s="22">
        <v>0</v>
      </c>
      <c r="D48" s="22">
        <v>0</v>
      </c>
      <c r="E48" s="24">
        <v>40203</v>
      </c>
      <c r="F48" s="24" t="s">
        <v>393</v>
      </c>
      <c r="G48" s="24">
        <v>40207</v>
      </c>
      <c r="H48" s="23">
        <v>0</v>
      </c>
      <c r="I48" s="23">
        <v>40179</v>
      </c>
      <c r="J48" s="37">
        <v>21</v>
      </c>
      <c r="K48" s="24" t="s">
        <v>1367</v>
      </c>
      <c r="L48" s="24" t="s">
        <v>19</v>
      </c>
      <c r="M48" s="24">
        <v>40028</v>
      </c>
      <c r="N48" s="22" t="s">
        <v>585</v>
      </c>
      <c r="O48" s="3">
        <v>9100125</v>
      </c>
      <c r="P48" s="22">
        <v>1010</v>
      </c>
      <c r="Q48" s="22" t="s">
        <v>1497</v>
      </c>
      <c r="R48" s="4" t="s">
        <v>1426</v>
      </c>
      <c r="S48" s="4" t="s">
        <v>404</v>
      </c>
      <c r="T48" s="57">
        <v>40156</v>
      </c>
      <c r="U48" s="4" t="s">
        <v>404</v>
      </c>
      <c r="V48" s="59">
        <v>40247</v>
      </c>
      <c r="W48" s="74">
        <v>0</v>
      </c>
      <c r="X48" s="9">
        <v>40073</v>
      </c>
      <c r="Y48" s="9"/>
      <c r="Z48" s="24" t="s">
        <v>393</v>
      </c>
      <c r="AA48" s="16"/>
    </row>
    <row r="49" spans="1:27" ht="14.25" customHeight="1" x14ac:dyDescent="0.4">
      <c r="B49" s="22">
        <v>0</v>
      </c>
      <c r="C49" s="22">
        <v>0</v>
      </c>
      <c r="D49" s="22">
        <v>0</v>
      </c>
      <c r="E49" s="24">
        <v>40203</v>
      </c>
      <c r="F49" s="24" t="s">
        <v>393</v>
      </c>
      <c r="G49" s="24">
        <v>40217</v>
      </c>
      <c r="H49" s="23">
        <v>0</v>
      </c>
      <c r="I49" s="23">
        <v>40179</v>
      </c>
      <c r="J49" s="37">
        <v>20</v>
      </c>
      <c r="K49" s="24" t="s">
        <v>1367</v>
      </c>
      <c r="L49" s="24" t="s">
        <v>19</v>
      </c>
      <c r="M49" s="24">
        <v>40028</v>
      </c>
      <c r="N49" s="22" t="s">
        <v>585</v>
      </c>
      <c r="O49" s="3">
        <v>9100126</v>
      </c>
      <c r="P49" s="22">
        <v>1010</v>
      </c>
      <c r="Q49" s="22" t="s">
        <v>1498</v>
      </c>
      <c r="R49" s="4" t="s">
        <v>1427</v>
      </c>
      <c r="S49" s="4" t="s">
        <v>404</v>
      </c>
      <c r="T49" s="57">
        <v>40219</v>
      </c>
      <c r="U49" s="4" t="s">
        <v>404</v>
      </c>
      <c r="V49" s="59">
        <v>40219</v>
      </c>
      <c r="W49" s="74">
        <v>0</v>
      </c>
      <c r="X49" s="9">
        <v>40073</v>
      </c>
      <c r="Y49" s="9"/>
      <c r="Z49" s="24" t="s">
        <v>393</v>
      </c>
      <c r="AA49" s="16"/>
    </row>
    <row r="50" spans="1:27" ht="14.25" customHeight="1" x14ac:dyDescent="0.4">
      <c r="B50" s="22">
        <v>0</v>
      </c>
      <c r="C50" s="22" t="s">
        <v>2102</v>
      </c>
      <c r="D50" s="22">
        <v>0</v>
      </c>
      <c r="E50" s="24">
        <v>40126</v>
      </c>
      <c r="F50" s="24" t="s">
        <v>393</v>
      </c>
      <c r="G50" s="24">
        <v>40129</v>
      </c>
      <c r="H50" s="23">
        <v>0</v>
      </c>
      <c r="I50" s="23">
        <v>40118</v>
      </c>
      <c r="J50" s="37">
        <v>10</v>
      </c>
      <c r="K50" s="24" t="s">
        <v>1367</v>
      </c>
      <c r="L50" s="24">
        <v>0</v>
      </c>
      <c r="M50" s="24">
        <v>40028</v>
      </c>
      <c r="N50" s="22" t="s">
        <v>585</v>
      </c>
      <c r="O50" s="3">
        <v>9100127</v>
      </c>
      <c r="P50" s="22">
        <v>1010</v>
      </c>
      <c r="Q50" s="22" t="s">
        <v>1499</v>
      </c>
      <c r="R50" s="4" t="s">
        <v>1373</v>
      </c>
      <c r="S50" s="4" t="s">
        <v>404</v>
      </c>
      <c r="T50" s="59">
        <v>40135</v>
      </c>
      <c r="U50" s="4" t="s">
        <v>404</v>
      </c>
      <c r="V50" s="57">
        <v>40188</v>
      </c>
      <c r="W50" s="74">
        <v>0</v>
      </c>
      <c r="X50" s="28">
        <v>40073</v>
      </c>
      <c r="Y50" s="28"/>
      <c r="Z50" s="24" t="s">
        <v>393</v>
      </c>
      <c r="AA50" s="16"/>
    </row>
    <row r="51" spans="1:27" ht="14.25" customHeight="1" x14ac:dyDescent="0.4">
      <c r="B51" s="22">
        <v>0</v>
      </c>
      <c r="C51" s="22" t="s">
        <v>2165</v>
      </c>
      <c r="D51" s="22">
        <v>0</v>
      </c>
      <c r="E51" s="24">
        <v>40126</v>
      </c>
      <c r="F51" s="24" t="s">
        <v>393</v>
      </c>
      <c r="G51" s="24">
        <v>40134</v>
      </c>
      <c r="H51" s="23">
        <v>0</v>
      </c>
      <c r="I51" s="23">
        <v>40118</v>
      </c>
      <c r="J51" s="37">
        <v>11</v>
      </c>
      <c r="K51" s="24" t="s">
        <v>1367</v>
      </c>
      <c r="L51" s="24">
        <v>0</v>
      </c>
      <c r="M51" s="24">
        <v>40028</v>
      </c>
      <c r="N51" s="22" t="s">
        <v>585</v>
      </c>
      <c r="O51" s="3">
        <v>9100128</v>
      </c>
      <c r="P51" s="22">
        <v>1010</v>
      </c>
      <c r="Q51" s="22" t="s">
        <v>1500</v>
      </c>
      <c r="R51" s="4" t="s">
        <v>1428</v>
      </c>
      <c r="S51" s="4" t="s">
        <v>404</v>
      </c>
      <c r="T51" s="59">
        <v>40162</v>
      </c>
      <c r="U51" s="4" t="s">
        <v>404</v>
      </c>
      <c r="V51" s="57">
        <v>40247</v>
      </c>
      <c r="W51" s="74">
        <v>0</v>
      </c>
      <c r="X51" s="28">
        <v>40073</v>
      </c>
      <c r="Y51" s="28"/>
      <c r="Z51" s="24" t="s">
        <v>393</v>
      </c>
      <c r="AA51" s="16"/>
    </row>
    <row r="52" spans="1:27" ht="14.25" customHeight="1" x14ac:dyDescent="0.4">
      <c r="B52" s="22">
        <v>0</v>
      </c>
      <c r="C52" s="22">
        <v>0</v>
      </c>
      <c r="D52" s="22">
        <v>0</v>
      </c>
      <c r="E52" s="24">
        <v>40247</v>
      </c>
      <c r="F52" s="24" t="s">
        <v>393</v>
      </c>
      <c r="G52" s="24">
        <v>40250</v>
      </c>
      <c r="H52" s="23">
        <v>0</v>
      </c>
      <c r="I52" s="23">
        <v>40238</v>
      </c>
      <c r="J52" s="37">
        <v>5</v>
      </c>
      <c r="K52" s="24" t="s">
        <v>1367</v>
      </c>
      <c r="L52" s="24" t="s">
        <v>2001</v>
      </c>
      <c r="M52" s="24">
        <v>40182</v>
      </c>
      <c r="N52" s="22" t="s">
        <v>585</v>
      </c>
      <c r="O52" s="5">
        <v>9100349</v>
      </c>
      <c r="P52" s="22">
        <v>1010</v>
      </c>
      <c r="Q52" s="22" t="s">
        <v>1501</v>
      </c>
      <c r="R52" s="4" t="s">
        <v>1435</v>
      </c>
      <c r="S52" s="3" t="s">
        <v>404</v>
      </c>
      <c r="T52" s="42">
        <v>40224</v>
      </c>
      <c r="U52" s="3" t="s">
        <v>404</v>
      </c>
      <c r="V52" s="28">
        <v>40269</v>
      </c>
      <c r="W52" s="74">
        <v>0</v>
      </c>
      <c r="X52" s="28">
        <v>40255</v>
      </c>
      <c r="Y52" s="28"/>
      <c r="Z52" s="24" t="s">
        <v>393</v>
      </c>
      <c r="AA52" s="16"/>
    </row>
    <row r="53" spans="1:27" ht="14.25" customHeight="1" x14ac:dyDescent="0.4">
      <c r="A53" s="4"/>
      <c r="B53" s="22">
        <v>0</v>
      </c>
      <c r="C53" s="22" t="s">
        <v>2165</v>
      </c>
      <c r="D53" s="22">
        <v>0</v>
      </c>
      <c r="E53" s="24">
        <v>40198</v>
      </c>
      <c r="F53" s="24" t="s">
        <v>393</v>
      </c>
      <c r="G53" s="24">
        <v>40207</v>
      </c>
      <c r="H53" s="23">
        <v>0</v>
      </c>
      <c r="I53" s="23">
        <v>40179</v>
      </c>
      <c r="J53" s="37">
        <v>16</v>
      </c>
      <c r="K53" s="24" t="s">
        <v>1367</v>
      </c>
      <c r="L53" s="24" t="s">
        <v>1999</v>
      </c>
      <c r="M53" s="24">
        <v>40182</v>
      </c>
      <c r="N53" s="22" t="s">
        <v>585</v>
      </c>
      <c r="O53" s="5">
        <v>9100343</v>
      </c>
      <c r="P53" s="22">
        <v>1010</v>
      </c>
      <c r="Q53" s="22" t="s">
        <v>1502</v>
      </c>
      <c r="R53" s="4" t="s">
        <v>1436</v>
      </c>
      <c r="S53" s="3" t="s">
        <v>404</v>
      </c>
      <c r="T53" s="43">
        <v>40188</v>
      </c>
      <c r="U53" s="3" t="s">
        <v>404</v>
      </c>
      <c r="V53" s="62">
        <v>40247</v>
      </c>
      <c r="W53" s="74">
        <v>0</v>
      </c>
      <c r="X53" s="28">
        <v>40214</v>
      </c>
      <c r="Y53" s="28"/>
      <c r="Z53" s="24" t="s">
        <v>393</v>
      </c>
      <c r="AA53" s="16"/>
    </row>
    <row r="54" spans="1:27" ht="14.25" customHeight="1" x14ac:dyDescent="0.4">
      <c r="A54" s="4"/>
      <c r="B54" s="22">
        <v>0</v>
      </c>
      <c r="C54" s="22" t="s">
        <v>2165</v>
      </c>
      <c r="D54" s="22">
        <v>0</v>
      </c>
      <c r="E54" s="24">
        <v>40198</v>
      </c>
      <c r="F54" s="24" t="s">
        <v>393</v>
      </c>
      <c r="G54" s="24">
        <v>40203</v>
      </c>
      <c r="H54" s="23">
        <v>0</v>
      </c>
      <c r="I54" s="23">
        <v>40179</v>
      </c>
      <c r="J54" s="37">
        <v>17</v>
      </c>
      <c r="K54" s="24" t="s">
        <v>1367</v>
      </c>
      <c r="L54" s="24" t="s">
        <v>1999</v>
      </c>
      <c r="M54" s="24">
        <v>40182</v>
      </c>
      <c r="N54" s="22" t="s">
        <v>585</v>
      </c>
      <c r="O54" s="5">
        <v>9100344</v>
      </c>
      <c r="P54" s="22">
        <v>1010</v>
      </c>
      <c r="Q54" s="22" t="s">
        <v>1503</v>
      </c>
      <c r="R54" s="4" t="s">
        <v>1445</v>
      </c>
      <c r="S54" s="3" t="s">
        <v>404</v>
      </c>
      <c r="T54" s="43">
        <v>40179</v>
      </c>
      <c r="U54" s="3" t="s">
        <v>404</v>
      </c>
      <c r="V54" s="62">
        <v>40247</v>
      </c>
      <c r="W54" s="74">
        <v>0</v>
      </c>
      <c r="X54" s="28">
        <v>40206</v>
      </c>
      <c r="Y54" s="28"/>
      <c r="Z54" s="24" t="s">
        <v>393</v>
      </c>
      <c r="AA54" s="16"/>
    </row>
    <row r="55" spans="1:27" ht="14.25" customHeight="1" x14ac:dyDescent="0.4">
      <c r="B55" s="22">
        <v>0</v>
      </c>
      <c r="C55" s="22" t="s">
        <v>2165</v>
      </c>
      <c r="D55" s="22">
        <v>0</v>
      </c>
      <c r="E55" s="24">
        <v>40199</v>
      </c>
      <c r="F55" s="24" t="s">
        <v>393</v>
      </c>
      <c r="G55" s="24">
        <v>40204</v>
      </c>
      <c r="H55" s="23">
        <v>0</v>
      </c>
      <c r="I55" s="23">
        <v>40179</v>
      </c>
      <c r="J55" s="37">
        <v>18</v>
      </c>
      <c r="K55" s="24" t="s">
        <v>1367</v>
      </c>
      <c r="L55" s="24" t="s">
        <v>1999</v>
      </c>
      <c r="M55" s="24">
        <v>40182</v>
      </c>
      <c r="N55" s="22" t="s">
        <v>585</v>
      </c>
      <c r="O55" s="5">
        <v>9100345</v>
      </c>
      <c r="P55" s="22">
        <v>1010</v>
      </c>
      <c r="Q55" s="22" t="s">
        <v>1504</v>
      </c>
      <c r="R55" s="4" t="s">
        <v>1437</v>
      </c>
      <c r="S55" s="4" t="s">
        <v>404</v>
      </c>
      <c r="T55" s="43">
        <v>40179</v>
      </c>
      <c r="U55" s="4" t="s">
        <v>404</v>
      </c>
      <c r="V55" s="59">
        <v>40247</v>
      </c>
      <c r="W55" s="74">
        <v>0</v>
      </c>
      <c r="X55" s="28">
        <v>40207</v>
      </c>
      <c r="Y55" s="28"/>
      <c r="Z55" s="24" t="s">
        <v>393</v>
      </c>
      <c r="AA55" s="16"/>
    </row>
    <row r="56" spans="1:27" ht="14.25" customHeight="1" x14ac:dyDescent="0.4">
      <c r="A56" s="5"/>
      <c r="B56" s="22" t="s">
        <v>1087</v>
      </c>
      <c r="C56" s="22" t="s">
        <v>2165</v>
      </c>
      <c r="D56" s="22">
        <v>0</v>
      </c>
      <c r="E56" s="24">
        <v>40199</v>
      </c>
      <c r="F56" s="24" t="s">
        <v>393</v>
      </c>
      <c r="G56" s="24">
        <v>40212</v>
      </c>
      <c r="H56" s="23">
        <v>0</v>
      </c>
      <c r="I56" s="23">
        <v>40179</v>
      </c>
      <c r="J56" s="37">
        <v>19</v>
      </c>
      <c r="K56" s="24" t="s">
        <v>1367</v>
      </c>
      <c r="L56" s="24" t="s">
        <v>1999</v>
      </c>
      <c r="M56" s="24">
        <v>40182</v>
      </c>
      <c r="N56" s="22" t="s">
        <v>585</v>
      </c>
      <c r="O56" s="5">
        <v>9100346</v>
      </c>
      <c r="P56" s="22">
        <v>1010</v>
      </c>
      <c r="Q56" s="22" t="s">
        <v>1505</v>
      </c>
      <c r="R56" s="4" t="s">
        <v>1446</v>
      </c>
      <c r="S56" s="4" t="s">
        <v>404</v>
      </c>
      <c r="T56" s="43">
        <v>40179</v>
      </c>
      <c r="U56" s="4" t="s">
        <v>404</v>
      </c>
      <c r="V56" s="59">
        <v>40247</v>
      </c>
      <c r="W56" s="74">
        <v>0</v>
      </c>
      <c r="X56" s="28">
        <v>40217</v>
      </c>
      <c r="Y56" s="28"/>
      <c r="Z56" s="24" t="s">
        <v>393</v>
      </c>
      <c r="AA56" s="16"/>
    </row>
    <row r="57" spans="1:27" ht="14.25" customHeight="1" x14ac:dyDescent="0.4">
      <c r="B57" s="22">
        <v>0</v>
      </c>
      <c r="C57" s="22" t="s">
        <v>2165</v>
      </c>
      <c r="D57" s="22">
        <v>0</v>
      </c>
      <c r="E57" s="24">
        <v>40204</v>
      </c>
      <c r="F57" s="24" t="s">
        <v>393</v>
      </c>
      <c r="G57" s="24">
        <v>40207</v>
      </c>
      <c r="H57" s="23">
        <v>0</v>
      </c>
      <c r="I57" s="23">
        <v>40179</v>
      </c>
      <c r="J57" s="37">
        <v>22</v>
      </c>
      <c r="K57" s="24" t="s">
        <v>1367</v>
      </c>
      <c r="L57" s="24" t="s">
        <v>1999</v>
      </c>
      <c r="M57" s="24">
        <v>40182</v>
      </c>
      <c r="N57" s="22" t="s">
        <v>585</v>
      </c>
      <c r="O57" s="5">
        <v>9100347</v>
      </c>
      <c r="P57" s="22">
        <v>1010</v>
      </c>
      <c r="Q57" s="22" t="s">
        <v>1030</v>
      </c>
      <c r="R57" s="4" t="s">
        <v>1439</v>
      </c>
      <c r="S57" s="4" t="s">
        <v>404</v>
      </c>
      <c r="T57" s="43">
        <v>40211</v>
      </c>
      <c r="U57" s="4" t="s">
        <v>404</v>
      </c>
      <c r="V57" s="59">
        <v>40247</v>
      </c>
      <c r="W57" s="74">
        <v>0</v>
      </c>
      <c r="X57" s="28">
        <v>40214</v>
      </c>
      <c r="Y57" s="28"/>
      <c r="Z57" s="24" t="s">
        <v>393</v>
      </c>
      <c r="AA57" s="16"/>
    </row>
    <row r="58" spans="1:27" ht="14.25" customHeight="1" x14ac:dyDescent="0.4">
      <c r="B58" s="22">
        <v>0</v>
      </c>
      <c r="C58" s="22">
        <v>0</v>
      </c>
      <c r="D58" s="22">
        <v>0</v>
      </c>
      <c r="E58" s="24">
        <v>40204</v>
      </c>
      <c r="F58" s="24" t="s">
        <v>393</v>
      </c>
      <c r="G58" s="24">
        <v>40207</v>
      </c>
      <c r="H58" s="23">
        <v>0</v>
      </c>
      <c r="I58" s="23">
        <v>40179</v>
      </c>
      <c r="J58" s="37">
        <v>23</v>
      </c>
      <c r="K58" s="24" t="s">
        <v>1367</v>
      </c>
      <c r="L58" s="24" t="s">
        <v>1999</v>
      </c>
      <c r="M58" s="24">
        <v>40182</v>
      </c>
      <c r="N58" s="22" t="s">
        <v>585</v>
      </c>
      <c r="O58" s="5">
        <v>9100348</v>
      </c>
      <c r="P58" s="22">
        <v>1010</v>
      </c>
      <c r="Q58" s="22" t="s">
        <v>1030</v>
      </c>
      <c r="R58" s="4" t="s">
        <v>1440</v>
      </c>
      <c r="S58" s="38" t="s">
        <v>404</v>
      </c>
      <c r="T58" s="43">
        <v>40211</v>
      </c>
      <c r="U58" s="38" t="s">
        <v>404</v>
      </c>
      <c r="V58" s="62">
        <v>40247</v>
      </c>
      <c r="W58" s="74">
        <v>0</v>
      </c>
      <c r="X58" s="9">
        <v>40214</v>
      </c>
      <c r="Y58" s="9"/>
      <c r="Z58" s="24" t="s">
        <v>393</v>
      </c>
      <c r="AA58" s="16"/>
    </row>
    <row r="59" spans="1:27" ht="14.25" customHeight="1" x14ac:dyDescent="0.4">
      <c r="A59" s="4"/>
      <c r="B59" s="22">
        <v>0</v>
      </c>
      <c r="C59" s="22" t="s">
        <v>2102</v>
      </c>
      <c r="D59" s="22">
        <v>0</v>
      </c>
      <c r="E59" s="24">
        <v>40247</v>
      </c>
      <c r="F59" s="24" t="s">
        <v>393</v>
      </c>
      <c r="G59" s="24">
        <v>40255</v>
      </c>
      <c r="H59" s="23">
        <v>0</v>
      </c>
      <c r="I59" s="23">
        <v>40238</v>
      </c>
      <c r="J59" s="37">
        <v>6</v>
      </c>
      <c r="K59" s="24" t="s">
        <v>1367</v>
      </c>
      <c r="L59" s="24" t="s">
        <v>2001</v>
      </c>
      <c r="M59" s="24">
        <v>40182</v>
      </c>
      <c r="N59" s="22" t="s">
        <v>585</v>
      </c>
      <c r="O59" s="5">
        <v>9100350</v>
      </c>
      <c r="P59" s="22">
        <v>1010</v>
      </c>
      <c r="Q59" s="22" t="s">
        <v>1501</v>
      </c>
      <c r="R59" s="4" t="s">
        <v>1429</v>
      </c>
      <c r="S59" s="3" t="s">
        <v>404</v>
      </c>
      <c r="T59" s="43">
        <v>40224</v>
      </c>
      <c r="U59" s="3" t="s">
        <v>404</v>
      </c>
      <c r="V59" s="62">
        <v>40247</v>
      </c>
      <c r="W59" s="74">
        <v>0</v>
      </c>
      <c r="X59" s="28">
        <v>40262</v>
      </c>
      <c r="Y59" s="28"/>
      <c r="Z59" s="24" t="s">
        <v>393</v>
      </c>
      <c r="AA59" s="16"/>
    </row>
    <row r="60" spans="1:27" ht="14.25" customHeight="1" x14ac:dyDescent="0.4">
      <c r="B60" s="22">
        <v>0</v>
      </c>
      <c r="C60" s="22" t="s">
        <v>2165</v>
      </c>
      <c r="D60" s="22">
        <v>0</v>
      </c>
      <c r="E60" s="24">
        <v>40226</v>
      </c>
      <c r="F60" s="24" t="s">
        <v>393</v>
      </c>
      <c r="G60" s="24">
        <v>40232</v>
      </c>
      <c r="H60" s="23">
        <v>0</v>
      </c>
      <c r="I60" s="23">
        <v>40210</v>
      </c>
      <c r="J60" s="37">
        <v>17</v>
      </c>
      <c r="K60" s="24" t="s">
        <v>1367</v>
      </c>
      <c r="L60" s="24" t="s">
        <v>1724</v>
      </c>
      <c r="M60" s="24">
        <v>40214</v>
      </c>
      <c r="N60" s="22" t="s">
        <v>585</v>
      </c>
      <c r="O60" s="4">
        <v>9100400</v>
      </c>
      <c r="P60" s="22">
        <v>1010</v>
      </c>
      <c r="Q60" s="22" t="s">
        <v>1506</v>
      </c>
      <c r="R60" s="4" t="s">
        <v>1430</v>
      </c>
      <c r="S60" s="38" t="s">
        <v>404</v>
      </c>
      <c r="T60" s="44">
        <v>40224</v>
      </c>
      <c r="U60" s="38" t="s">
        <v>404</v>
      </c>
      <c r="V60" s="9">
        <v>40247</v>
      </c>
      <c r="W60" s="74">
        <v>0</v>
      </c>
      <c r="X60" s="9">
        <v>40235</v>
      </c>
      <c r="Y60" s="9"/>
      <c r="Z60" s="24" t="s">
        <v>393</v>
      </c>
      <c r="AA60" s="16"/>
    </row>
    <row r="61" spans="1:27" ht="14.25" customHeight="1" x14ac:dyDescent="0.4">
      <c r="B61" s="22">
        <v>0</v>
      </c>
      <c r="C61" s="22">
        <v>0</v>
      </c>
      <c r="D61" s="22">
        <v>0</v>
      </c>
      <c r="E61" s="24">
        <v>40248</v>
      </c>
      <c r="F61" s="24" t="s">
        <v>393</v>
      </c>
      <c r="G61" s="24">
        <v>40250</v>
      </c>
      <c r="H61" s="23">
        <v>0</v>
      </c>
      <c r="I61" s="23">
        <v>40238</v>
      </c>
      <c r="J61" s="37">
        <v>7</v>
      </c>
      <c r="K61" s="24" t="s">
        <v>1367</v>
      </c>
      <c r="L61" s="24" t="s">
        <v>2001</v>
      </c>
      <c r="M61" s="24">
        <v>40230</v>
      </c>
      <c r="N61" s="22" t="s">
        <v>585</v>
      </c>
      <c r="O61" s="4">
        <v>9100403</v>
      </c>
      <c r="P61" s="22">
        <v>1010</v>
      </c>
      <c r="Q61" s="22" t="s">
        <v>1507</v>
      </c>
      <c r="R61" s="38" t="s">
        <v>1701</v>
      </c>
      <c r="S61" s="38" t="s">
        <v>404</v>
      </c>
      <c r="T61" s="44">
        <v>40255</v>
      </c>
      <c r="U61" s="38" t="s">
        <v>404</v>
      </c>
      <c r="V61" s="59">
        <v>40247</v>
      </c>
      <c r="W61" s="74">
        <v>0</v>
      </c>
      <c r="X61" s="43">
        <v>40255</v>
      </c>
      <c r="Z61" s="24" t="s">
        <v>393</v>
      </c>
      <c r="AA61" s="16"/>
    </row>
    <row r="62" spans="1:27" ht="14.25" customHeight="1" x14ac:dyDescent="0.4">
      <c r="B62" s="22">
        <v>0</v>
      </c>
      <c r="C62" s="22" t="s">
        <v>2165</v>
      </c>
      <c r="D62" s="22">
        <v>0</v>
      </c>
      <c r="E62" s="24">
        <v>40252</v>
      </c>
      <c r="F62" s="24" t="s">
        <v>393</v>
      </c>
      <c r="G62" s="24">
        <v>40255</v>
      </c>
      <c r="H62" s="23">
        <v>0</v>
      </c>
      <c r="I62" s="23">
        <v>40238</v>
      </c>
      <c r="J62" s="37">
        <v>8</v>
      </c>
      <c r="K62" s="24" t="s">
        <v>1367</v>
      </c>
      <c r="L62" s="24" t="s">
        <v>2001</v>
      </c>
      <c r="M62" s="24">
        <v>40230</v>
      </c>
      <c r="N62" s="22" t="s">
        <v>585</v>
      </c>
      <c r="O62" s="4">
        <v>9100404</v>
      </c>
      <c r="P62" s="22">
        <v>1010</v>
      </c>
      <c r="Q62" s="22" t="s">
        <v>1508</v>
      </c>
      <c r="R62" s="4" t="s">
        <v>1441</v>
      </c>
      <c r="S62" s="38" t="s">
        <v>404</v>
      </c>
      <c r="T62" s="44">
        <v>40242</v>
      </c>
      <c r="U62" s="38" t="s">
        <v>404</v>
      </c>
      <c r="V62" s="9">
        <v>40247</v>
      </c>
      <c r="W62" s="74">
        <v>0</v>
      </c>
      <c r="X62" s="9">
        <v>40262</v>
      </c>
      <c r="Y62" s="9"/>
      <c r="Z62" s="24" t="s">
        <v>393</v>
      </c>
      <c r="AA62" s="16"/>
    </row>
    <row r="63" spans="1:27" ht="14.25" customHeight="1" x14ac:dyDescent="0.4">
      <c r="B63" s="22">
        <v>0</v>
      </c>
      <c r="C63" s="22" t="s">
        <v>2165</v>
      </c>
      <c r="D63" s="22">
        <v>0</v>
      </c>
      <c r="E63" s="24">
        <v>40254</v>
      </c>
      <c r="F63" s="24" t="s">
        <v>393</v>
      </c>
      <c r="G63" s="24">
        <v>40260</v>
      </c>
      <c r="H63" s="23">
        <v>0</v>
      </c>
      <c r="I63" s="23">
        <v>40238</v>
      </c>
      <c r="J63" s="37">
        <v>11</v>
      </c>
      <c r="K63" s="24" t="s">
        <v>1367</v>
      </c>
      <c r="L63" s="24" t="s">
        <v>2001</v>
      </c>
      <c r="M63" s="24">
        <v>40230</v>
      </c>
      <c r="N63" s="22" t="s">
        <v>585</v>
      </c>
      <c r="O63" s="4">
        <v>9100405</v>
      </c>
      <c r="P63" s="22">
        <v>1010</v>
      </c>
      <c r="Q63" s="22" t="s">
        <v>1509</v>
      </c>
      <c r="R63" s="4" t="s">
        <v>1702</v>
      </c>
      <c r="S63" s="38" t="s">
        <v>404</v>
      </c>
      <c r="T63" s="44">
        <v>40262</v>
      </c>
      <c r="U63" s="38" t="s">
        <v>404</v>
      </c>
      <c r="V63" s="9">
        <v>40247</v>
      </c>
      <c r="W63" s="74">
        <v>0</v>
      </c>
      <c r="X63" s="9">
        <v>40262</v>
      </c>
      <c r="Y63" s="9"/>
      <c r="Z63" s="24" t="s">
        <v>393</v>
      </c>
      <c r="AA63" s="16"/>
    </row>
    <row r="64" spans="1:27" ht="14.25" customHeight="1" x14ac:dyDescent="0.4">
      <c r="B64" s="22">
        <v>0</v>
      </c>
      <c r="C64" s="22">
        <v>0</v>
      </c>
      <c r="D64" s="22">
        <v>0</v>
      </c>
      <c r="E64" s="24">
        <v>40254</v>
      </c>
      <c r="F64" s="24" t="s">
        <v>393</v>
      </c>
      <c r="G64" s="24">
        <v>40268</v>
      </c>
      <c r="H64" s="23">
        <v>0</v>
      </c>
      <c r="I64" s="23">
        <v>40238</v>
      </c>
      <c r="J64" s="37">
        <v>12</v>
      </c>
      <c r="K64" s="24" t="s">
        <v>1367</v>
      </c>
      <c r="L64" s="24" t="s">
        <v>2001</v>
      </c>
      <c r="M64" s="24">
        <v>40230</v>
      </c>
      <c r="N64" s="22" t="s">
        <v>585</v>
      </c>
      <c r="O64" s="4">
        <v>9100406</v>
      </c>
      <c r="P64" s="22">
        <v>1010</v>
      </c>
      <c r="Q64" s="22" t="s">
        <v>1511</v>
      </c>
      <c r="R64" s="4" t="s">
        <v>1447</v>
      </c>
      <c r="S64" s="38" t="s">
        <v>404</v>
      </c>
      <c r="T64" s="44">
        <v>40245</v>
      </c>
      <c r="U64" s="38" t="s">
        <v>404</v>
      </c>
      <c r="V64" s="9">
        <v>40247</v>
      </c>
      <c r="W64" s="74">
        <v>0</v>
      </c>
      <c r="X64" s="9">
        <v>40283</v>
      </c>
      <c r="Y64" s="9"/>
      <c r="Z64" s="24" t="s">
        <v>393</v>
      </c>
      <c r="AA64" s="16"/>
    </row>
    <row r="65" spans="1:27" ht="14.25" customHeight="1" x14ac:dyDescent="0.4">
      <c r="B65" s="22">
        <v>0</v>
      </c>
      <c r="C65" s="22" t="s">
        <v>2165</v>
      </c>
      <c r="D65" s="22">
        <v>0</v>
      </c>
      <c r="E65" s="24">
        <v>40262</v>
      </c>
      <c r="F65" s="24" t="s">
        <v>393</v>
      </c>
      <c r="G65" s="24">
        <v>40268</v>
      </c>
      <c r="H65" s="23">
        <v>0</v>
      </c>
      <c r="I65" s="23">
        <v>40238</v>
      </c>
      <c r="J65" s="37">
        <v>20</v>
      </c>
      <c r="K65" s="24" t="s">
        <v>1367</v>
      </c>
      <c r="L65" s="24">
        <v>0</v>
      </c>
      <c r="M65" s="24">
        <v>40247</v>
      </c>
      <c r="N65" s="22" t="s">
        <v>585</v>
      </c>
      <c r="O65" s="4">
        <v>9100501</v>
      </c>
      <c r="P65" s="22">
        <v>1010</v>
      </c>
      <c r="Q65" s="22" t="s">
        <v>1512</v>
      </c>
      <c r="R65" s="4" t="s">
        <v>1723</v>
      </c>
      <c r="S65" s="38" t="s">
        <v>404</v>
      </c>
      <c r="T65" s="44">
        <v>40283</v>
      </c>
      <c r="U65" s="38" t="s">
        <v>404</v>
      </c>
      <c r="V65" s="9">
        <v>40299</v>
      </c>
      <c r="W65" s="74">
        <v>0</v>
      </c>
      <c r="X65" s="9">
        <v>40283</v>
      </c>
      <c r="Y65" s="9"/>
      <c r="Z65" s="24" t="s">
        <v>393</v>
      </c>
      <c r="AA65" s="16"/>
    </row>
    <row r="66" spans="1:27" ht="14.25" customHeight="1" x14ac:dyDescent="0.4">
      <c r="B66" s="22">
        <v>0</v>
      </c>
      <c r="C66" s="22" t="s">
        <v>2165</v>
      </c>
      <c r="D66" s="22">
        <v>0</v>
      </c>
      <c r="E66" s="24">
        <v>40263</v>
      </c>
      <c r="F66" s="24" t="s">
        <v>393</v>
      </c>
      <c r="G66" s="24">
        <v>40273</v>
      </c>
      <c r="H66" s="23">
        <v>0</v>
      </c>
      <c r="I66" s="23">
        <v>40238</v>
      </c>
      <c r="J66" s="37">
        <v>21</v>
      </c>
      <c r="K66" s="24" t="s">
        <v>1367</v>
      </c>
      <c r="L66" s="24">
        <v>0</v>
      </c>
      <c r="M66" s="24">
        <v>40247</v>
      </c>
      <c r="N66" s="22" t="s">
        <v>585</v>
      </c>
      <c r="O66" s="4">
        <v>9100502</v>
      </c>
      <c r="P66" s="22">
        <v>1010</v>
      </c>
      <c r="Q66" s="22" t="s">
        <v>1513</v>
      </c>
      <c r="R66" s="4" t="s">
        <v>1740</v>
      </c>
      <c r="S66" s="4" t="s">
        <v>404</v>
      </c>
      <c r="T66" s="44">
        <v>40317</v>
      </c>
      <c r="U66" s="38" t="s">
        <v>404</v>
      </c>
      <c r="V66" s="9">
        <v>40299</v>
      </c>
      <c r="W66" s="74">
        <v>0</v>
      </c>
      <c r="X66" s="9">
        <v>40277</v>
      </c>
      <c r="Y66" s="9"/>
      <c r="Z66" s="24" t="s">
        <v>393</v>
      </c>
      <c r="AA66" s="16"/>
    </row>
    <row r="67" spans="1:27" ht="14.25" customHeight="1" x14ac:dyDescent="0.4">
      <c r="A67" s="4"/>
      <c r="B67" s="22">
        <v>0</v>
      </c>
      <c r="C67" s="22" t="s">
        <v>2165</v>
      </c>
      <c r="D67" s="22">
        <v>0</v>
      </c>
      <c r="E67" s="24">
        <v>40266</v>
      </c>
      <c r="F67" s="24" t="s">
        <v>393</v>
      </c>
      <c r="G67" s="24">
        <v>40281</v>
      </c>
      <c r="H67" s="23">
        <v>0</v>
      </c>
      <c r="I67" s="23">
        <v>40238</v>
      </c>
      <c r="J67" s="37">
        <v>24</v>
      </c>
      <c r="K67" s="24" t="s">
        <v>1367</v>
      </c>
      <c r="L67" s="24" t="s">
        <v>1724</v>
      </c>
      <c r="M67" s="24">
        <v>40254</v>
      </c>
      <c r="N67" s="22" t="s">
        <v>585</v>
      </c>
      <c r="O67" s="4">
        <v>9100504</v>
      </c>
      <c r="P67" s="22">
        <v>1010</v>
      </c>
      <c r="Q67" s="22" t="s">
        <v>1514</v>
      </c>
      <c r="R67" s="38" t="s">
        <v>1914</v>
      </c>
      <c r="S67" s="4" t="s">
        <v>404</v>
      </c>
      <c r="T67" s="44">
        <v>40441</v>
      </c>
      <c r="U67" s="38" t="s">
        <v>404</v>
      </c>
      <c r="V67" s="9">
        <v>40441</v>
      </c>
      <c r="W67" s="74">
        <v>0</v>
      </c>
      <c r="X67" s="9">
        <v>40287</v>
      </c>
      <c r="Y67" s="9"/>
      <c r="Z67" s="24" t="s">
        <v>393</v>
      </c>
      <c r="AA67" s="16"/>
    </row>
    <row r="68" spans="1:27" ht="14.25" customHeight="1" x14ac:dyDescent="0.4">
      <c r="A68" s="4"/>
      <c r="B68" s="22">
        <v>0</v>
      </c>
      <c r="C68" s="22">
        <v>0</v>
      </c>
      <c r="D68" s="22">
        <v>0</v>
      </c>
      <c r="E68" s="24">
        <v>40267</v>
      </c>
      <c r="F68" s="24" t="s">
        <v>393</v>
      </c>
      <c r="G68" s="24">
        <v>40276</v>
      </c>
      <c r="H68" s="23">
        <v>0</v>
      </c>
      <c r="I68" s="23">
        <v>40238</v>
      </c>
      <c r="J68" s="37">
        <v>25</v>
      </c>
      <c r="K68" s="24" t="s">
        <v>1367</v>
      </c>
      <c r="L68" s="24" t="s">
        <v>1724</v>
      </c>
      <c r="M68" s="24">
        <v>40254</v>
      </c>
      <c r="N68" s="22" t="s">
        <v>585</v>
      </c>
      <c r="O68" s="4">
        <v>9100505</v>
      </c>
      <c r="P68" s="22">
        <v>715</v>
      </c>
      <c r="Q68" s="22" t="s">
        <v>1515</v>
      </c>
      <c r="R68" s="4" t="s">
        <v>1720</v>
      </c>
      <c r="S68" s="4" t="s">
        <v>404</v>
      </c>
      <c r="T68" s="44">
        <v>40291</v>
      </c>
      <c r="U68" s="38" t="s">
        <v>404</v>
      </c>
      <c r="V68" s="9">
        <v>40299</v>
      </c>
      <c r="W68" s="74">
        <v>0</v>
      </c>
      <c r="X68" s="9">
        <v>40283</v>
      </c>
      <c r="Y68" s="9"/>
      <c r="Z68" s="24" t="s">
        <v>393</v>
      </c>
      <c r="AA68" s="16"/>
    </row>
    <row r="69" spans="1:27" ht="14.25" customHeight="1" x14ac:dyDescent="0.4">
      <c r="B69" s="22">
        <v>0</v>
      </c>
      <c r="C69" s="22" t="s">
        <v>2165</v>
      </c>
      <c r="D69" s="22">
        <v>0</v>
      </c>
      <c r="E69" s="24">
        <v>40308</v>
      </c>
      <c r="F69" s="24" t="s">
        <v>393</v>
      </c>
      <c r="G69" s="24">
        <v>40311</v>
      </c>
      <c r="H69" s="23">
        <v>0</v>
      </c>
      <c r="I69" s="23">
        <v>40299</v>
      </c>
      <c r="J69" s="37">
        <v>2</v>
      </c>
      <c r="K69" s="24" t="s">
        <v>1367</v>
      </c>
      <c r="L69" s="24" t="s">
        <v>20</v>
      </c>
      <c r="M69" s="24">
        <v>40292</v>
      </c>
      <c r="N69" s="22" t="s">
        <v>585</v>
      </c>
      <c r="O69" s="4">
        <v>9100800</v>
      </c>
      <c r="P69" s="22">
        <v>1010</v>
      </c>
      <c r="Q69" s="22" t="s">
        <v>1730</v>
      </c>
      <c r="R69" s="38" t="s">
        <v>784</v>
      </c>
      <c r="S69" s="4" t="s">
        <v>404</v>
      </c>
      <c r="T69" s="44">
        <v>40319</v>
      </c>
      <c r="U69" s="38" t="s">
        <v>404</v>
      </c>
      <c r="V69" s="9">
        <v>40330</v>
      </c>
      <c r="W69" s="74">
        <v>0</v>
      </c>
      <c r="X69" s="9">
        <v>40315</v>
      </c>
      <c r="Y69" s="9"/>
      <c r="Z69" s="24" t="s">
        <v>393</v>
      </c>
      <c r="AA69" s="16"/>
    </row>
    <row r="70" spans="1:27" ht="14.25" customHeight="1" x14ac:dyDescent="0.4">
      <c r="A70" s="4"/>
      <c r="B70" s="22">
        <v>0</v>
      </c>
      <c r="C70" s="22" t="s">
        <v>2165</v>
      </c>
      <c r="D70" s="22">
        <v>0</v>
      </c>
      <c r="E70" s="24">
        <v>40309</v>
      </c>
      <c r="F70" s="24" t="s">
        <v>393</v>
      </c>
      <c r="G70" s="24">
        <v>40311</v>
      </c>
      <c r="H70" s="23">
        <v>0</v>
      </c>
      <c r="I70" s="23">
        <v>40299</v>
      </c>
      <c r="J70" s="37">
        <v>3</v>
      </c>
      <c r="K70" s="24" t="s">
        <v>1367</v>
      </c>
      <c r="L70" s="24" t="s">
        <v>20</v>
      </c>
      <c r="M70" s="24">
        <v>40292</v>
      </c>
      <c r="N70" s="22" t="s">
        <v>585</v>
      </c>
      <c r="O70" s="4">
        <v>9100801</v>
      </c>
      <c r="P70" s="22">
        <v>715</v>
      </c>
      <c r="Q70" s="22" t="s">
        <v>1731</v>
      </c>
      <c r="R70" s="4" t="s">
        <v>1734</v>
      </c>
      <c r="S70" s="4" t="s">
        <v>404</v>
      </c>
      <c r="T70" s="44">
        <v>40299</v>
      </c>
      <c r="U70" s="38" t="s">
        <v>404</v>
      </c>
      <c r="V70" s="9">
        <v>40299</v>
      </c>
      <c r="W70" s="74">
        <v>0</v>
      </c>
      <c r="X70" s="9">
        <v>40315</v>
      </c>
      <c r="Y70" s="9"/>
      <c r="Z70" s="24" t="s">
        <v>393</v>
      </c>
      <c r="AA70" s="16"/>
    </row>
    <row r="71" spans="1:27" ht="14.25" customHeight="1" x14ac:dyDescent="0.4">
      <c r="A71" s="4"/>
      <c r="B71" s="22">
        <v>0</v>
      </c>
      <c r="C71" s="22">
        <v>0</v>
      </c>
      <c r="D71" s="22">
        <v>0</v>
      </c>
      <c r="E71" s="24">
        <v>40310</v>
      </c>
      <c r="F71" s="24" t="s">
        <v>393</v>
      </c>
      <c r="G71" s="24">
        <v>40315</v>
      </c>
      <c r="H71" s="23">
        <v>0</v>
      </c>
      <c r="I71" s="23">
        <v>40299</v>
      </c>
      <c r="J71" s="37">
        <v>4</v>
      </c>
      <c r="K71" s="24" t="s">
        <v>1367</v>
      </c>
      <c r="L71" s="24" t="s">
        <v>20</v>
      </c>
      <c r="M71" s="24">
        <v>40292</v>
      </c>
      <c r="N71" s="22" t="s">
        <v>585</v>
      </c>
      <c r="O71" s="4">
        <v>9100802</v>
      </c>
      <c r="P71" s="22">
        <v>1010</v>
      </c>
      <c r="Q71" s="22" t="s">
        <v>1732</v>
      </c>
      <c r="R71" s="4" t="s">
        <v>1741</v>
      </c>
      <c r="S71" s="4" t="s">
        <v>404</v>
      </c>
      <c r="T71" s="44">
        <v>40319</v>
      </c>
      <c r="U71" s="38" t="s">
        <v>404</v>
      </c>
      <c r="V71" s="9">
        <v>40299</v>
      </c>
      <c r="W71" s="74">
        <v>0</v>
      </c>
      <c r="X71" s="9">
        <v>40319</v>
      </c>
      <c r="Y71" s="9"/>
      <c r="Z71" s="24" t="s">
        <v>393</v>
      </c>
      <c r="AA71" s="16"/>
    </row>
    <row r="72" spans="1:27" ht="14.25" customHeight="1" x14ac:dyDescent="0.4">
      <c r="A72" s="4"/>
      <c r="B72" s="22">
        <v>0</v>
      </c>
      <c r="C72" s="22">
        <v>0</v>
      </c>
      <c r="D72" s="22">
        <v>0</v>
      </c>
      <c r="E72" s="24">
        <v>40311</v>
      </c>
      <c r="F72" s="24" t="s">
        <v>393</v>
      </c>
      <c r="G72" s="24">
        <v>40311</v>
      </c>
      <c r="H72" s="23">
        <v>0</v>
      </c>
      <c r="I72" s="23">
        <v>40299</v>
      </c>
      <c r="J72" s="37">
        <v>5</v>
      </c>
      <c r="K72" s="24" t="s">
        <v>1367</v>
      </c>
      <c r="L72" s="24" t="s">
        <v>20</v>
      </c>
      <c r="M72" s="24">
        <v>40292</v>
      </c>
      <c r="N72" s="22" t="s">
        <v>585</v>
      </c>
      <c r="O72" s="4">
        <v>9100803</v>
      </c>
      <c r="P72" s="22">
        <v>715</v>
      </c>
      <c r="Q72" s="22" t="s">
        <v>1733</v>
      </c>
      <c r="R72" s="4" t="s">
        <v>1735</v>
      </c>
      <c r="S72" s="38" t="s">
        <v>404</v>
      </c>
      <c r="T72" s="44">
        <v>40306</v>
      </c>
      <c r="U72" s="38" t="s">
        <v>404</v>
      </c>
      <c r="V72" s="9">
        <v>40299</v>
      </c>
      <c r="W72" s="74">
        <v>0</v>
      </c>
      <c r="X72" s="9">
        <v>40315</v>
      </c>
      <c r="Y72" s="9"/>
      <c r="Z72" s="24" t="s">
        <v>393</v>
      </c>
      <c r="AA72" s="16"/>
    </row>
    <row r="73" spans="1:27" ht="14.25" customHeight="1" x14ac:dyDescent="0.4">
      <c r="B73" s="22">
        <v>0</v>
      </c>
      <c r="C73" s="22" t="s">
        <v>2165</v>
      </c>
      <c r="D73" s="22">
        <v>0</v>
      </c>
      <c r="E73" s="24">
        <v>40317</v>
      </c>
      <c r="F73" s="24" t="s">
        <v>393</v>
      </c>
      <c r="G73" s="24">
        <v>40324</v>
      </c>
      <c r="H73" s="23">
        <v>0</v>
      </c>
      <c r="I73" s="23">
        <v>40299</v>
      </c>
      <c r="J73" s="37">
        <v>9</v>
      </c>
      <c r="K73" s="24" t="s">
        <v>1367</v>
      </c>
      <c r="L73" s="24" t="s">
        <v>1724</v>
      </c>
      <c r="M73" s="24">
        <v>40303</v>
      </c>
      <c r="N73" s="22" t="s">
        <v>585</v>
      </c>
      <c r="O73" s="4">
        <v>9100807</v>
      </c>
      <c r="P73" s="22">
        <v>715</v>
      </c>
      <c r="Q73" s="22" t="s">
        <v>1728</v>
      </c>
      <c r="R73" s="4" t="s">
        <v>1801</v>
      </c>
      <c r="S73" s="38" t="s">
        <v>404</v>
      </c>
      <c r="T73" s="44">
        <v>40389</v>
      </c>
      <c r="U73" s="38" t="s">
        <v>404</v>
      </c>
      <c r="V73" s="9">
        <v>40374</v>
      </c>
      <c r="W73" s="74">
        <v>0</v>
      </c>
      <c r="X73" s="9">
        <v>40332</v>
      </c>
      <c r="Y73" s="9"/>
      <c r="Z73" s="24" t="s">
        <v>393</v>
      </c>
      <c r="AA73" s="16"/>
    </row>
    <row r="74" spans="1:27" ht="14.25" customHeight="1" x14ac:dyDescent="0.4">
      <c r="A74" s="4"/>
      <c r="B74" s="22">
        <v>0</v>
      </c>
      <c r="C74" s="22">
        <v>0</v>
      </c>
      <c r="D74" s="22">
        <v>0</v>
      </c>
      <c r="E74" s="24">
        <v>40318</v>
      </c>
      <c r="F74" s="24" t="s">
        <v>393</v>
      </c>
      <c r="G74" s="24">
        <v>40324</v>
      </c>
      <c r="H74" s="23">
        <v>0</v>
      </c>
      <c r="I74" s="23">
        <v>40299</v>
      </c>
      <c r="J74" s="37">
        <v>10</v>
      </c>
      <c r="K74" s="24" t="s">
        <v>1367</v>
      </c>
      <c r="L74" s="24" t="s">
        <v>1724</v>
      </c>
      <c r="M74" s="24">
        <v>40303</v>
      </c>
      <c r="N74" s="22" t="s">
        <v>585</v>
      </c>
      <c r="O74" s="4">
        <v>9100808</v>
      </c>
      <c r="P74" s="22">
        <v>715</v>
      </c>
      <c r="Q74" s="22" t="s">
        <v>1729</v>
      </c>
      <c r="R74" s="4" t="s">
        <v>1798</v>
      </c>
      <c r="S74" s="38" t="s">
        <v>404</v>
      </c>
      <c r="T74" s="44">
        <v>40369</v>
      </c>
      <c r="U74" s="38" t="s">
        <v>404</v>
      </c>
      <c r="V74" s="9">
        <v>40756</v>
      </c>
      <c r="W74" s="74">
        <v>0</v>
      </c>
      <c r="X74" s="9">
        <v>40332</v>
      </c>
      <c r="Y74" s="9"/>
      <c r="Z74" s="24" t="s">
        <v>393</v>
      </c>
      <c r="AA74" s="16"/>
    </row>
    <row r="75" spans="1:27" ht="14.25" customHeight="1" x14ac:dyDescent="0.4">
      <c r="A75" s="4"/>
      <c r="B75" s="22">
        <v>0</v>
      </c>
      <c r="C75" s="22" t="s">
        <v>2165</v>
      </c>
      <c r="D75" s="22">
        <v>0</v>
      </c>
      <c r="E75" s="24">
        <v>40352</v>
      </c>
      <c r="F75" s="24" t="s">
        <v>393</v>
      </c>
      <c r="G75" s="24">
        <v>40357</v>
      </c>
      <c r="H75" s="23">
        <v>0</v>
      </c>
      <c r="I75" s="23">
        <v>40330</v>
      </c>
      <c r="J75" s="37">
        <v>15</v>
      </c>
      <c r="K75" s="24" t="s">
        <v>1367</v>
      </c>
      <c r="L75" s="24">
        <v>0</v>
      </c>
      <c r="M75" s="24">
        <v>40340</v>
      </c>
      <c r="N75" s="22" t="s">
        <v>585</v>
      </c>
      <c r="O75" s="4">
        <v>9101020</v>
      </c>
      <c r="P75" s="22">
        <v>1010</v>
      </c>
      <c r="Q75" s="22" t="s">
        <v>50</v>
      </c>
      <c r="R75" s="4" t="s">
        <v>1799</v>
      </c>
      <c r="S75" s="38" t="s">
        <v>404</v>
      </c>
      <c r="T75" s="44">
        <v>40361</v>
      </c>
      <c r="U75" s="38" t="s">
        <v>404</v>
      </c>
      <c r="V75" s="9">
        <v>40374</v>
      </c>
      <c r="W75" s="74">
        <v>0</v>
      </c>
      <c r="X75" s="9">
        <v>40361</v>
      </c>
      <c r="Y75" s="9"/>
      <c r="Z75" s="24" t="s">
        <v>393</v>
      </c>
      <c r="AA75" s="16"/>
    </row>
    <row r="76" spans="1:27" ht="14.25" customHeight="1" x14ac:dyDescent="0.4">
      <c r="B76" s="22">
        <v>0</v>
      </c>
      <c r="C76" s="22">
        <v>0</v>
      </c>
      <c r="D76" s="22">
        <v>0</v>
      </c>
      <c r="E76" s="24">
        <v>40353</v>
      </c>
      <c r="F76" s="24" t="s">
        <v>393</v>
      </c>
      <c r="G76" s="24">
        <v>40357</v>
      </c>
      <c r="H76" s="23">
        <v>0</v>
      </c>
      <c r="I76" s="23">
        <v>40330</v>
      </c>
      <c r="J76" s="37">
        <v>16</v>
      </c>
      <c r="K76" s="24" t="s">
        <v>1367</v>
      </c>
      <c r="L76" s="24">
        <v>0</v>
      </c>
      <c r="M76" s="24">
        <v>40340</v>
      </c>
      <c r="N76" s="22" t="s">
        <v>585</v>
      </c>
      <c r="O76" s="4">
        <v>9101021</v>
      </c>
      <c r="P76" s="22">
        <v>1010</v>
      </c>
      <c r="Q76" s="22" t="s">
        <v>51</v>
      </c>
      <c r="R76" s="4" t="s">
        <v>1752</v>
      </c>
      <c r="S76" s="38" t="s">
        <v>404</v>
      </c>
      <c r="T76" s="44">
        <v>40369</v>
      </c>
      <c r="U76" s="38" t="s">
        <v>404</v>
      </c>
      <c r="V76" s="9">
        <v>40374</v>
      </c>
      <c r="W76" s="74">
        <v>0</v>
      </c>
      <c r="X76" s="9">
        <v>40361</v>
      </c>
      <c r="Y76" s="9"/>
      <c r="Z76" s="24" t="s">
        <v>393</v>
      </c>
      <c r="AA76" s="16"/>
    </row>
    <row r="77" spans="1:27" ht="14.25" customHeight="1" x14ac:dyDescent="0.4">
      <c r="A77" s="4"/>
      <c r="B77" s="22">
        <v>0</v>
      </c>
      <c r="C77" s="22" t="s">
        <v>2102</v>
      </c>
      <c r="D77" s="22">
        <v>0</v>
      </c>
      <c r="E77" s="24">
        <v>0</v>
      </c>
      <c r="F77" s="24" t="s">
        <v>393</v>
      </c>
      <c r="G77" s="24">
        <v>40403</v>
      </c>
      <c r="H77" s="23">
        <v>0</v>
      </c>
      <c r="I77" s="23">
        <v>40391</v>
      </c>
      <c r="J77" s="37">
        <v>7</v>
      </c>
      <c r="K77" s="24" t="s">
        <v>1367</v>
      </c>
      <c r="L77" s="24" t="s">
        <v>1724</v>
      </c>
      <c r="M77" s="24">
        <v>40368</v>
      </c>
      <c r="N77" s="22" t="s">
        <v>585</v>
      </c>
      <c r="O77" s="4">
        <v>9101033</v>
      </c>
      <c r="P77" s="22">
        <v>1010</v>
      </c>
      <c r="Q77" s="22" t="s">
        <v>52</v>
      </c>
      <c r="R77" s="4" t="s">
        <v>1904</v>
      </c>
      <c r="S77" s="38" t="s">
        <v>404</v>
      </c>
      <c r="T77" s="44">
        <v>40417</v>
      </c>
      <c r="U77" s="38" t="s">
        <v>404</v>
      </c>
      <c r="V77" s="9">
        <v>40422</v>
      </c>
      <c r="W77" s="74">
        <v>0</v>
      </c>
      <c r="X77" s="9"/>
      <c r="Y77" s="9"/>
      <c r="Z77" s="24" t="s">
        <v>393</v>
      </c>
      <c r="AA77" s="16"/>
    </row>
    <row r="78" spans="1:27" ht="14.25" customHeight="1" x14ac:dyDescent="0.4">
      <c r="B78" s="22">
        <v>0</v>
      </c>
      <c r="C78" s="22">
        <v>0</v>
      </c>
      <c r="D78" s="22">
        <v>0</v>
      </c>
      <c r="E78" s="24">
        <v>0</v>
      </c>
      <c r="F78" s="24" t="s">
        <v>393</v>
      </c>
      <c r="G78" s="24">
        <v>40410</v>
      </c>
      <c r="H78" s="23">
        <v>0</v>
      </c>
      <c r="I78" s="23">
        <v>40391</v>
      </c>
      <c r="J78" s="37">
        <v>8</v>
      </c>
      <c r="K78" s="24" t="s">
        <v>1367</v>
      </c>
      <c r="L78" s="24" t="s">
        <v>1724</v>
      </c>
      <c r="M78" s="24">
        <v>40368</v>
      </c>
      <c r="N78" s="22" t="s">
        <v>585</v>
      </c>
      <c r="O78" s="4">
        <v>9101034</v>
      </c>
      <c r="P78" s="22">
        <v>1010</v>
      </c>
      <c r="Q78" s="22" t="s">
        <v>53</v>
      </c>
      <c r="R78" s="4" t="s">
        <v>1905</v>
      </c>
      <c r="S78" s="38" t="s">
        <v>404</v>
      </c>
      <c r="T78" s="44">
        <v>40417</v>
      </c>
      <c r="U78" s="38" t="s">
        <v>404</v>
      </c>
      <c r="V78" s="9">
        <v>40787</v>
      </c>
      <c r="W78" s="74">
        <v>0</v>
      </c>
      <c r="X78" s="9"/>
      <c r="Y78" s="9"/>
      <c r="Z78" s="24" t="s">
        <v>393</v>
      </c>
      <c r="AA78" s="16"/>
    </row>
    <row r="79" spans="1:27" ht="14.25" customHeight="1" x14ac:dyDescent="0.4">
      <c r="A79" s="4"/>
      <c r="B79" s="22">
        <v>0</v>
      </c>
      <c r="C79" s="22" t="s">
        <v>2165</v>
      </c>
      <c r="D79" s="22">
        <v>0</v>
      </c>
      <c r="E79" s="24">
        <v>0</v>
      </c>
      <c r="F79" s="24" t="s">
        <v>392</v>
      </c>
      <c r="G79" s="24">
        <v>40368</v>
      </c>
      <c r="H79" s="23">
        <v>0</v>
      </c>
      <c r="I79" s="23">
        <v>40360</v>
      </c>
      <c r="J79" s="37">
        <v>4</v>
      </c>
      <c r="K79" s="24" t="s">
        <v>1367</v>
      </c>
      <c r="L79" s="24">
        <v>0</v>
      </c>
      <c r="M79" s="24">
        <v>0</v>
      </c>
      <c r="N79" s="22" t="s">
        <v>585</v>
      </c>
      <c r="O79" s="4">
        <v>9101015</v>
      </c>
      <c r="P79" s="22">
        <v>1010</v>
      </c>
      <c r="Q79" s="22" t="s">
        <v>2044</v>
      </c>
      <c r="R79" s="4" t="s">
        <v>2045</v>
      </c>
      <c r="S79" s="38" t="s">
        <v>404</v>
      </c>
      <c r="T79" s="44">
        <v>40527</v>
      </c>
      <c r="U79" s="38" t="s">
        <v>404</v>
      </c>
      <c r="V79" s="9">
        <v>40544</v>
      </c>
      <c r="W79" s="74">
        <v>0</v>
      </c>
      <c r="X79" s="9"/>
      <c r="Y79" s="9"/>
      <c r="Z79" s="24" t="s">
        <v>392</v>
      </c>
      <c r="AA79" s="16"/>
    </row>
    <row r="80" spans="1:27" ht="14.25" customHeight="1" x14ac:dyDescent="0.4">
      <c r="A80" s="4"/>
      <c r="B80" s="22">
        <v>0</v>
      </c>
      <c r="C80" s="22">
        <v>0</v>
      </c>
      <c r="D80" s="22">
        <v>0</v>
      </c>
      <c r="E80" s="24">
        <v>40116</v>
      </c>
      <c r="F80" s="24" t="s">
        <v>393</v>
      </c>
      <c r="G80" s="24">
        <v>40132</v>
      </c>
      <c r="H80" s="23">
        <v>0</v>
      </c>
      <c r="I80" s="23">
        <v>40118</v>
      </c>
      <c r="J80" s="37">
        <v>4</v>
      </c>
      <c r="K80" s="24" t="s">
        <v>1367</v>
      </c>
      <c r="L80" s="24">
        <v>0</v>
      </c>
      <c r="M80" s="24">
        <v>40101</v>
      </c>
      <c r="N80" s="22" t="s">
        <v>628</v>
      </c>
      <c r="O80" s="4">
        <v>9100259</v>
      </c>
      <c r="P80" s="22">
        <v>1010</v>
      </c>
      <c r="Q80" s="22" t="s">
        <v>694</v>
      </c>
      <c r="R80" s="4" t="s">
        <v>1371</v>
      </c>
      <c r="S80" s="3" t="s">
        <v>404</v>
      </c>
      <c r="T80" s="9">
        <v>40101</v>
      </c>
      <c r="U80" s="3" t="s">
        <v>404</v>
      </c>
      <c r="V80" s="9">
        <v>40219</v>
      </c>
      <c r="W80" s="74">
        <v>0</v>
      </c>
      <c r="X80" s="9">
        <v>40105</v>
      </c>
      <c r="Y80" s="9"/>
      <c r="Z80" s="24" t="s">
        <v>393</v>
      </c>
      <c r="AA80" s="16"/>
    </row>
    <row r="81" spans="1:27" ht="14.25" customHeight="1" x14ac:dyDescent="0.4">
      <c r="B81" s="22">
        <v>0</v>
      </c>
      <c r="C81" s="22" t="s">
        <v>2165</v>
      </c>
      <c r="D81" s="22">
        <v>0</v>
      </c>
      <c r="E81" s="24">
        <v>40119</v>
      </c>
      <c r="F81" s="24" t="s">
        <v>393</v>
      </c>
      <c r="G81" s="24">
        <v>40129</v>
      </c>
      <c r="H81" s="23">
        <v>0</v>
      </c>
      <c r="I81" s="23">
        <v>40118</v>
      </c>
      <c r="J81" s="37">
        <v>5</v>
      </c>
      <c r="K81" s="24" t="s">
        <v>1367</v>
      </c>
      <c r="L81" s="24">
        <v>0</v>
      </c>
      <c r="M81" s="24">
        <v>40101</v>
      </c>
      <c r="N81" s="22" t="s">
        <v>628</v>
      </c>
      <c r="O81" s="4">
        <v>9100260</v>
      </c>
      <c r="P81" s="22">
        <v>1010</v>
      </c>
      <c r="Q81" s="22" t="s">
        <v>696</v>
      </c>
      <c r="R81" s="4" t="s">
        <v>1442</v>
      </c>
      <c r="S81" s="3" t="s">
        <v>404</v>
      </c>
      <c r="T81" s="28">
        <v>40241</v>
      </c>
      <c r="U81" s="3" t="s">
        <v>404</v>
      </c>
      <c r="V81" s="28">
        <v>40243</v>
      </c>
      <c r="W81" s="74">
        <v>0</v>
      </c>
      <c r="X81" s="28">
        <v>40105</v>
      </c>
      <c r="Y81" s="28"/>
      <c r="Z81" s="24" t="s">
        <v>393</v>
      </c>
      <c r="AA81" s="16"/>
    </row>
    <row r="82" spans="1:27" ht="14.25" customHeight="1" x14ac:dyDescent="0.4">
      <c r="A82" s="4"/>
      <c r="B82" s="22">
        <v>0</v>
      </c>
      <c r="C82" s="22">
        <v>0</v>
      </c>
      <c r="D82" s="22">
        <v>0</v>
      </c>
      <c r="E82" s="24">
        <v>40219</v>
      </c>
      <c r="F82" s="24" t="s">
        <v>393</v>
      </c>
      <c r="G82" s="24">
        <v>40225</v>
      </c>
      <c r="H82" s="23">
        <v>0</v>
      </c>
      <c r="I82" s="23">
        <v>40210</v>
      </c>
      <c r="J82" s="37">
        <v>11</v>
      </c>
      <c r="K82" s="24" t="s">
        <v>1367</v>
      </c>
      <c r="L82" s="24" t="s">
        <v>2000</v>
      </c>
      <c r="M82" s="24">
        <v>40207</v>
      </c>
      <c r="N82" s="22" t="s">
        <v>628</v>
      </c>
      <c r="O82" s="4">
        <v>9100384</v>
      </c>
      <c r="P82" s="22">
        <v>1010</v>
      </c>
      <c r="Q82" s="22" t="s">
        <v>1516</v>
      </c>
      <c r="R82" s="4" t="s">
        <v>1431</v>
      </c>
      <c r="S82" s="4" t="s">
        <v>404</v>
      </c>
      <c r="T82" s="43">
        <v>40211</v>
      </c>
      <c r="U82" s="4" t="s">
        <v>404</v>
      </c>
      <c r="V82" s="57">
        <v>40241</v>
      </c>
      <c r="W82" s="74">
        <v>0</v>
      </c>
      <c r="X82" s="9">
        <v>40225</v>
      </c>
      <c r="Y82" s="9"/>
      <c r="Z82" s="24" t="s">
        <v>393</v>
      </c>
      <c r="AA82" s="16"/>
    </row>
    <row r="83" spans="1:27" ht="14.25" customHeight="1" x14ac:dyDescent="0.4">
      <c r="A83" s="4"/>
      <c r="B83" s="22">
        <v>0</v>
      </c>
      <c r="C83" s="22" t="s">
        <v>2165</v>
      </c>
      <c r="D83" s="22">
        <v>0</v>
      </c>
      <c r="E83" s="24">
        <v>40220</v>
      </c>
      <c r="F83" s="24" t="s">
        <v>393</v>
      </c>
      <c r="G83" s="24">
        <v>40231</v>
      </c>
      <c r="H83" s="23">
        <v>0</v>
      </c>
      <c r="I83" s="23">
        <v>40210</v>
      </c>
      <c r="J83" s="37">
        <v>13</v>
      </c>
      <c r="K83" s="24" t="s">
        <v>1367</v>
      </c>
      <c r="L83" s="24" t="s">
        <v>2000</v>
      </c>
      <c r="M83" s="24">
        <v>40207</v>
      </c>
      <c r="N83" s="22" t="s">
        <v>628</v>
      </c>
      <c r="O83" s="4">
        <v>9100385</v>
      </c>
      <c r="P83" s="22">
        <v>1010</v>
      </c>
      <c r="Q83" s="22" t="s">
        <v>1517</v>
      </c>
      <c r="R83" s="48" t="s">
        <v>1443</v>
      </c>
      <c r="S83" s="49" t="s">
        <v>404</v>
      </c>
      <c r="T83" s="43">
        <v>40241</v>
      </c>
      <c r="U83" s="3" t="s">
        <v>404</v>
      </c>
      <c r="V83" s="43">
        <v>40271</v>
      </c>
      <c r="W83" s="74">
        <v>0</v>
      </c>
      <c r="X83" s="28">
        <v>40225</v>
      </c>
      <c r="Y83" s="28"/>
      <c r="Z83" s="24" t="s">
        <v>393</v>
      </c>
      <c r="AA83" s="16"/>
    </row>
    <row r="84" spans="1:27" ht="14.25" customHeight="1" x14ac:dyDescent="0.4">
      <c r="A84" s="4"/>
      <c r="B84" s="22">
        <v>0</v>
      </c>
      <c r="C84" s="22">
        <v>0</v>
      </c>
      <c r="D84" s="22">
        <v>0</v>
      </c>
      <c r="E84" s="24">
        <v>40224</v>
      </c>
      <c r="F84" s="24" t="s">
        <v>393</v>
      </c>
      <c r="G84" s="24">
        <v>40241</v>
      </c>
      <c r="H84" s="23">
        <v>0</v>
      </c>
      <c r="I84" s="23">
        <v>40210</v>
      </c>
      <c r="J84" s="37">
        <v>14</v>
      </c>
      <c r="K84" s="24" t="s">
        <v>1367</v>
      </c>
      <c r="L84" s="24" t="s">
        <v>2000</v>
      </c>
      <c r="M84" s="24">
        <v>40207</v>
      </c>
      <c r="N84" s="22" t="s">
        <v>628</v>
      </c>
      <c r="O84" s="4">
        <v>9100386</v>
      </c>
      <c r="P84" s="22">
        <v>1010</v>
      </c>
      <c r="Q84" s="22" t="s">
        <v>1519</v>
      </c>
      <c r="R84" s="4" t="s">
        <v>1714</v>
      </c>
      <c r="S84" s="4" t="s">
        <v>404</v>
      </c>
      <c r="T84" s="43">
        <v>40667</v>
      </c>
      <c r="U84" s="4" t="s">
        <v>406</v>
      </c>
      <c r="V84" s="57">
        <v>40725</v>
      </c>
      <c r="W84" s="74">
        <v>0</v>
      </c>
      <c r="X84" s="9">
        <v>40225</v>
      </c>
      <c r="Y84" s="9"/>
      <c r="Z84" s="24" t="s">
        <v>393</v>
      </c>
      <c r="AA84" s="16"/>
    </row>
    <row r="85" spans="1:27" ht="14.25" customHeight="1" x14ac:dyDescent="0.4">
      <c r="A85" s="4"/>
      <c r="B85" s="22">
        <v>0</v>
      </c>
      <c r="C85" s="22">
        <v>0</v>
      </c>
      <c r="D85" s="22">
        <v>0</v>
      </c>
      <c r="E85" s="24">
        <v>40261</v>
      </c>
      <c r="F85" s="24" t="s">
        <v>393</v>
      </c>
      <c r="G85" s="24">
        <v>40276</v>
      </c>
      <c r="H85" s="23">
        <v>0</v>
      </c>
      <c r="I85" s="23">
        <v>40238</v>
      </c>
      <c r="J85" s="37">
        <v>19</v>
      </c>
      <c r="K85" s="24" t="s">
        <v>1367</v>
      </c>
      <c r="L85" s="24">
        <v>0</v>
      </c>
      <c r="M85" s="24">
        <v>40247</v>
      </c>
      <c r="N85" s="22" t="s">
        <v>628</v>
      </c>
      <c r="O85" s="4">
        <v>9100500</v>
      </c>
      <c r="P85" s="22">
        <v>1010</v>
      </c>
      <c r="Q85" s="22" t="s">
        <v>1520</v>
      </c>
      <c r="R85" s="4" t="s">
        <v>1714</v>
      </c>
      <c r="S85" s="38" t="s">
        <v>404</v>
      </c>
      <c r="T85" s="44">
        <v>40753</v>
      </c>
      <c r="U85" s="38" t="s">
        <v>404</v>
      </c>
      <c r="V85" s="9">
        <v>40753</v>
      </c>
      <c r="W85" s="74">
        <v>0</v>
      </c>
      <c r="X85" s="9">
        <v>40269</v>
      </c>
      <c r="Y85" s="9"/>
      <c r="Z85" s="24" t="s">
        <v>393</v>
      </c>
      <c r="AA85" s="16"/>
    </row>
    <row r="86" spans="1:27" ht="14.25" customHeight="1" x14ac:dyDescent="0.4">
      <c r="A86" s="6"/>
      <c r="B86" s="22">
        <v>0</v>
      </c>
      <c r="C86" s="22" t="s">
        <v>2165</v>
      </c>
      <c r="D86" s="22">
        <v>0</v>
      </c>
      <c r="E86" s="24">
        <v>40121</v>
      </c>
      <c r="F86" s="24" t="s">
        <v>393</v>
      </c>
      <c r="G86" s="24">
        <v>40133</v>
      </c>
      <c r="H86" s="23">
        <v>0</v>
      </c>
      <c r="I86" s="23">
        <v>40118</v>
      </c>
      <c r="J86" s="37">
        <v>8</v>
      </c>
      <c r="K86" s="111" t="s">
        <v>2130</v>
      </c>
      <c r="L86" s="24">
        <v>0</v>
      </c>
      <c r="M86" s="24">
        <v>40108</v>
      </c>
      <c r="N86" s="22" t="s">
        <v>1366</v>
      </c>
      <c r="O86" s="4">
        <v>9100261</v>
      </c>
      <c r="P86" s="22">
        <v>715</v>
      </c>
      <c r="Q86" s="22" t="s">
        <v>1621</v>
      </c>
      <c r="R86" s="4" t="s">
        <v>1376</v>
      </c>
      <c r="S86" s="1" t="s">
        <v>404</v>
      </c>
      <c r="T86" s="28">
        <v>40597</v>
      </c>
      <c r="V86" s="28"/>
      <c r="W86" s="74">
        <v>0</v>
      </c>
      <c r="X86" s="28">
        <v>40161</v>
      </c>
      <c r="Y86" s="28"/>
      <c r="Z86" s="24" t="s">
        <v>393</v>
      </c>
      <c r="AA86" s="16"/>
    </row>
    <row r="87" spans="1:27" ht="14.25" customHeight="1" x14ac:dyDescent="0.4">
      <c r="B87" s="22">
        <v>0</v>
      </c>
      <c r="C87" s="22">
        <v>0</v>
      </c>
      <c r="D87" s="22">
        <v>0</v>
      </c>
      <c r="E87" s="24">
        <v>40122</v>
      </c>
      <c r="F87" s="24" t="s">
        <v>393</v>
      </c>
      <c r="G87" s="24">
        <v>40133</v>
      </c>
      <c r="H87" s="23">
        <v>0</v>
      </c>
      <c r="I87" s="23">
        <v>40118</v>
      </c>
      <c r="J87" s="37">
        <v>9</v>
      </c>
      <c r="K87" s="111" t="s">
        <v>2130</v>
      </c>
      <c r="L87" s="24">
        <v>0</v>
      </c>
      <c r="M87" s="24">
        <v>40108</v>
      </c>
      <c r="N87" s="22" t="s">
        <v>1366</v>
      </c>
      <c r="O87" s="4">
        <v>9100262</v>
      </c>
      <c r="P87" s="22">
        <v>1010</v>
      </c>
      <c r="Q87" s="22" t="s">
        <v>1622</v>
      </c>
      <c r="R87" s="4" t="s">
        <v>1753</v>
      </c>
      <c r="S87" s="1" t="s">
        <v>404</v>
      </c>
      <c r="T87" s="28">
        <v>40360</v>
      </c>
      <c r="U87" s="1" t="s">
        <v>404</v>
      </c>
      <c r="V87" s="9">
        <v>40360</v>
      </c>
      <c r="W87" s="74">
        <v>0</v>
      </c>
      <c r="X87" s="28">
        <v>40161</v>
      </c>
      <c r="Y87" s="28"/>
      <c r="Z87" s="24" t="s">
        <v>393</v>
      </c>
      <c r="AA87" s="16"/>
    </row>
    <row r="88" spans="1:27" ht="14.25" customHeight="1" x14ac:dyDescent="0.4">
      <c r="B88" s="22">
        <v>0</v>
      </c>
      <c r="C88" s="22">
        <v>0</v>
      </c>
      <c r="D88" s="22">
        <v>0</v>
      </c>
      <c r="E88" s="24">
        <v>0</v>
      </c>
      <c r="F88" s="24" t="s">
        <v>393</v>
      </c>
      <c r="G88" s="24">
        <v>40389</v>
      </c>
      <c r="H88" s="23">
        <v>0</v>
      </c>
      <c r="I88" s="23">
        <v>40360</v>
      </c>
      <c r="J88" s="37">
        <v>13</v>
      </c>
      <c r="K88" s="111" t="s">
        <v>2130</v>
      </c>
      <c r="L88" s="24" t="s">
        <v>1724</v>
      </c>
      <c r="M88" s="24">
        <v>40366</v>
      </c>
      <c r="N88" s="22" t="s">
        <v>1366</v>
      </c>
      <c r="O88" s="4">
        <v>9101030</v>
      </c>
      <c r="P88" s="22">
        <v>1010</v>
      </c>
      <c r="Q88" s="22" t="s">
        <v>54</v>
      </c>
      <c r="R88" s="4" t="s">
        <v>2086</v>
      </c>
      <c r="S88" s="38" t="s">
        <v>404</v>
      </c>
      <c r="T88" s="44">
        <v>40534</v>
      </c>
      <c r="U88" s="38"/>
      <c r="V88" s="9"/>
      <c r="W88" s="74">
        <v>0</v>
      </c>
      <c r="X88" s="9"/>
      <c r="Y88" s="9"/>
      <c r="Z88" s="24" t="s">
        <v>393</v>
      </c>
      <c r="AA88" s="16"/>
    </row>
    <row r="89" spans="1:27" ht="14.25" customHeight="1" x14ac:dyDescent="0.4">
      <c r="B89" s="22">
        <v>0</v>
      </c>
      <c r="C89" s="22" t="s">
        <v>2165</v>
      </c>
      <c r="D89" s="22">
        <v>0</v>
      </c>
      <c r="E89" s="24">
        <v>0</v>
      </c>
      <c r="F89" s="24" t="s">
        <v>393</v>
      </c>
      <c r="G89" s="24">
        <v>40389</v>
      </c>
      <c r="H89" s="23">
        <v>0</v>
      </c>
      <c r="I89" s="23">
        <v>40360</v>
      </c>
      <c r="J89" s="37">
        <v>14</v>
      </c>
      <c r="K89" s="111" t="s">
        <v>2130</v>
      </c>
      <c r="L89" s="24" t="s">
        <v>1724</v>
      </c>
      <c r="M89" s="24">
        <v>40366</v>
      </c>
      <c r="N89" s="22" t="s">
        <v>1366</v>
      </c>
      <c r="O89" s="4">
        <v>9101031</v>
      </c>
      <c r="P89" s="22">
        <v>1010</v>
      </c>
      <c r="Q89" s="22" t="s">
        <v>55</v>
      </c>
      <c r="R89" s="4" t="s">
        <v>2104</v>
      </c>
      <c r="S89" s="38" t="s">
        <v>404</v>
      </c>
      <c r="T89" s="44">
        <v>40547</v>
      </c>
      <c r="U89" s="38"/>
      <c r="V89" s="9"/>
      <c r="W89" s="74">
        <v>0</v>
      </c>
      <c r="X89" s="9"/>
      <c r="Y89" s="9"/>
      <c r="Z89" s="24" t="s">
        <v>393</v>
      </c>
      <c r="AA89" s="16"/>
    </row>
    <row r="90" spans="1:27" ht="14.25" customHeight="1" x14ac:dyDescent="0.4">
      <c r="A90" s="4"/>
      <c r="B90" s="22">
        <v>0</v>
      </c>
      <c r="C90" s="22">
        <v>0</v>
      </c>
      <c r="D90" s="22">
        <v>0</v>
      </c>
      <c r="E90" s="24">
        <v>0</v>
      </c>
      <c r="F90" s="24" t="s">
        <v>393</v>
      </c>
      <c r="G90" s="24">
        <v>40401</v>
      </c>
      <c r="H90" s="23">
        <v>0</v>
      </c>
      <c r="I90" s="23">
        <v>40391</v>
      </c>
      <c r="J90" s="37">
        <v>6</v>
      </c>
      <c r="K90" s="111" t="s">
        <v>2130</v>
      </c>
      <c r="L90" s="24" t="s">
        <v>1724</v>
      </c>
      <c r="M90" s="24">
        <v>40368</v>
      </c>
      <c r="N90" s="22" t="s">
        <v>1366</v>
      </c>
      <c r="O90" s="4">
        <v>9101032</v>
      </c>
      <c r="P90" s="22">
        <v>1010</v>
      </c>
      <c r="Q90" s="22" t="s">
        <v>56</v>
      </c>
      <c r="R90" s="4" t="s">
        <v>2110</v>
      </c>
      <c r="S90" s="38" t="s">
        <v>404</v>
      </c>
      <c r="T90" s="44">
        <v>40557</v>
      </c>
      <c r="U90" s="38"/>
      <c r="V90" s="9"/>
      <c r="W90" s="74">
        <v>0</v>
      </c>
      <c r="X90" s="9"/>
      <c r="Y90" s="9"/>
      <c r="Z90" s="24" t="s">
        <v>393</v>
      </c>
      <c r="AA90" s="16"/>
    </row>
    <row r="91" spans="1:27" ht="14.25" customHeight="1" x14ac:dyDescent="0.4">
      <c r="B91" s="22">
        <v>0</v>
      </c>
      <c r="C91" s="22" t="s">
        <v>2165</v>
      </c>
      <c r="D91" s="22">
        <v>0</v>
      </c>
      <c r="E91" s="24">
        <v>0</v>
      </c>
      <c r="F91" s="24" t="s">
        <v>393</v>
      </c>
      <c r="G91" s="24">
        <v>40410</v>
      </c>
      <c r="H91" s="23">
        <v>0</v>
      </c>
      <c r="I91" s="23">
        <v>40391</v>
      </c>
      <c r="J91" s="37">
        <v>13</v>
      </c>
      <c r="K91" s="111" t="s">
        <v>2130</v>
      </c>
      <c r="L91" s="24" t="s">
        <v>1724</v>
      </c>
      <c r="M91" s="24">
        <v>40400</v>
      </c>
      <c r="N91" s="22" t="s">
        <v>1366</v>
      </c>
      <c r="O91" s="4">
        <v>9101050</v>
      </c>
      <c r="P91" s="22">
        <v>715</v>
      </c>
      <c r="Q91" s="22">
        <v>1747</v>
      </c>
      <c r="R91" s="4" t="s">
        <v>1892</v>
      </c>
      <c r="S91" s="38" t="s">
        <v>404</v>
      </c>
      <c r="T91" s="44">
        <v>40423</v>
      </c>
      <c r="U91" s="38"/>
      <c r="V91" s="9"/>
      <c r="W91" s="74">
        <v>0</v>
      </c>
      <c r="X91" s="9"/>
      <c r="Y91" s="9"/>
      <c r="Z91" s="24" t="s">
        <v>393</v>
      </c>
      <c r="AA91" s="16"/>
    </row>
    <row r="92" spans="1:27" ht="14.25" customHeight="1" x14ac:dyDescent="0.4">
      <c r="B92" s="22">
        <v>0</v>
      </c>
      <c r="C92" s="22" t="s">
        <v>2165</v>
      </c>
      <c r="D92" s="22">
        <v>0</v>
      </c>
      <c r="E92" s="24">
        <v>40039</v>
      </c>
      <c r="F92" s="24" t="s">
        <v>393</v>
      </c>
      <c r="G92" s="24">
        <v>40049</v>
      </c>
      <c r="H92" s="23">
        <v>0</v>
      </c>
      <c r="I92" s="23">
        <v>40026</v>
      </c>
      <c r="J92" s="37">
        <v>20</v>
      </c>
      <c r="K92" s="111" t="s">
        <v>2130</v>
      </c>
      <c r="L92" s="24">
        <v>0</v>
      </c>
      <c r="M92" s="24">
        <v>40011</v>
      </c>
      <c r="N92" s="22" t="s">
        <v>669</v>
      </c>
      <c r="O92" s="4">
        <v>9100071</v>
      </c>
      <c r="P92" s="22">
        <v>1010</v>
      </c>
      <c r="Q92" s="22" t="s">
        <v>1354</v>
      </c>
      <c r="R92" s="4" t="s">
        <v>1383</v>
      </c>
      <c r="S92" s="4" t="s">
        <v>404</v>
      </c>
      <c r="T92" s="57">
        <v>40130</v>
      </c>
      <c r="U92" s="4" t="s">
        <v>404</v>
      </c>
      <c r="V92" s="59"/>
      <c r="W92" s="75">
        <v>0</v>
      </c>
      <c r="X92" s="28"/>
      <c r="Y92" s="28"/>
      <c r="Z92" s="24" t="s">
        <v>393</v>
      </c>
      <c r="AA92" s="16"/>
    </row>
    <row r="93" spans="1:27" ht="14.25" customHeight="1" x14ac:dyDescent="0.4">
      <c r="B93" s="22">
        <v>0</v>
      </c>
      <c r="C93" s="22" t="s">
        <v>2102</v>
      </c>
      <c r="D93" s="22">
        <v>0</v>
      </c>
      <c r="E93" s="24">
        <v>40044</v>
      </c>
      <c r="F93" s="24" t="s">
        <v>393</v>
      </c>
      <c r="G93" s="24">
        <v>40049</v>
      </c>
      <c r="H93" s="23">
        <v>0</v>
      </c>
      <c r="I93" s="23">
        <v>40026</v>
      </c>
      <c r="J93" s="37">
        <v>27</v>
      </c>
      <c r="K93" s="111" t="s">
        <v>2130</v>
      </c>
      <c r="L93" s="24">
        <v>0</v>
      </c>
      <c r="M93" s="24">
        <v>40011</v>
      </c>
      <c r="N93" s="22" t="s">
        <v>669</v>
      </c>
      <c r="O93" s="4">
        <v>9100072</v>
      </c>
      <c r="P93" s="22">
        <v>715</v>
      </c>
      <c r="Q93" s="22" t="s">
        <v>1355</v>
      </c>
      <c r="R93" s="4" t="s">
        <v>1384</v>
      </c>
      <c r="S93" s="4" t="s">
        <v>404</v>
      </c>
      <c r="T93" s="57">
        <v>40101</v>
      </c>
      <c r="U93" s="4" t="s">
        <v>404</v>
      </c>
      <c r="V93" s="4"/>
      <c r="W93" s="75">
        <v>0</v>
      </c>
      <c r="X93" s="9"/>
      <c r="Y93" s="9"/>
      <c r="Z93" s="24" t="s">
        <v>393</v>
      </c>
      <c r="AA93" s="16"/>
    </row>
    <row r="94" spans="1:27" ht="14.25" customHeight="1" x14ac:dyDescent="0.4">
      <c r="B94" s="22">
        <v>0</v>
      </c>
      <c r="C94" s="22" t="s">
        <v>2165</v>
      </c>
      <c r="D94" s="22">
        <v>0</v>
      </c>
      <c r="E94" s="24">
        <v>40059</v>
      </c>
      <c r="F94" s="24" t="s">
        <v>393</v>
      </c>
      <c r="G94" s="24">
        <v>40066</v>
      </c>
      <c r="H94" s="23">
        <v>0</v>
      </c>
      <c r="I94" s="23">
        <v>40057</v>
      </c>
      <c r="J94" s="37">
        <v>9</v>
      </c>
      <c r="K94" s="111" t="s">
        <v>2130</v>
      </c>
      <c r="L94" s="24" t="s">
        <v>1992</v>
      </c>
      <c r="M94" s="24">
        <v>40032</v>
      </c>
      <c r="N94" s="22" t="s">
        <v>669</v>
      </c>
      <c r="O94" s="4">
        <v>9100178</v>
      </c>
      <c r="P94" s="22">
        <v>1010</v>
      </c>
      <c r="Q94" s="22" t="s">
        <v>1627</v>
      </c>
      <c r="R94" s="4" t="s">
        <v>1365</v>
      </c>
      <c r="S94" s="1" t="s">
        <v>404</v>
      </c>
      <c r="T94" s="42">
        <v>40053</v>
      </c>
      <c r="U94" s="1" t="s">
        <v>404</v>
      </c>
      <c r="V94" s="28"/>
      <c r="W94" s="74">
        <v>0</v>
      </c>
      <c r="X94" s="28">
        <v>40086</v>
      </c>
      <c r="Y94" s="28"/>
      <c r="Z94" s="24" t="s">
        <v>393</v>
      </c>
      <c r="AA94" s="16"/>
    </row>
    <row r="95" spans="1:27" ht="14.25" customHeight="1" x14ac:dyDescent="0.4">
      <c r="B95" s="22">
        <v>0</v>
      </c>
      <c r="C95" s="22">
        <v>0</v>
      </c>
      <c r="D95" s="22">
        <v>0</v>
      </c>
      <c r="E95" s="24">
        <v>40170</v>
      </c>
      <c r="F95" s="24" t="s">
        <v>393</v>
      </c>
      <c r="G95" s="24">
        <v>40192</v>
      </c>
      <c r="H95" s="23">
        <v>0</v>
      </c>
      <c r="I95" s="23">
        <v>40179</v>
      </c>
      <c r="J95" s="37">
        <v>1</v>
      </c>
      <c r="K95" s="111" t="s">
        <v>2130</v>
      </c>
      <c r="L95" s="24">
        <v>0</v>
      </c>
      <c r="M95" s="24">
        <v>40178</v>
      </c>
      <c r="N95" s="22" t="s">
        <v>669</v>
      </c>
      <c r="O95" s="4">
        <v>9100273</v>
      </c>
      <c r="P95" s="22">
        <v>1010</v>
      </c>
      <c r="Q95" s="22">
        <v>44713</v>
      </c>
      <c r="R95" s="4"/>
      <c r="S95" s="1" t="s">
        <v>404</v>
      </c>
      <c r="T95" s="42">
        <v>40247</v>
      </c>
      <c r="U95" s="1" t="s">
        <v>404</v>
      </c>
      <c r="V95" s="28">
        <v>40247</v>
      </c>
      <c r="W95" s="74">
        <v>0</v>
      </c>
      <c r="X95" s="28">
        <v>40225</v>
      </c>
      <c r="Y95" s="28"/>
      <c r="Z95" s="24" t="s">
        <v>393</v>
      </c>
      <c r="AA95" s="16"/>
    </row>
    <row r="96" spans="1:27" ht="14.25" customHeight="1" x14ac:dyDescent="0.4">
      <c r="A96" s="4"/>
      <c r="B96" s="22">
        <v>0</v>
      </c>
      <c r="C96" s="22" t="s">
        <v>2165</v>
      </c>
      <c r="D96" s="22">
        <v>0</v>
      </c>
      <c r="E96" s="24">
        <v>40231</v>
      </c>
      <c r="F96" s="24" t="s">
        <v>393</v>
      </c>
      <c r="G96" s="24">
        <v>40234</v>
      </c>
      <c r="H96" s="23">
        <v>0</v>
      </c>
      <c r="I96" s="23">
        <v>40210</v>
      </c>
      <c r="J96" s="37">
        <v>18</v>
      </c>
      <c r="K96" s="111" t="s">
        <v>2130</v>
      </c>
      <c r="L96" s="24" t="s">
        <v>1724</v>
      </c>
      <c r="M96" s="24">
        <v>40214</v>
      </c>
      <c r="N96" s="22" t="s">
        <v>669</v>
      </c>
      <c r="O96" s="4">
        <v>9100401</v>
      </c>
      <c r="P96" s="22">
        <v>1010</v>
      </c>
      <c r="Q96" s="22">
        <v>44904</v>
      </c>
      <c r="R96" s="4" t="s">
        <v>1414</v>
      </c>
      <c r="S96" s="4" t="s">
        <v>404</v>
      </c>
      <c r="T96" s="44">
        <v>40211</v>
      </c>
      <c r="U96" s="4" t="s">
        <v>404</v>
      </c>
      <c r="V96" s="9"/>
      <c r="W96" s="74">
        <v>0</v>
      </c>
      <c r="X96" s="9">
        <v>40249</v>
      </c>
      <c r="Y96" s="9"/>
      <c r="Z96" s="24" t="s">
        <v>393</v>
      </c>
      <c r="AA96" s="16"/>
    </row>
    <row r="97" spans="2:27" ht="14.25" customHeight="1" x14ac:dyDescent="0.4">
      <c r="B97" s="22">
        <v>0</v>
      </c>
      <c r="C97" s="22">
        <v>0</v>
      </c>
      <c r="D97" s="22">
        <v>0</v>
      </c>
      <c r="E97" s="24">
        <v>40197</v>
      </c>
      <c r="F97" s="24" t="s">
        <v>393</v>
      </c>
      <c r="G97" s="24">
        <v>40198</v>
      </c>
      <c r="H97" s="23">
        <v>0</v>
      </c>
      <c r="I97" s="23">
        <v>40179</v>
      </c>
      <c r="J97" s="37">
        <v>13</v>
      </c>
      <c r="K97" s="111" t="s">
        <v>2130</v>
      </c>
      <c r="L97" s="24">
        <v>0</v>
      </c>
      <c r="M97" s="24">
        <v>40177</v>
      </c>
      <c r="N97" s="65" t="s">
        <v>669</v>
      </c>
      <c r="O97" s="4">
        <v>9100363</v>
      </c>
      <c r="P97" s="22">
        <v>1010</v>
      </c>
      <c r="Q97" s="22">
        <v>44714</v>
      </c>
      <c r="R97" s="4"/>
      <c r="S97" s="4" t="s">
        <v>404</v>
      </c>
      <c r="T97" s="43">
        <v>40403</v>
      </c>
      <c r="U97" s="4" t="s">
        <v>404</v>
      </c>
      <c r="V97" s="4"/>
      <c r="W97" s="74">
        <v>0</v>
      </c>
      <c r="X97" s="9">
        <v>40225</v>
      </c>
      <c r="Y97" s="28"/>
      <c r="Z97" s="24" t="s">
        <v>393</v>
      </c>
      <c r="AA97" s="16"/>
    </row>
    <row r="98" spans="2:27" ht="14.25" customHeight="1" x14ac:dyDescent="0.4">
      <c r="B98" s="22">
        <v>0</v>
      </c>
      <c r="C98" s="22">
        <v>0</v>
      </c>
      <c r="D98" s="22">
        <v>0</v>
      </c>
      <c r="E98" s="24">
        <v>0</v>
      </c>
      <c r="F98" s="24" t="s">
        <v>393</v>
      </c>
      <c r="G98" s="24">
        <v>40368</v>
      </c>
      <c r="H98" s="23">
        <v>0</v>
      </c>
      <c r="I98" s="23">
        <v>40360</v>
      </c>
      <c r="J98" s="37">
        <v>6</v>
      </c>
      <c r="K98" s="111" t="s">
        <v>2130</v>
      </c>
      <c r="L98" s="24">
        <v>0</v>
      </c>
      <c r="M98" s="24">
        <v>40357</v>
      </c>
      <c r="N98" s="22" t="s">
        <v>669</v>
      </c>
      <c r="O98" s="4">
        <v>9100196</v>
      </c>
      <c r="P98" s="22">
        <v>1010</v>
      </c>
      <c r="Q98" s="22" t="s">
        <v>1757</v>
      </c>
      <c r="R98" s="1" t="s">
        <v>1893</v>
      </c>
      <c r="S98" s="91" t="s">
        <v>404</v>
      </c>
      <c r="T98" s="92">
        <v>40423</v>
      </c>
      <c r="U98" s="91"/>
      <c r="V98" s="92"/>
      <c r="W98" s="74">
        <v>0</v>
      </c>
      <c r="X98" s="9">
        <v>40374</v>
      </c>
      <c r="Y98" s="9"/>
      <c r="Z98" s="24" t="s">
        <v>393</v>
      </c>
      <c r="AA98" s="16"/>
    </row>
    <row r="99" spans="2:27" ht="14.25" customHeight="1" x14ac:dyDescent="0.4">
      <c r="B99" s="22">
        <v>0</v>
      </c>
      <c r="C99" s="22">
        <v>0</v>
      </c>
      <c r="D99" s="22">
        <v>0</v>
      </c>
      <c r="E99" s="24">
        <v>40038</v>
      </c>
      <c r="F99" s="24" t="s">
        <v>393</v>
      </c>
      <c r="G99" s="24">
        <v>40049</v>
      </c>
      <c r="H99" s="23">
        <v>0</v>
      </c>
      <c r="I99" s="23">
        <v>40026</v>
      </c>
      <c r="J99" s="37">
        <v>18</v>
      </c>
      <c r="K99" s="111" t="s">
        <v>2130</v>
      </c>
      <c r="L99" s="24">
        <v>0</v>
      </c>
      <c r="M99" s="24">
        <v>40011</v>
      </c>
      <c r="N99" s="22" t="s">
        <v>668</v>
      </c>
      <c r="O99" s="4">
        <v>9100069</v>
      </c>
      <c r="P99" s="22">
        <v>1010</v>
      </c>
      <c r="Q99" s="22" t="s">
        <v>1347</v>
      </c>
      <c r="R99" s="4" t="s">
        <v>1385</v>
      </c>
      <c r="S99" s="4" t="s">
        <v>404</v>
      </c>
      <c r="T99" s="57">
        <v>40130</v>
      </c>
      <c r="U99" s="4" t="s">
        <v>404</v>
      </c>
      <c r="V99" s="58"/>
      <c r="W99" s="75">
        <v>6</v>
      </c>
      <c r="X99" s="9">
        <v>40182</v>
      </c>
      <c r="Y99" s="9"/>
      <c r="Z99" s="24" t="s">
        <v>393</v>
      </c>
      <c r="AA99" s="16"/>
    </row>
    <row r="100" spans="2:27" ht="14.25" customHeight="1" x14ac:dyDescent="0.4">
      <c r="B100" s="22">
        <v>0</v>
      </c>
      <c r="C100" s="22" t="s">
        <v>2165</v>
      </c>
      <c r="D100" s="22">
        <v>0</v>
      </c>
      <c r="E100" s="24">
        <v>40038</v>
      </c>
      <c r="F100" s="24" t="s">
        <v>393</v>
      </c>
      <c r="G100" s="24">
        <v>40050</v>
      </c>
      <c r="H100" s="23">
        <v>0</v>
      </c>
      <c r="I100" s="23">
        <v>40026</v>
      </c>
      <c r="J100" s="37">
        <v>19</v>
      </c>
      <c r="K100" s="111" t="s">
        <v>2130</v>
      </c>
      <c r="L100" s="24">
        <v>0</v>
      </c>
      <c r="M100" s="24">
        <v>40011</v>
      </c>
      <c r="N100" s="22" t="s">
        <v>668</v>
      </c>
      <c r="O100" s="4">
        <v>9100070</v>
      </c>
      <c r="P100" s="22">
        <v>715</v>
      </c>
      <c r="Q100" s="22" t="s">
        <v>1344</v>
      </c>
      <c r="R100" s="4" t="s">
        <v>1386</v>
      </c>
      <c r="S100" s="4" t="s">
        <v>404</v>
      </c>
      <c r="T100" s="57">
        <v>40062</v>
      </c>
      <c r="U100" s="4" t="s">
        <v>404</v>
      </c>
      <c r="V100" s="57"/>
      <c r="W100" s="75">
        <v>8</v>
      </c>
      <c r="X100" s="9">
        <v>40206</v>
      </c>
      <c r="Y100" s="28"/>
      <c r="Z100" s="24" t="s">
        <v>393</v>
      </c>
      <c r="AA100" s="16"/>
    </row>
    <row r="101" spans="2:27" ht="14.25" customHeight="1" x14ac:dyDescent="0.4">
      <c r="B101" s="22">
        <v>0</v>
      </c>
      <c r="C101" s="22" t="s">
        <v>2165</v>
      </c>
      <c r="D101" s="22">
        <v>0</v>
      </c>
      <c r="E101" s="24">
        <v>40059</v>
      </c>
      <c r="F101" s="24" t="s">
        <v>393</v>
      </c>
      <c r="G101" s="24">
        <v>40067</v>
      </c>
      <c r="H101" s="23">
        <v>0</v>
      </c>
      <c r="I101" s="23">
        <v>40057</v>
      </c>
      <c r="J101" s="37">
        <v>10</v>
      </c>
      <c r="K101" s="111" t="s">
        <v>2130</v>
      </c>
      <c r="L101" s="24">
        <v>0</v>
      </c>
      <c r="M101" s="24">
        <v>40032</v>
      </c>
      <c r="N101" s="22" t="s">
        <v>668</v>
      </c>
      <c r="O101" s="4">
        <v>9100179</v>
      </c>
      <c r="P101" s="22">
        <v>1010</v>
      </c>
      <c r="Q101" s="22" t="s">
        <v>1628</v>
      </c>
      <c r="R101" s="4" t="s">
        <v>1708</v>
      </c>
      <c r="S101" s="1" t="s">
        <v>404</v>
      </c>
      <c r="T101" s="42">
        <v>40241</v>
      </c>
      <c r="U101" s="1" t="s">
        <v>404</v>
      </c>
      <c r="V101" s="28"/>
      <c r="W101" s="74">
        <v>0</v>
      </c>
      <c r="X101" s="9">
        <v>40105</v>
      </c>
      <c r="Y101" s="28"/>
      <c r="Z101" s="24" t="s">
        <v>393</v>
      </c>
      <c r="AA101" s="16"/>
    </row>
    <row r="102" spans="2:27" ht="14.25" customHeight="1" x14ac:dyDescent="0.4">
      <c r="B102" s="22">
        <v>0</v>
      </c>
      <c r="C102" s="22" t="s">
        <v>2165</v>
      </c>
      <c r="D102" s="22">
        <v>0</v>
      </c>
      <c r="E102" s="24">
        <v>40064</v>
      </c>
      <c r="F102" s="24" t="s">
        <v>393</v>
      </c>
      <c r="G102" s="24">
        <v>40067</v>
      </c>
      <c r="H102" s="23">
        <v>0</v>
      </c>
      <c r="I102" s="23">
        <v>40057</v>
      </c>
      <c r="J102" s="37">
        <v>13</v>
      </c>
      <c r="K102" s="111" t="s">
        <v>2130</v>
      </c>
      <c r="L102" s="24">
        <v>0</v>
      </c>
      <c r="M102" s="24">
        <v>40032</v>
      </c>
      <c r="N102" s="22" t="s">
        <v>668</v>
      </c>
      <c r="O102" s="4">
        <v>9100180</v>
      </c>
      <c r="P102" s="22">
        <v>715</v>
      </c>
      <c r="Q102" s="22" t="s">
        <v>1629</v>
      </c>
      <c r="R102" s="4" t="s">
        <v>2105</v>
      </c>
      <c r="S102" s="1" t="s">
        <v>404</v>
      </c>
      <c r="T102" s="42">
        <v>40549</v>
      </c>
      <c r="V102" s="28"/>
      <c r="W102" s="74">
        <v>0</v>
      </c>
      <c r="X102" s="9">
        <v>40225</v>
      </c>
      <c r="Y102" s="28"/>
      <c r="Z102" s="24" t="s">
        <v>393</v>
      </c>
      <c r="AA102" s="16"/>
    </row>
    <row r="103" spans="2:27" ht="14.25" customHeight="1" x14ac:dyDescent="0.4">
      <c r="B103" s="22">
        <v>0</v>
      </c>
      <c r="C103" s="22" t="s">
        <v>2165</v>
      </c>
      <c r="D103" s="22">
        <v>0</v>
      </c>
      <c r="E103" s="24">
        <v>40065</v>
      </c>
      <c r="F103" s="24" t="s">
        <v>393</v>
      </c>
      <c r="G103" s="24">
        <v>40070</v>
      </c>
      <c r="H103" s="23">
        <v>0</v>
      </c>
      <c r="I103" s="23">
        <v>40057</v>
      </c>
      <c r="J103" s="37">
        <v>14</v>
      </c>
      <c r="K103" s="111" t="s">
        <v>2130</v>
      </c>
      <c r="L103" s="24">
        <v>0</v>
      </c>
      <c r="M103" s="24">
        <v>40032</v>
      </c>
      <c r="N103" s="22" t="s">
        <v>668</v>
      </c>
      <c r="O103" s="4">
        <v>9100181</v>
      </c>
      <c r="P103" s="22">
        <v>715</v>
      </c>
      <c r="Q103" s="22" t="s">
        <v>1630</v>
      </c>
      <c r="R103" s="4" t="s">
        <v>1709</v>
      </c>
      <c r="S103" s="1" t="s">
        <v>404</v>
      </c>
      <c r="T103" s="42">
        <v>40117</v>
      </c>
      <c r="U103" s="1" t="s">
        <v>404</v>
      </c>
      <c r="V103" s="28"/>
      <c r="W103" s="74">
        <v>0</v>
      </c>
      <c r="X103" s="9">
        <v>40182</v>
      </c>
      <c r="Y103" s="28"/>
      <c r="Z103" s="24" t="s">
        <v>393</v>
      </c>
      <c r="AA103" s="16"/>
    </row>
    <row r="104" spans="2:27" ht="14.25" customHeight="1" x14ac:dyDescent="0.4">
      <c r="B104" s="22">
        <v>0</v>
      </c>
      <c r="C104" s="22" t="s">
        <v>2165</v>
      </c>
      <c r="D104" s="22">
        <v>0</v>
      </c>
      <c r="E104" s="24">
        <v>40074</v>
      </c>
      <c r="F104" s="24" t="s">
        <v>393</v>
      </c>
      <c r="G104" s="24">
        <v>40077</v>
      </c>
      <c r="H104" s="23">
        <v>0</v>
      </c>
      <c r="I104" s="23">
        <v>40057</v>
      </c>
      <c r="J104" s="37">
        <v>28</v>
      </c>
      <c r="K104" s="111" t="s">
        <v>2130</v>
      </c>
      <c r="L104" s="24">
        <v>0</v>
      </c>
      <c r="M104" s="24">
        <v>40032</v>
      </c>
      <c r="N104" s="22" t="s">
        <v>668</v>
      </c>
      <c r="O104" s="4">
        <v>9100182</v>
      </c>
      <c r="P104" s="22">
        <v>1010</v>
      </c>
      <c r="Q104" s="22" t="s">
        <v>1631</v>
      </c>
      <c r="R104" s="4" t="s">
        <v>1387</v>
      </c>
      <c r="S104" s="1" t="s">
        <v>404</v>
      </c>
      <c r="T104" s="42">
        <v>40086</v>
      </c>
      <c r="U104" s="1" t="s">
        <v>404</v>
      </c>
      <c r="V104" s="28"/>
      <c r="W104" s="74">
        <v>0</v>
      </c>
      <c r="X104" s="28">
        <v>40206</v>
      </c>
      <c r="Y104" s="28"/>
      <c r="Z104" s="24" t="s">
        <v>393</v>
      </c>
      <c r="AA104" s="16"/>
    </row>
    <row r="105" spans="2:27" ht="14.25" customHeight="1" x14ac:dyDescent="0.4">
      <c r="B105" s="22">
        <v>0</v>
      </c>
      <c r="C105" s="22" t="s">
        <v>2165</v>
      </c>
      <c r="D105" s="22">
        <v>0</v>
      </c>
      <c r="E105" s="24">
        <v>40074</v>
      </c>
      <c r="F105" s="24" t="s">
        <v>393</v>
      </c>
      <c r="G105" s="24">
        <v>40077</v>
      </c>
      <c r="H105" s="23">
        <v>0</v>
      </c>
      <c r="I105" s="23">
        <v>40057</v>
      </c>
      <c r="J105" s="37">
        <v>29</v>
      </c>
      <c r="K105" s="111" t="s">
        <v>2130</v>
      </c>
      <c r="L105" s="24">
        <v>0</v>
      </c>
      <c r="M105" s="24">
        <v>40032</v>
      </c>
      <c r="N105" s="22" t="s">
        <v>668</v>
      </c>
      <c r="O105" s="4">
        <v>9100183</v>
      </c>
      <c r="P105" s="22">
        <v>1010</v>
      </c>
      <c r="Q105" s="22" t="s">
        <v>1632</v>
      </c>
      <c r="R105" s="4" t="s">
        <v>1388</v>
      </c>
      <c r="S105" s="1" t="s">
        <v>404</v>
      </c>
      <c r="T105" s="42">
        <v>40087</v>
      </c>
      <c r="U105" s="1" t="s">
        <v>404</v>
      </c>
      <c r="V105" s="28"/>
      <c r="W105" s="74">
        <v>0</v>
      </c>
      <c r="X105" s="28">
        <v>40182</v>
      </c>
      <c r="Y105" s="28"/>
      <c r="Z105" s="24" t="s">
        <v>393</v>
      </c>
      <c r="AA105" s="16"/>
    </row>
    <row r="106" spans="2:27" ht="14.25" customHeight="1" x14ac:dyDescent="0.4">
      <c r="B106" s="22">
        <v>0</v>
      </c>
      <c r="C106" s="22">
        <v>0</v>
      </c>
      <c r="D106" s="22">
        <v>0</v>
      </c>
      <c r="E106" s="24">
        <v>40072</v>
      </c>
      <c r="F106" s="24" t="s">
        <v>393</v>
      </c>
      <c r="G106" s="24">
        <v>40074</v>
      </c>
      <c r="H106" s="23">
        <v>0</v>
      </c>
      <c r="I106" s="23">
        <v>40057</v>
      </c>
      <c r="J106" s="37">
        <v>24</v>
      </c>
      <c r="K106" s="111" t="s">
        <v>2130</v>
      </c>
      <c r="L106" s="24">
        <v>0</v>
      </c>
      <c r="M106" s="24">
        <v>40032</v>
      </c>
      <c r="N106" s="22" t="s">
        <v>668</v>
      </c>
      <c r="O106" s="4">
        <v>9100184</v>
      </c>
      <c r="P106" s="22">
        <v>1010</v>
      </c>
      <c r="Q106" s="22" t="s">
        <v>1633</v>
      </c>
      <c r="R106" s="4" t="s">
        <v>1389</v>
      </c>
      <c r="S106" s="1" t="s">
        <v>404</v>
      </c>
      <c r="T106" s="42">
        <v>40101</v>
      </c>
      <c r="U106" s="1" t="s">
        <v>404</v>
      </c>
      <c r="V106" s="28"/>
      <c r="W106" s="74">
        <v>0</v>
      </c>
      <c r="X106" s="9">
        <v>40206</v>
      </c>
      <c r="Y106" s="30"/>
      <c r="Z106" s="24" t="s">
        <v>393</v>
      </c>
      <c r="AA106" s="16"/>
    </row>
    <row r="107" spans="2:27" ht="14.25" customHeight="1" x14ac:dyDescent="0.4">
      <c r="B107" s="22">
        <v>0</v>
      </c>
      <c r="C107" s="22" t="s">
        <v>2102</v>
      </c>
      <c r="D107" s="22">
        <v>0</v>
      </c>
      <c r="E107" s="24">
        <v>40072</v>
      </c>
      <c r="F107" s="24" t="s">
        <v>393</v>
      </c>
      <c r="G107" s="24">
        <v>40073</v>
      </c>
      <c r="H107" s="23">
        <v>0</v>
      </c>
      <c r="I107" s="23">
        <v>40057</v>
      </c>
      <c r="J107" s="37">
        <v>25</v>
      </c>
      <c r="K107" s="111" t="s">
        <v>2130</v>
      </c>
      <c r="L107" s="24">
        <v>0</v>
      </c>
      <c r="M107" s="24">
        <v>40032</v>
      </c>
      <c r="N107" s="22" t="s">
        <v>668</v>
      </c>
      <c r="O107" s="4">
        <v>9100185</v>
      </c>
      <c r="P107" s="22">
        <v>1010</v>
      </c>
      <c r="Q107" s="22" t="s">
        <v>1634</v>
      </c>
      <c r="R107" s="4" t="s">
        <v>1390</v>
      </c>
      <c r="S107" s="1" t="s">
        <v>404</v>
      </c>
      <c r="T107" s="42">
        <v>40101</v>
      </c>
      <c r="U107" s="1" t="s">
        <v>404</v>
      </c>
      <c r="V107" s="28"/>
      <c r="W107" s="74">
        <v>0</v>
      </c>
      <c r="X107" s="9"/>
      <c r="Y107" s="28"/>
      <c r="Z107" s="24" t="s">
        <v>393</v>
      </c>
      <c r="AA107" s="16"/>
    </row>
    <row r="108" spans="2:27" ht="14.25" customHeight="1" x14ac:dyDescent="0.4">
      <c r="B108" s="22">
        <v>0</v>
      </c>
      <c r="C108" s="22" t="s">
        <v>2165</v>
      </c>
      <c r="D108" s="22">
        <v>0</v>
      </c>
      <c r="E108" s="24" t="s">
        <v>21</v>
      </c>
      <c r="F108" s="24" t="s">
        <v>393</v>
      </c>
      <c r="G108" s="24">
        <v>40074</v>
      </c>
      <c r="H108" s="23">
        <v>0</v>
      </c>
      <c r="I108" s="23">
        <v>40057</v>
      </c>
      <c r="J108" s="37">
        <v>26</v>
      </c>
      <c r="K108" s="111" t="s">
        <v>2130</v>
      </c>
      <c r="L108" s="24">
        <v>0</v>
      </c>
      <c r="M108" s="24">
        <v>40032</v>
      </c>
      <c r="N108" s="22" t="s">
        <v>668</v>
      </c>
      <c r="O108" s="4">
        <v>9100186</v>
      </c>
      <c r="P108" s="22">
        <v>1010</v>
      </c>
      <c r="Q108" s="22" t="s">
        <v>1635</v>
      </c>
      <c r="R108" s="4" t="s">
        <v>1710</v>
      </c>
      <c r="S108" s="1" t="s">
        <v>404</v>
      </c>
      <c r="T108" s="42">
        <v>40163</v>
      </c>
      <c r="U108" s="1" t="s">
        <v>404</v>
      </c>
      <c r="V108" s="28"/>
      <c r="W108" s="74">
        <v>0</v>
      </c>
      <c r="X108" s="28">
        <v>40206</v>
      </c>
      <c r="Y108" s="28"/>
      <c r="Z108" s="24" t="s">
        <v>393</v>
      </c>
      <c r="AA108" s="16"/>
    </row>
    <row r="109" spans="2:27" ht="14.25" customHeight="1" x14ac:dyDescent="0.4">
      <c r="B109" s="22">
        <v>0</v>
      </c>
      <c r="C109" s="22" t="s">
        <v>2165</v>
      </c>
      <c r="D109" s="22">
        <v>0</v>
      </c>
      <c r="E109" s="24">
        <v>40073</v>
      </c>
      <c r="F109" s="24" t="s">
        <v>393</v>
      </c>
      <c r="G109" s="24">
        <v>40077</v>
      </c>
      <c r="H109" s="23">
        <v>0</v>
      </c>
      <c r="I109" s="23">
        <v>40057</v>
      </c>
      <c r="J109" s="37">
        <v>27</v>
      </c>
      <c r="K109" s="111" t="s">
        <v>2130</v>
      </c>
      <c r="L109" s="24">
        <v>0</v>
      </c>
      <c r="M109" s="24">
        <v>40032</v>
      </c>
      <c r="N109" s="22" t="s">
        <v>668</v>
      </c>
      <c r="O109" s="4">
        <v>9100187</v>
      </c>
      <c r="P109" s="22">
        <v>1010</v>
      </c>
      <c r="Q109" s="22" t="s">
        <v>1636</v>
      </c>
      <c r="R109" s="4" t="s">
        <v>1711</v>
      </c>
      <c r="S109" s="1" t="s">
        <v>404</v>
      </c>
      <c r="T109" s="42">
        <v>40175</v>
      </c>
      <c r="U109" s="1" t="s">
        <v>404</v>
      </c>
      <c r="V109" s="28"/>
      <c r="W109" s="74">
        <v>0</v>
      </c>
      <c r="X109" s="28">
        <v>40105</v>
      </c>
      <c r="Y109" s="28"/>
      <c r="Z109" s="24" t="s">
        <v>393</v>
      </c>
      <c r="AA109" s="16"/>
    </row>
    <row r="110" spans="2:27" ht="14.25" customHeight="1" x14ac:dyDescent="0.4">
      <c r="B110" s="22">
        <v>0</v>
      </c>
      <c r="C110" s="22">
        <v>0</v>
      </c>
      <c r="D110" s="22">
        <v>0</v>
      </c>
      <c r="E110" s="24">
        <v>40191</v>
      </c>
      <c r="F110" s="24" t="s">
        <v>393</v>
      </c>
      <c r="G110" s="24">
        <v>40196</v>
      </c>
      <c r="H110" s="23">
        <v>0</v>
      </c>
      <c r="I110" s="23">
        <v>40179</v>
      </c>
      <c r="J110" s="37">
        <v>8</v>
      </c>
      <c r="K110" s="111" t="s">
        <v>2130</v>
      </c>
      <c r="L110" s="24">
        <v>0</v>
      </c>
      <c r="M110" s="24">
        <v>40177</v>
      </c>
      <c r="N110" s="22" t="s">
        <v>668</v>
      </c>
      <c r="O110" s="4">
        <v>9100361</v>
      </c>
      <c r="P110" s="22">
        <v>1010</v>
      </c>
      <c r="Q110" s="22">
        <v>44711</v>
      </c>
      <c r="R110" s="4" t="s">
        <v>1707</v>
      </c>
      <c r="S110" s="4" t="s">
        <v>404</v>
      </c>
      <c r="T110" s="43">
        <v>40220</v>
      </c>
      <c r="U110" s="55"/>
      <c r="V110" s="55"/>
      <c r="W110" s="74">
        <v>0</v>
      </c>
      <c r="X110" s="9">
        <v>40225</v>
      </c>
      <c r="Y110" s="9"/>
      <c r="Z110" s="24" t="s">
        <v>393</v>
      </c>
      <c r="AA110" s="16"/>
    </row>
    <row r="111" spans="2:27" ht="14.25" customHeight="1" x14ac:dyDescent="0.4">
      <c r="B111" s="22">
        <v>0</v>
      </c>
      <c r="C111" s="22">
        <v>0</v>
      </c>
      <c r="D111" s="22">
        <v>0</v>
      </c>
      <c r="E111" s="24">
        <v>40192</v>
      </c>
      <c r="F111" s="24" t="s">
        <v>393</v>
      </c>
      <c r="G111" s="24">
        <v>40198</v>
      </c>
      <c r="H111" s="23">
        <v>0</v>
      </c>
      <c r="I111" s="23">
        <v>40179</v>
      </c>
      <c r="J111" s="37">
        <v>11</v>
      </c>
      <c r="K111" s="111" t="s">
        <v>2130</v>
      </c>
      <c r="L111" s="24">
        <v>0</v>
      </c>
      <c r="M111" s="24">
        <v>40177</v>
      </c>
      <c r="N111" s="22" t="s">
        <v>668</v>
      </c>
      <c r="O111" s="4">
        <v>9100362</v>
      </c>
      <c r="P111" s="22">
        <v>1010</v>
      </c>
      <c r="Q111" s="22">
        <v>44712</v>
      </c>
      <c r="R111" s="1" t="s">
        <v>1465</v>
      </c>
      <c r="S111" s="55" t="s">
        <v>404</v>
      </c>
      <c r="T111" s="43">
        <v>40255</v>
      </c>
      <c r="U111" s="55" t="s">
        <v>404</v>
      </c>
      <c r="V111" s="71"/>
      <c r="W111" s="74">
        <v>0</v>
      </c>
      <c r="X111" s="28">
        <v>40225</v>
      </c>
      <c r="Y111" s="28"/>
      <c r="Z111" s="24" t="s">
        <v>393</v>
      </c>
      <c r="AA111" s="16"/>
    </row>
    <row r="112" spans="2:27" ht="14.25" customHeight="1" x14ac:dyDescent="0.4">
      <c r="B112" s="22">
        <v>0</v>
      </c>
      <c r="C112" s="22" t="s">
        <v>2102</v>
      </c>
      <c r="D112" s="22">
        <v>0</v>
      </c>
      <c r="E112" s="24">
        <v>40149</v>
      </c>
      <c r="F112" s="24" t="s">
        <v>393</v>
      </c>
      <c r="G112" s="24">
        <v>40165</v>
      </c>
      <c r="H112" s="23">
        <v>0</v>
      </c>
      <c r="I112" s="23">
        <v>40118</v>
      </c>
      <c r="J112" s="37">
        <v>31</v>
      </c>
      <c r="K112" s="111" t="s">
        <v>2130</v>
      </c>
      <c r="L112" s="24" t="s">
        <v>22</v>
      </c>
      <c r="M112" s="24">
        <v>40028</v>
      </c>
      <c r="N112" s="22" t="s">
        <v>668</v>
      </c>
      <c r="O112" s="3">
        <v>9100140</v>
      </c>
      <c r="P112" s="22">
        <v>1010</v>
      </c>
      <c r="Q112" s="22" t="s">
        <v>1748</v>
      </c>
      <c r="R112" s="4"/>
      <c r="S112" s="38" t="s">
        <v>404</v>
      </c>
      <c r="T112" s="44">
        <v>40347</v>
      </c>
      <c r="U112" s="38"/>
      <c r="V112" s="9"/>
      <c r="W112" s="74">
        <v>0</v>
      </c>
      <c r="X112" s="9"/>
      <c r="Y112" s="9"/>
      <c r="Z112" s="24" t="s">
        <v>393</v>
      </c>
      <c r="AA112" s="16"/>
    </row>
    <row r="113" spans="1:27" ht="14.25" customHeight="1" x14ac:dyDescent="0.4">
      <c r="B113" s="22">
        <v>0</v>
      </c>
      <c r="C113" s="22">
        <v>0</v>
      </c>
      <c r="D113" s="22">
        <v>0</v>
      </c>
      <c r="E113" s="24">
        <v>0</v>
      </c>
      <c r="F113" s="24" t="s">
        <v>393</v>
      </c>
      <c r="G113" s="24">
        <v>40371</v>
      </c>
      <c r="H113" s="23">
        <v>0</v>
      </c>
      <c r="I113" s="23">
        <v>40360</v>
      </c>
      <c r="J113" s="37">
        <v>7</v>
      </c>
      <c r="K113" s="111" t="s">
        <v>2130</v>
      </c>
      <c r="L113" s="24">
        <v>0</v>
      </c>
      <c r="M113" s="24">
        <v>40357</v>
      </c>
      <c r="N113" s="22" t="s">
        <v>668</v>
      </c>
      <c r="O113" s="4">
        <v>9100197</v>
      </c>
      <c r="P113" s="22">
        <v>1010</v>
      </c>
      <c r="Q113" s="22" t="s">
        <v>1517</v>
      </c>
      <c r="R113" s="102" t="s">
        <v>96</v>
      </c>
      <c r="S113" s="132" t="s">
        <v>2102</v>
      </c>
      <c r="T113" s="92">
        <v>40627</v>
      </c>
      <c r="U113" s="91"/>
      <c r="V113" s="92"/>
      <c r="W113" s="74">
        <v>0</v>
      </c>
      <c r="X113" s="9">
        <v>40378</v>
      </c>
      <c r="Y113" s="9"/>
      <c r="Z113" s="24" t="s">
        <v>393</v>
      </c>
      <c r="AA113" s="16"/>
    </row>
    <row r="114" spans="1:27" ht="14.25" customHeight="1" x14ac:dyDescent="0.4">
      <c r="B114" s="22">
        <v>0</v>
      </c>
      <c r="C114" s="22" t="s">
        <v>2165</v>
      </c>
      <c r="D114" s="22">
        <v>0</v>
      </c>
      <c r="E114" s="24">
        <v>0</v>
      </c>
      <c r="F114" s="24" t="s">
        <v>393</v>
      </c>
      <c r="G114" s="24">
        <v>40373</v>
      </c>
      <c r="H114" s="23">
        <v>0</v>
      </c>
      <c r="I114" s="23">
        <v>40360</v>
      </c>
      <c r="J114" s="37">
        <v>8</v>
      </c>
      <c r="K114" s="111" t="s">
        <v>2130</v>
      </c>
      <c r="L114" s="24">
        <v>0</v>
      </c>
      <c r="M114" s="24">
        <v>40357</v>
      </c>
      <c r="N114" s="22" t="s">
        <v>668</v>
      </c>
      <c r="O114" s="4">
        <v>9100198</v>
      </c>
      <c r="P114" s="22">
        <v>1010</v>
      </c>
      <c r="Q114" s="22" t="s">
        <v>1519</v>
      </c>
      <c r="R114" s="55" t="s">
        <v>1944</v>
      </c>
      <c r="S114" s="91" t="s">
        <v>404</v>
      </c>
      <c r="T114" s="92">
        <v>40462</v>
      </c>
      <c r="U114" s="91"/>
      <c r="V114" s="92"/>
      <c r="W114" s="74">
        <v>0</v>
      </c>
      <c r="X114" s="28">
        <v>40378</v>
      </c>
      <c r="Y114" s="28"/>
      <c r="Z114" s="24" t="s">
        <v>393</v>
      </c>
      <c r="AA114" s="16"/>
    </row>
    <row r="115" spans="1:27" ht="14.25" customHeight="1" x14ac:dyDescent="0.4">
      <c r="B115" s="22">
        <v>0</v>
      </c>
      <c r="C115" s="22" t="s">
        <v>2165</v>
      </c>
      <c r="D115" s="22">
        <v>0</v>
      </c>
      <c r="E115" s="24">
        <v>40058</v>
      </c>
      <c r="F115" s="24" t="s">
        <v>393</v>
      </c>
      <c r="G115" s="24">
        <v>40060</v>
      </c>
      <c r="H115" s="23">
        <v>0</v>
      </c>
      <c r="I115" s="23">
        <v>40057</v>
      </c>
      <c r="J115" s="37">
        <v>7</v>
      </c>
      <c r="K115" s="24" t="s">
        <v>412</v>
      </c>
      <c r="L115" s="24">
        <v>0</v>
      </c>
      <c r="M115" s="24">
        <v>40039</v>
      </c>
      <c r="N115" s="22" t="s">
        <v>557</v>
      </c>
      <c r="O115" s="4">
        <v>9100204</v>
      </c>
      <c r="P115" s="22">
        <v>1010</v>
      </c>
      <c r="Q115" s="22" t="s">
        <v>1343</v>
      </c>
      <c r="S115" s="91" t="s">
        <v>404</v>
      </c>
      <c r="T115" s="92">
        <v>40067</v>
      </c>
      <c r="U115" s="91" t="s">
        <v>404</v>
      </c>
      <c r="V115" s="92">
        <v>40273</v>
      </c>
      <c r="W115" s="75">
        <v>0</v>
      </c>
      <c r="X115" s="28">
        <v>40135</v>
      </c>
      <c r="Y115" s="28"/>
      <c r="Z115" s="24" t="s">
        <v>393</v>
      </c>
      <c r="AA115" s="16"/>
    </row>
    <row r="116" spans="1:27" ht="14.25" customHeight="1" x14ac:dyDescent="0.4">
      <c r="B116" s="22">
        <v>0</v>
      </c>
      <c r="C116" s="22" t="s">
        <v>2102</v>
      </c>
      <c r="D116" s="22" t="s">
        <v>23</v>
      </c>
      <c r="E116" s="24">
        <v>40078</v>
      </c>
      <c r="F116" s="24" t="s">
        <v>393</v>
      </c>
      <c r="G116" s="24">
        <v>40084</v>
      </c>
      <c r="H116" s="23">
        <v>0</v>
      </c>
      <c r="I116" s="23">
        <v>40057</v>
      </c>
      <c r="J116" s="37">
        <v>33</v>
      </c>
      <c r="K116" s="24" t="s">
        <v>412</v>
      </c>
      <c r="L116" s="24">
        <v>0</v>
      </c>
      <c r="M116" s="24">
        <v>40039</v>
      </c>
      <c r="N116" s="22" t="s">
        <v>557</v>
      </c>
      <c r="O116" s="11">
        <v>9100205</v>
      </c>
      <c r="P116" s="22">
        <v>1010</v>
      </c>
      <c r="Q116" s="22" t="s">
        <v>698</v>
      </c>
      <c r="R116" s="55"/>
      <c r="S116" s="91" t="s">
        <v>404</v>
      </c>
      <c r="T116" s="92">
        <v>40270</v>
      </c>
      <c r="U116" s="91" t="s">
        <v>404</v>
      </c>
      <c r="V116" s="92">
        <v>40273</v>
      </c>
      <c r="W116" s="75"/>
      <c r="X116" s="9">
        <v>40071</v>
      </c>
      <c r="Y116" s="9"/>
      <c r="Z116" s="24" t="s">
        <v>393</v>
      </c>
      <c r="AA116" s="16"/>
    </row>
    <row r="117" spans="1:27" ht="14.25" customHeight="1" x14ac:dyDescent="0.4">
      <c r="B117" s="22">
        <v>0</v>
      </c>
      <c r="C117" s="22" t="s">
        <v>2102</v>
      </c>
      <c r="D117" s="22">
        <v>0</v>
      </c>
      <c r="E117" s="24">
        <v>40067</v>
      </c>
      <c r="F117" s="24" t="s">
        <v>393</v>
      </c>
      <c r="G117" s="24">
        <v>40071</v>
      </c>
      <c r="H117" s="23">
        <v>0</v>
      </c>
      <c r="I117" s="23">
        <v>40057</v>
      </c>
      <c r="J117" s="37">
        <v>8</v>
      </c>
      <c r="K117" s="24" t="s">
        <v>412</v>
      </c>
      <c r="L117" s="24">
        <v>0</v>
      </c>
      <c r="M117" s="24">
        <v>40039</v>
      </c>
      <c r="N117" s="22" t="s">
        <v>557</v>
      </c>
      <c r="O117" s="4">
        <v>9100206</v>
      </c>
      <c r="P117" s="22">
        <v>715</v>
      </c>
      <c r="Q117" s="22" t="s">
        <v>1344</v>
      </c>
      <c r="R117" s="55"/>
      <c r="S117" s="91" t="s">
        <v>404</v>
      </c>
      <c r="T117" s="92">
        <v>40291</v>
      </c>
      <c r="U117" s="91" t="s">
        <v>404</v>
      </c>
      <c r="V117" s="92">
        <v>40298</v>
      </c>
      <c r="W117" s="75">
        <v>5</v>
      </c>
      <c r="X117" s="9">
        <v>40135</v>
      </c>
      <c r="Y117" s="9"/>
      <c r="Z117" s="24" t="s">
        <v>393</v>
      </c>
      <c r="AA117" s="16"/>
    </row>
    <row r="118" spans="1:27" ht="14.25" customHeight="1" x14ac:dyDescent="0.4">
      <c r="A118" s="4"/>
      <c r="B118" s="22">
        <v>0</v>
      </c>
      <c r="C118" s="22" t="s">
        <v>2165</v>
      </c>
      <c r="D118" s="22">
        <v>0</v>
      </c>
      <c r="E118" s="24">
        <v>40312</v>
      </c>
      <c r="F118" s="24" t="s">
        <v>393</v>
      </c>
      <c r="G118" s="24">
        <v>40322</v>
      </c>
      <c r="H118" s="23">
        <v>0</v>
      </c>
      <c r="I118" s="23">
        <v>40299</v>
      </c>
      <c r="J118" s="37">
        <v>6</v>
      </c>
      <c r="K118" s="24" t="s">
        <v>412</v>
      </c>
      <c r="L118" s="24" t="s">
        <v>1724</v>
      </c>
      <c r="M118" s="24">
        <v>40302</v>
      </c>
      <c r="N118" s="22" t="s">
        <v>557</v>
      </c>
      <c r="O118" s="4">
        <v>9100804</v>
      </c>
      <c r="P118" s="22">
        <v>1010</v>
      </c>
      <c r="Q118" s="22" t="s">
        <v>1725</v>
      </c>
      <c r="R118" s="55"/>
      <c r="S118" s="91" t="s">
        <v>404</v>
      </c>
      <c r="T118" s="94">
        <v>40361</v>
      </c>
      <c r="U118" s="91" t="s">
        <v>404</v>
      </c>
      <c r="V118" s="92">
        <v>40361</v>
      </c>
      <c r="W118" s="75"/>
      <c r="X118" s="9">
        <v>40336</v>
      </c>
      <c r="Y118" s="9"/>
      <c r="Z118" s="24" t="s">
        <v>393</v>
      </c>
      <c r="AA118" s="16"/>
    </row>
    <row r="119" spans="1:27" ht="14.25" customHeight="1" x14ac:dyDescent="0.4">
      <c r="B119" s="22">
        <v>0</v>
      </c>
      <c r="C119" s="22" t="s">
        <v>2165</v>
      </c>
      <c r="D119" s="22">
        <v>0</v>
      </c>
      <c r="E119" s="24">
        <v>40315</v>
      </c>
      <c r="F119" s="24" t="s">
        <v>393</v>
      </c>
      <c r="G119" s="24">
        <v>40318</v>
      </c>
      <c r="H119" s="23">
        <v>0</v>
      </c>
      <c r="I119" s="23">
        <v>40299</v>
      </c>
      <c r="J119" s="37">
        <v>7</v>
      </c>
      <c r="K119" s="24" t="s">
        <v>412</v>
      </c>
      <c r="L119" s="24" t="s">
        <v>1724</v>
      </c>
      <c r="M119" s="24">
        <v>40302</v>
      </c>
      <c r="N119" s="22" t="s">
        <v>557</v>
      </c>
      <c r="O119" s="4">
        <v>9100805</v>
      </c>
      <c r="P119" s="22">
        <v>715</v>
      </c>
      <c r="Q119" s="22" t="s">
        <v>1726</v>
      </c>
      <c r="R119" s="55"/>
      <c r="S119" s="91" t="s">
        <v>404</v>
      </c>
      <c r="T119" s="94">
        <v>40528</v>
      </c>
      <c r="U119" s="91" t="s">
        <v>404</v>
      </c>
      <c r="V119" s="92">
        <v>40610</v>
      </c>
      <c r="W119" s="75"/>
      <c r="X119" s="9">
        <v>40336</v>
      </c>
      <c r="Y119" s="9"/>
      <c r="Z119" s="24" t="s">
        <v>393</v>
      </c>
      <c r="AA119" s="16"/>
    </row>
    <row r="120" spans="1:27" ht="14.25" customHeight="1" x14ac:dyDescent="0.4">
      <c r="B120" s="22">
        <v>0</v>
      </c>
      <c r="C120" s="22">
        <v>0</v>
      </c>
      <c r="D120" s="22">
        <v>0</v>
      </c>
      <c r="E120" s="24">
        <v>40039</v>
      </c>
      <c r="F120" s="24" t="s">
        <v>393</v>
      </c>
      <c r="G120" s="24">
        <v>40051</v>
      </c>
      <c r="H120" s="23">
        <v>0</v>
      </c>
      <c r="I120" s="23">
        <v>40026</v>
      </c>
      <c r="J120" s="37">
        <v>21</v>
      </c>
      <c r="K120" s="24" t="s">
        <v>412</v>
      </c>
      <c r="L120" s="24">
        <v>0</v>
      </c>
      <c r="M120" s="24">
        <v>40011</v>
      </c>
      <c r="N120" s="22" t="s">
        <v>563</v>
      </c>
      <c r="O120" s="4">
        <v>9100073</v>
      </c>
      <c r="P120" s="22">
        <v>1010</v>
      </c>
      <c r="Q120" s="22" t="s">
        <v>1521</v>
      </c>
      <c r="R120" s="55"/>
      <c r="S120" s="91" t="s">
        <v>404</v>
      </c>
      <c r="T120" s="92">
        <v>40346</v>
      </c>
      <c r="U120" s="91" t="s">
        <v>404</v>
      </c>
      <c r="V120" s="94">
        <v>40346</v>
      </c>
      <c r="W120" s="75"/>
      <c r="X120" s="28">
        <v>40073</v>
      </c>
      <c r="Y120" s="28"/>
      <c r="Z120" s="24" t="s">
        <v>393</v>
      </c>
      <c r="AA120" s="16"/>
    </row>
    <row r="121" spans="1:27" ht="14.25" customHeight="1" x14ac:dyDescent="0.4">
      <c r="B121" s="22">
        <v>0</v>
      </c>
      <c r="C121" s="22" t="s">
        <v>2102</v>
      </c>
      <c r="D121" s="22">
        <v>0</v>
      </c>
      <c r="E121" s="24">
        <v>40042</v>
      </c>
      <c r="F121" s="24" t="s">
        <v>393</v>
      </c>
      <c r="G121" s="24">
        <v>40051</v>
      </c>
      <c r="H121" s="23">
        <v>0</v>
      </c>
      <c r="I121" s="23">
        <v>40026</v>
      </c>
      <c r="J121" s="37">
        <v>22</v>
      </c>
      <c r="K121" s="24" t="s">
        <v>412</v>
      </c>
      <c r="L121" s="24">
        <v>0</v>
      </c>
      <c r="M121" s="24">
        <v>40011</v>
      </c>
      <c r="N121" s="22" t="s">
        <v>563</v>
      </c>
      <c r="O121" s="4">
        <v>9100074</v>
      </c>
      <c r="P121" s="22">
        <v>1010</v>
      </c>
      <c r="Q121" s="22" t="s">
        <v>1347</v>
      </c>
      <c r="R121" s="55"/>
      <c r="S121" s="91" t="s">
        <v>404</v>
      </c>
      <c r="T121" s="92">
        <v>40242</v>
      </c>
      <c r="U121" s="91" t="s">
        <v>404</v>
      </c>
      <c r="V121" s="92">
        <v>40263</v>
      </c>
      <c r="W121" s="75">
        <v>0</v>
      </c>
      <c r="X121" s="9">
        <v>40133</v>
      </c>
      <c r="Y121" s="28"/>
      <c r="Z121" s="24" t="s">
        <v>393</v>
      </c>
      <c r="AA121" s="16"/>
    </row>
    <row r="122" spans="1:27" ht="14.25" customHeight="1" x14ac:dyDescent="0.4">
      <c r="B122" s="22">
        <v>0</v>
      </c>
      <c r="C122" s="22">
        <v>0</v>
      </c>
      <c r="D122" s="22">
        <v>0</v>
      </c>
      <c r="E122" s="24">
        <v>40050</v>
      </c>
      <c r="F122" s="24" t="s">
        <v>393</v>
      </c>
      <c r="G122" s="24">
        <v>40067</v>
      </c>
      <c r="H122" s="23">
        <v>0</v>
      </c>
      <c r="I122" s="23">
        <v>40026</v>
      </c>
      <c r="J122" s="37">
        <v>35</v>
      </c>
      <c r="K122" s="24" t="s">
        <v>412</v>
      </c>
      <c r="L122" s="24">
        <v>0</v>
      </c>
      <c r="M122" s="24">
        <v>40011</v>
      </c>
      <c r="N122" s="22" t="s">
        <v>563</v>
      </c>
      <c r="O122" s="4">
        <v>9100075</v>
      </c>
      <c r="P122" s="22">
        <v>1010</v>
      </c>
      <c r="Q122" s="22" t="s">
        <v>1344</v>
      </c>
      <c r="R122" s="55" t="s">
        <v>873</v>
      </c>
      <c r="S122" s="55" t="s">
        <v>404</v>
      </c>
      <c r="T122" s="93">
        <v>40011</v>
      </c>
      <c r="U122" s="55" t="s">
        <v>404</v>
      </c>
      <c r="V122" s="93">
        <v>40079</v>
      </c>
      <c r="W122" s="75">
        <v>0</v>
      </c>
      <c r="X122" s="28">
        <v>40133</v>
      </c>
      <c r="Y122" s="28"/>
      <c r="Z122" s="24" t="s">
        <v>393</v>
      </c>
      <c r="AA122" s="16"/>
    </row>
    <row r="123" spans="1:27" ht="14.25" customHeight="1" x14ac:dyDescent="0.4">
      <c r="B123" s="22">
        <v>0</v>
      </c>
      <c r="C123" s="22" t="s">
        <v>2165</v>
      </c>
      <c r="D123" s="22">
        <v>0</v>
      </c>
      <c r="E123" s="24">
        <v>40049</v>
      </c>
      <c r="F123" s="24" t="s">
        <v>393</v>
      </c>
      <c r="G123" s="24">
        <v>40064</v>
      </c>
      <c r="H123" s="23">
        <v>0</v>
      </c>
      <c r="I123" s="23">
        <v>40026</v>
      </c>
      <c r="J123" s="37">
        <v>34</v>
      </c>
      <c r="K123" s="24" t="s">
        <v>412</v>
      </c>
      <c r="L123" s="24">
        <v>0</v>
      </c>
      <c r="M123" s="24">
        <v>40031</v>
      </c>
      <c r="N123" s="22" t="s">
        <v>563</v>
      </c>
      <c r="O123" s="3">
        <v>9100147</v>
      </c>
      <c r="P123" s="22">
        <v>1010</v>
      </c>
      <c r="Q123" s="22" t="s">
        <v>1522</v>
      </c>
      <c r="R123" s="55"/>
      <c r="S123" s="55" t="s">
        <v>404</v>
      </c>
      <c r="T123" s="151">
        <v>40346</v>
      </c>
      <c r="U123" s="55" t="s">
        <v>404</v>
      </c>
      <c r="V123" s="94">
        <v>40346</v>
      </c>
      <c r="W123" s="75">
        <v>7</v>
      </c>
      <c r="X123" s="9">
        <v>40073</v>
      </c>
      <c r="Y123" s="9"/>
      <c r="Z123" s="24" t="s">
        <v>393</v>
      </c>
      <c r="AA123" s="16"/>
    </row>
    <row r="124" spans="1:27" ht="14.25" customHeight="1" x14ac:dyDescent="0.4">
      <c r="B124" s="22">
        <v>0</v>
      </c>
      <c r="C124" s="22">
        <v>0</v>
      </c>
      <c r="D124" s="22">
        <v>0</v>
      </c>
      <c r="E124" s="24">
        <v>40065</v>
      </c>
      <c r="F124" s="24" t="s">
        <v>393</v>
      </c>
      <c r="G124" s="24">
        <v>40078</v>
      </c>
      <c r="H124" s="23">
        <v>0</v>
      </c>
      <c r="I124" s="23">
        <v>40057</v>
      </c>
      <c r="J124" s="37">
        <v>15</v>
      </c>
      <c r="K124" s="24" t="s">
        <v>412</v>
      </c>
      <c r="L124" s="24">
        <v>0</v>
      </c>
      <c r="M124" s="24">
        <v>40031</v>
      </c>
      <c r="N124" s="22" t="s">
        <v>563</v>
      </c>
      <c r="O124" s="3">
        <v>9100148</v>
      </c>
      <c r="P124" s="22">
        <v>1010</v>
      </c>
      <c r="Q124" s="22">
        <v>0</v>
      </c>
      <c r="R124" s="55"/>
      <c r="S124" s="55" t="s">
        <v>404</v>
      </c>
      <c r="T124" s="93">
        <v>40122</v>
      </c>
      <c r="U124" s="55" t="s">
        <v>404</v>
      </c>
      <c r="V124" s="71">
        <v>40511</v>
      </c>
      <c r="W124" s="75"/>
      <c r="X124" s="9">
        <v>40252</v>
      </c>
      <c r="Y124" s="9"/>
      <c r="Z124" s="24" t="s">
        <v>393</v>
      </c>
      <c r="AA124" s="16"/>
    </row>
    <row r="125" spans="1:27" ht="14.25" customHeight="1" x14ac:dyDescent="0.4">
      <c r="B125" s="22">
        <v>0</v>
      </c>
      <c r="C125" s="22">
        <v>0</v>
      </c>
      <c r="D125" s="22">
        <v>0</v>
      </c>
      <c r="E125" s="24">
        <v>40066</v>
      </c>
      <c r="F125" s="24" t="s">
        <v>393</v>
      </c>
      <c r="G125" s="24">
        <v>40072</v>
      </c>
      <c r="H125" s="23">
        <v>0</v>
      </c>
      <c r="I125" s="23">
        <v>40057</v>
      </c>
      <c r="J125" s="37">
        <v>16</v>
      </c>
      <c r="K125" s="24" t="s">
        <v>412</v>
      </c>
      <c r="L125" s="24">
        <v>0</v>
      </c>
      <c r="M125" s="24">
        <v>40031</v>
      </c>
      <c r="N125" s="22" t="s">
        <v>563</v>
      </c>
      <c r="O125" s="3">
        <v>9100149</v>
      </c>
      <c r="P125" s="22">
        <v>1010</v>
      </c>
      <c r="Q125" s="22">
        <v>0</v>
      </c>
      <c r="R125" s="55"/>
      <c r="S125" s="91" t="s">
        <v>404</v>
      </c>
      <c r="T125" s="94">
        <v>40633</v>
      </c>
      <c r="U125" s="91" t="s">
        <v>404</v>
      </c>
      <c r="V125" s="92">
        <v>40655</v>
      </c>
      <c r="W125" s="75"/>
      <c r="X125" s="9">
        <v>40252</v>
      </c>
      <c r="Y125" s="9"/>
      <c r="Z125" s="24" t="s">
        <v>393</v>
      </c>
      <c r="AA125" s="16"/>
    </row>
    <row r="126" spans="1:27" ht="14.25" customHeight="1" x14ac:dyDescent="0.4">
      <c r="B126" s="22">
        <v>0</v>
      </c>
      <c r="C126" s="22" t="s">
        <v>2165</v>
      </c>
      <c r="D126" s="22">
        <v>0</v>
      </c>
      <c r="E126" s="24">
        <v>40042</v>
      </c>
      <c r="F126" s="24" t="s">
        <v>393</v>
      </c>
      <c r="G126" s="24">
        <v>40044</v>
      </c>
      <c r="H126" s="23">
        <v>0</v>
      </c>
      <c r="I126" s="23">
        <v>40026</v>
      </c>
      <c r="J126" s="37">
        <v>23</v>
      </c>
      <c r="K126" s="24" t="s">
        <v>412</v>
      </c>
      <c r="L126" s="24" t="s">
        <v>24</v>
      </c>
      <c r="M126" s="24">
        <v>40031</v>
      </c>
      <c r="N126" s="22" t="s">
        <v>563</v>
      </c>
      <c r="O126" s="3">
        <v>9100150</v>
      </c>
      <c r="P126" s="22">
        <v>1210</v>
      </c>
      <c r="Q126" s="22" t="s">
        <v>1523</v>
      </c>
      <c r="R126" s="55"/>
      <c r="S126" s="91" t="s">
        <v>404</v>
      </c>
      <c r="T126" s="94">
        <v>40326</v>
      </c>
      <c r="U126" s="91" t="s">
        <v>404</v>
      </c>
      <c r="V126" s="94">
        <v>40346</v>
      </c>
      <c r="W126" s="75"/>
      <c r="X126" s="9">
        <v>40252</v>
      </c>
      <c r="Y126" s="9"/>
      <c r="Z126" s="24" t="s">
        <v>393</v>
      </c>
      <c r="AA126" s="16"/>
    </row>
    <row r="127" spans="1:27" ht="14.25" customHeight="1" x14ac:dyDescent="0.4">
      <c r="B127" s="22">
        <v>0</v>
      </c>
      <c r="C127" s="22" t="s">
        <v>2165</v>
      </c>
      <c r="D127" s="22">
        <v>0</v>
      </c>
      <c r="E127" s="24">
        <v>40067</v>
      </c>
      <c r="F127" s="24" t="s">
        <v>393</v>
      </c>
      <c r="G127" s="24">
        <v>40079</v>
      </c>
      <c r="H127" s="23">
        <v>0</v>
      </c>
      <c r="I127" s="23">
        <v>40057</v>
      </c>
      <c r="J127" s="37">
        <v>18</v>
      </c>
      <c r="K127" s="24" t="s">
        <v>412</v>
      </c>
      <c r="L127" s="24">
        <v>0</v>
      </c>
      <c r="M127" s="24">
        <v>40031</v>
      </c>
      <c r="N127" s="22" t="s">
        <v>563</v>
      </c>
      <c r="O127" s="3">
        <v>9100151</v>
      </c>
      <c r="P127" s="22">
        <v>1210</v>
      </c>
      <c r="Q127" s="22">
        <v>0</v>
      </c>
      <c r="R127" s="55"/>
      <c r="S127" s="91" t="s">
        <v>404</v>
      </c>
      <c r="T127" s="94">
        <v>40319</v>
      </c>
      <c r="U127" s="91" t="s">
        <v>404</v>
      </c>
      <c r="V127" s="92">
        <v>40326</v>
      </c>
      <c r="W127" s="75"/>
      <c r="X127" s="9">
        <v>40252</v>
      </c>
      <c r="Y127" s="9"/>
      <c r="Z127" s="24" t="s">
        <v>393</v>
      </c>
      <c r="AA127" s="16"/>
    </row>
    <row r="128" spans="1:27" ht="14.25" customHeight="1" x14ac:dyDescent="0.4">
      <c r="B128" s="22">
        <v>0</v>
      </c>
      <c r="C128" s="22">
        <v>0</v>
      </c>
      <c r="D128" s="22">
        <v>0</v>
      </c>
      <c r="E128" s="24">
        <v>40070</v>
      </c>
      <c r="F128" s="24" t="s">
        <v>393</v>
      </c>
      <c r="G128" s="24">
        <v>40081</v>
      </c>
      <c r="H128" s="23">
        <v>0</v>
      </c>
      <c r="I128" s="23">
        <v>40057</v>
      </c>
      <c r="J128" s="37">
        <v>19</v>
      </c>
      <c r="K128" s="24" t="s">
        <v>412</v>
      </c>
      <c r="L128" s="24">
        <v>0</v>
      </c>
      <c r="M128" s="24">
        <v>40031</v>
      </c>
      <c r="N128" s="22" t="s">
        <v>563</v>
      </c>
      <c r="O128" s="3">
        <v>9100152</v>
      </c>
      <c r="P128" s="22">
        <v>1010</v>
      </c>
      <c r="Q128" s="22">
        <v>0</v>
      </c>
      <c r="R128" s="55" t="s">
        <v>1342</v>
      </c>
      <c r="S128" s="91" t="s">
        <v>404</v>
      </c>
      <c r="T128" s="94">
        <v>40440</v>
      </c>
      <c r="U128" s="91" t="s">
        <v>404</v>
      </c>
      <c r="V128" s="92">
        <v>40442</v>
      </c>
      <c r="W128" s="75"/>
      <c r="X128" s="9">
        <v>40154</v>
      </c>
      <c r="Y128" s="9"/>
      <c r="Z128" s="24" t="s">
        <v>393</v>
      </c>
      <c r="AA128" s="16"/>
    </row>
    <row r="129" spans="1:27" ht="14.25" customHeight="1" x14ac:dyDescent="0.4">
      <c r="B129" s="22">
        <v>0</v>
      </c>
      <c r="C129" s="22" t="s">
        <v>2165</v>
      </c>
      <c r="D129" s="22">
        <v>0</v>
      </c>
      <c r="E129" s="24">
        <v>40070</v>
      </c>
      <c r="F129" s="24" t="s">
        <v>393</v>
      </c>
      <c r="G129" s="24">
        <v>40086</v>
      </c>
      <c r="H129" s="23">
        <v>0</v>
      </c>
      <c r="I129" s="23">
        <v>40057</v>
      </c>
      <c r="J129" s="37">
        <v>20</v>
      </c>
      <c r="K129" s="24" t="s">
        <v>412</v>
      </c>
      <c r="L129" s="24">
        <v>0</v>
      </c>
      <c r="M129" s="24">
        <v>40031</v>
      </c>
      <c r="N129" s="22" t="s">
        <v>563</v>
      </c>
      <c r="O129" s="3">
        <v>9100153</v>
      </c>
      <c r="P129" s="22">
        <v>1010</v>
      </c>
      <c r="Q129" s="22">
        <v>0</v>
      </c>
      <c r="R129" s="55"/>
      <c r="S129" s="91" t="s">
        <v>404</v>
      </c>
      <c r="T129" s="94">
        <v>40346</v>
      </c>
      <c r="U129" s="91" t="s">
        <v>404</v>
      </c>
      <c r="V129" s="94">
        <v>40346</v>
      </c>
      <c r="W129" s="74">
        <v>0</v>
      </c>
      <c r="X129" s="9">
        <v>40154</v>
      </c>
      <c r="Y129" s="9"/>
      <c r="Z129" s="24" t="s">
        <v>393</v>
      </c>
      <c r="AA129" s="16"/>
    </row>
    <row r="130" spans="1:27" ht="14.25" customHeight="1" x14ac:dyDescent="0.4">
      <c r="B130" s="22">
        <v>0</v>
      </c>
      <c r="C130" s="22">
        <v>0</v>
      </c>
      <c r="D130" s="22">
        <v>0</v>
      </c>
      <c r="E130" s="24">
        <v>40155</v>
      </c>
      <c r="F130" s="24" t="s">
        <v>393</v>
      </c>
      <c r="G130" s="24">
        <v>40175</v>
      </c>
      <c r="H130" s="23">
        <v>0</v>
      </c>
      <c r="I130" s="23">
        <v>40148</v>
      </c>
      <c r="J130" s="37">
        <v>7</v>
      </c>
      <c r="K130" s="24" t="s">
        <v>412</v>
      </c>
      <c r="L130" s="24" t="s">
        <v>1724</v>
      </c>
      <c r="M130" s="24">
        <v>40147</v>
      </c>
      <c r="N130" s="22" t="s">
        <v>563</v>
      </c>
      <c r="O130" s="4">
        <v>9100264</v>
      </c>
      <c r="P130" s="22">
        <v>1010</v>
      </c>
      <c r="Q130" s="22">
        <v>0</v>
      </c>
      <c r="R130" s="55"/>
      <c r="S130" s="91" t="s">
        <v>404</v>
      </c>
      <c r="T130" s="94">
        <v>40346</v>
      </c>
      <c r="U130" s="91" t="s">
        <v>404</v>
      </c>
      <c r="V130" s="94">
        <v>40346</v>
      </c>
      <c r="W130" s="74">
        <v>0</v>
      </c>
      <c r="X130" s="28">
        <v>40252</v>
      </c>
      <c r="Y130" s="28"/>
      <c r="Z130" s="24" t="s">
        <v>393</v>
      </c>
      <c r="AA130" s="16"/>
    </row>
    <row r="131" spans="1:27" ht="14.25" customHeight="1" x14ac:dyDescent="0.4">
      <c r="B131" s="22">
        <v>0</v>
      </c>
      <c r="C131" s="22">
        <v>0</v>
      </c>
      <c r="D131" s="22">
        <v>0</v>
      </c>
      <c r="E131" s="24">
        <v>40346</v>
      </c>
      <c r="F131" s="24" t="s">
        <v>393</v>
      </c>
      <c r="G131" s="24">
        <v>40359</v>
      </c>
      <c r="H131" s="23">
        <v>0</v>
      </c>
      <c r="I131" s="23">
        <v>40330</v>
      </c>
      <c r="J131" s="37">
        <v>12</v>
      </c>
      <c r="K131" s="24" t="s">
        <v>412</v>
      </c>
      <c r="L131" s="24">
        <v>0</v>
      </c>
      <c r="M131" s="24">
        <v>40332</v>
      </c>
      <c r="N131" s="22" t="s">
        <v>563</v>
      </c>
      <c r="O131" s="4">
        <v>9101013</v>
      </c>
      <c r="P131" s="22">
        <v>1210</v>
      </c>
      <c r="Q131" s="22" t="s">
        <v>1744</v>
      </c>
      <c r="R131" s="55"/>
      <c r="S131" s="91" t="s">
        <v>404</v>
      </c>
      <c r="T131" s="94">
        <v>40332</v>
      </c>
      <c r="U131" s="91" t="s">
        <v>404</v>
      </c>
      <c r="V131" s="92">
        <v>40442</v>
      </c>
      <c r="W131" s="74">
        <v>0</v>
      </c>
      <c r="X131" s="9">
        <v>40365</v>
      </c>
      <c r="Y131" s="9"/>
      <c r="Z131" s="24" t="s">
        <v>393</v>
      </c>
      <c r="AA131" s="16"/>
    </row>
    <row r="132" spans="1:27" ht="14.25" customHeight="1" x14ac:dyDescent="0.4">
      <c r="A132" s="5"/>
      <c r="B132" s="22">
        <v>0</v>
      </c>
      <c r="C132" s="22" t="s">
        <v>2165</v>
      </c>
      <c r="D132" s="22">
        <v>0</v>
      </c>
      <c r="E132" s="24">
        <v>0</v>
      </c>
      <c r="F132" s="24" t="s">
        <v>393</v>
      </c>
      <c r="G132" s="24">
        <v>40396</v>
      </c>
      <c r="H132" s="23">
        <v>0</v>
      </c>
      <c r="I132" s="23">
        <v>40391</v>
      </c>
      <c r="J132" s="37">
        <v>3</v>
      </c>
      <c r="K132" s="24" t="s">
        <v>412</v>
      </c>
      <c r="L132" s="24" t="s">
        <v>1724</v>
      </c>
      <c r="M132" s="24">
        <v>40373</v>
      </c>
      <c r="N132" s="22" t="s">
        <v>563</v>
      </c>
      <c r="O132" s="4">
        <v>9101035</v>
      </c>
      <c r="P132" s="22">
        <v>1010</v>
      </c>
      <c r="Q132" s="22" t="s">
        <v>57</v>
      </c>
      <c r="R132" s="55"/>
      <c r="S132" s="91" t="s">
        <v>404</v>
      </c>
      <c r="T132" s="94">
        <v>40377</v>
      </c>
      <c r="U132" s="91" t="s">
        <v>404</v>
      </c>
      <c r="V132" s="92">
        <v>40475</v>
      </c>
      <c r="W132" s="74">
        <v>0</v>
      </c>
      <c r="X132" s="9"/>
      <c r="Y132" s="9"/>
      <c r="Z132" s="24" t="s">
        <v>393</v>
      </c>
      <c r="AA132" s="16"/>
    </row>
    <row r="133" spans="1:27" ht="14.25" customHeight="1" x14ac:dyDescent="0.4">
      <c r="B133" s="22">
        <v>0</v>
      </c>
      <c r="C133" s="22">
        <v>0</v>
      </c>
      <c r="D133" s="22">
        <v>0</v>
      </c>
      <c r="E133" s="24">
        <v>40060</v>
      </c>
      <c r="F133" s="24" t="s">
        <v>393</v>
      </c>
      <c r="G133" s="24">
        <v>40070</v>
      </c>
      <c r="H133" s="23">
        <v>0</v>
      </c>
      <c r="I133" s="23">
        <v>40057</v>
      </c>
      <c r="J133" s="37">
        <v>11</v>
      </c>
      <c r="K133" s="24" t="s">
        <v>412</v>
      </c>
      <c r="L133" s="24">
        <v>0</v>
      </c>
      <c r="M133" s="24">
        <v>40044</v>
      </c>
      <c r="N133" s="22" t="s">
        <v>674</v>
      </c>
      <c r="O133" s="3">
        <v>9100241</v>
      </c>
      <c r="P133" s="22">
        <v>715</v>
      </c>
      <c r="Q133" s="22" t="s">
        <v>1345</v>
      </c>
      <c r="R133" s="55"/>
      <c r="S133" s="91" t="s">
        <v>404</v>
      </c>
      <c r="T133" s="94">
        <v>40146</v>
      </c>
      <c r="U133" s="91" t="s">
        <v>404</v>
      </c>
      <c r="V133" s="92">
        <v>40263</v>
      </c>
      <c r="W133" s="74">
        <v>0</v>
      </c>
      <c r="X133" s="9">
        <v>40136</v>
      </c>
      <c r="Y133" s="9"/>
      <c r="Z133" s="24" t="s">
        <v>393</v>
      </c>
      <c r="AA133" s="16"/>
    </row>
    <row r="134" spans="1:27" ht="14.25" customHeight="1" x14ac:dyDescent="0.4">
      <c r="B134" s="22">
        <v>0</v>
      </c>
      <c r="C134" s="22">
        <v>0</v>
      </c>
      <c r="D134" s="22">
        <v>0</v>
      </c>
      <c r="E134" s="24">
        <v>40064</v>
      </c>
      <c r="F134" s="24" t="s">
        <v>393</v>
      </c>
      <c r="G134" s="24">
        <v>40071</v>
      </c>
      <c r="H134" s="23">
        <v>0</v>
      </c>
      <c r="I134" s="23">
        <v>40057</v>
      </c>
      <c r="J134" s="37">
        <v>12</v>
      </c>
      <c r="K134" s="24" t="s">
        <v>412</v>
      </c>
      <c r="L134" s="24">
        <v>0</v>
      </c>
      <c r="M134" s="24">
        <v>40044</v>
      </c>
      <c r="N134" s="22" t="s">
        <v>674</v>
      </c>
      <c r="O134" s="69">
        <v>9100242</v>
      </c>
      <c r="P134" s="22">
        <v>1010</v>
      </c>
      <c r="Q134" s="22" t="s">
        <v>1346</v>
      </c>
      <c r="R134" s="76"/>
      <c r="S134" s="91" t="s">
        <v>404</v>
      </c>
      <c r="T134" s="92">
        <v>40502</v>
      </c>
      <c r="U134" s="91" t="s">
        <v>404</v>
      </c>
      <c r="V134" s="92">
        <v>40502</v>
      </c>
      <c r="W134" s="74">
        <v>0</v>
      </c>
      <c r="X134" s="9">
        <v>40136</v>
      </c>
      <c r="Y134" s="9"/>
      <c r="Z134" s="24" t="s">
        <v>393</v>
      </c>
      <c r="AA134" s="16"/>
    </row>
    <row r="135" spans="1:27" ht="14.25" customHeight="1" x14ac:dyDescent="0.4">
      <c r="B135" s="22">
        <v>0</v>
      </c>
      <c r="C135" s="22" t="s">
        <v>2165</v>
      </c>
      <c r="D135" s="22">
        <v>0</v>
      </c>
      <c r="E135" s="24">
        <v>40098</v>
      </c>
      <c r="F135" s="24" t="s">
        <v>393</v>
      </c>
      <c r="G135" s="24">
        <v>40102</v>
      </c>
      <c r="H135" s="23">
        <v>0</v>
      </c>
      <c r="I135" s="23">
        <v>40087</v>
      </c>
      <c r="J135" s="37">
        <v>17</v>
      </c>
      <c r="K135" s="24" t="s">
        <v>412</v>
      </c>
      <c r="L135" s="24" t="s">
        <v>1997</v>
      </c>
      <c r="M135" s="24">
        <v>40042</v>
      </c>
      <c r="N135" s="22" t="s">
        <v>674</v>
      </c>
      <c r="O135" s="4">
        <v>9100207</v>
      </c>
      <c r="P135" s="22">
        <v>1010</v>
      </c>
      <c r="Q135" s="22" t="s">
        <v>1524</v>
      </c>
      <c r="R135" s="131"/>
      <c r="S135" s="91" t="s">
        <v>404</v>
      </c>
      <c r="T135" s="92">
        <v>40647</v>
      </c>
      <c r="U135" s="91" t="s">
        <v>404</v>
      </c>
      <c r="V135" s="92">
        <v>40647</v>
      </c>
      <c r="W135" s="74">
        <v>0</v>
      </c>
      <c r="X135" s="28">
        <v>40120</v>
      </c>
      <c r="Y135" s="28"/>
      <c r="Z135" s="24" t="s">
        <v>393</v>
      </c>
      <c r="AA135" s="16"/>
    </row>
    <row r="136" spans="1:27" ht="14.25" customHeight="1" x14ac:dyDescent="0.4">
      <c r="B136" s="22">
        <v>0</v>
      </c>
      <c r="C136" s="22">
        <v>0</v>
      </c>
      <c r="D136" s="22">
        <v>0</v>
      </c>
      <c r="E136" s="24">
        <v>40098</v>
      </c>
      <c r="F136" s="24" t="s">
        <v>393</v>
      </c>
      <c r="G136" s="24">
        <v>40101</v>
      </c>
      <c r="H136" s="23">
        <v>0</v>
      </c>
      <c r="I136" s="23">
        <v>40087</v>
      </c>
      <c r="J136" s="37">
        <v>18</v>
      </c>
      <c r="K136" s="24" t="s">
        <v>412</v>
      </c>
      <c r="L136" s="24" t="s">
        <v>1997</v>
      </c>
      <c r="M136" s="24">
        <v>40042</v>
      </c>
      <c r="N136" s="22" t="s">
        <v>674</v>
      </c>
      <c r="O136" s="4">
        <v>9100208</v>
      </c>
      <c r="P136" s="22">
        <v>1010</v>
      </c>
      <c r="Q136" s="22" t="s">
        <v>1525</v>
      </c>
      <c r="R136" s="55"/>
      <c r="S136" s="91" t="s">
        <v>404</v>
      </c>
      <c r="T136" s="92">
        <v>40177</v>
      </c>
      <c r="U136" s="91" t="s">
        <v>404</v>
      </c>
      <c r="V136" s="92">
        <v>40326</v>
      </c>
      <c r="W136" s="74">
        <v>0</v>
      </c>
      <c r="X136" s="28">
        <v>40120</v>
      </c>
      <c r="Y136" s="28"/>
      <c r="Z136" s="24" t="s">
        <v>393</v>
      </c>
      <c r="AA136" s="16"/>
    </row>
    <row r="137" spans="1:27" ht="14.25" customHeight="1" x14ac:dyDescent="0.4">
      <c r="B137" s="22">
        <v>0</v>
      </c>
      <c r="C137" s="22">
        <v>0</v>
      </c>
      <c r="D137" s="22">
        <v>0</v>
      </c>
      <c r="E137" s="24">
        <v>40100</v>
      </c>
      <c r="F137" s="24" t="s">
        <v>393</v>
      </c>
      <c r="G137" s="24">
        <v>40102</v>
      </c>
      <c r="H137" s="23">
        <v>0</v>
      </c>
      <c r="I137" s="23">
        <v>40087</v>
      </c>
      <c r="J137" s="37">
        <v>21</v>
      </c>
      <c r="K137" s="24" t="s">
        <v>412</v>
      </c>
      <c r="L137" s="24" t="s">
        <v>1997</v>
      </c>
      <c r="M137" s="24">
        <v>40042</v>
      </c>
      <c r="N137" s="22" t="s">
        <v>674</v>
      </c>
      <c r="O137" s="4">
        <v>9100209</v>
      </c>
      <c r="P137" s="22">
        <v>1010</v>
      </c>
      <c r="Q137" s="22" t="s">
        <v>1526</v>
      </c>
      <c r="R137" s="55"/>
      <c r="S137" s="91" t="s">
        <v>404</v>
      </c>
      <c r="T137" s="92">
        <v>40612</v>
      </c>
      <c r="U137" s="91" t="s">
        <v>404</v>
      </c>
      <c r="V137" s="92">
        <v>40647</v>
      </c>
      <c r="W137" s="74">
        <v>0</v>
      </c>
      <c r="X137" s="28">
        <v>40120</v>
      </c>
      <c r="Y137" s="28"/>
      <c r="Z137" s="24" t="s">
        <v>393</v>
      </c>
      <c r="AA137" s="16"/>
    </row>
    <row r="138" spans="1:27" ht="14.25" customHeight="1" x14ac:dyDescent="0.4">
      <c r="B138" s="22">
        <v>0</v>
      </c>
      <c r="C138" s="22">
        <v>0</v>
      </c>
      <c r="D138" s="22">
        <v>0</v>
      </c>
      <c r="E138" s="24">
        <v>40116</v>
      </c>
      <c r="F138" s="24" t="s">
        <v>393</v>
      </c>
      <c r="G138" s="24">
        <v>40123</v>
      </c>
      <c r="H138" s="23">
        <v>0</v>
      </c>
      <c r="I138" s="23">
        <v>40118</v>
      </c>
      <c r="J138" s="37">
        <v>2</v>
      </c>
      <c r="K138" s="24" t="s">
        <v>412</v>
      </c>
      <c r="L138" s="24">
        <v>0</v>
      </c>
      <c r="M138" s="24">
        <v>40042</v>
      </c>
      <c r="N138" s="22" t="s">
        <v>674</v>
      </c>
      <c r="O138" s="4">
        <v>9100210</v>
      </c>
      <c r="P138" s="22">
        <v>1010</v>
      </c>
      <c r="Q138" s="22" t="s">
        <v>1527</v>
      </c>
      <c r="R138" s="55"/>
      <c r="S138" s="91" t="s">
        <v>404</v>
      </c>
      <c r="T138" s="92">
        <v>40098</v>
      </c>
      <c r="U138" s="91" t="s">
        <v>404</v>
      </c>
      <c r="V138" s="92">
        <v>40245</v>
      </c>
      <c r="W138" s="74">
        <v>0</v>
      </c>
      <c r="X138" s="28">
        <v>40120</v>
      </c>
      <c r="Y138" s="28"/>
      <c r="Z138" s="24" t="s">
        <v>393</v>
      </c>
      <c r="AA138" s="16"/>
    </row>
    <row r="139" spans="1:27" ht="14.25" customHeight="1" x14ac:dyDescent="0.4">
      <c r="B139" s="22">
        <v>0</v>
      </c>
      <c r="C139" s="22">
        <v>0</v>
      </c>
      <c r="D139" s="22">
        <v>0</v>
      </c>
      <c r="E139" s="24">
        <v>40116</v>
      </c>
      <c r="F139" s="24" t="s">
        <v>393</v>
      </c>
      <c r="G139" s="24">
        <v>40122</v>
      </c>
      <c r="H139" s="23">
        <v>0</v>
      </c>
      <c r="I139" s="23">
        <v>40118</v>
      </c>
      <c r="J139" s="37">
        <v>3</v>
      </c>
      <c r="K139" s="24" t="s">
        <v>412</v>
      </c>
      <c r="L139" s="24">
        <v>0</v>
      </c>
      <c r="M139" s="24">
        <v>40042</v>
      </c>
      <c r="N139" s="22" t="s">
        <v>674</v>
      </c>
      <c r="O139" s="4">
        <v>9100211</v>
      </c>
      <c r="P139" s="22">
        <v>1010</v>
      </c>
      <c r="Q139" s="22" t="s">
        <v>1528</v>
      </c>
      <c r="R139" s="55"/>
      <c r="S139" s="91" t="s">
        <v>404</v>
      </c>
      <c r="T139" s="92">
        <v>40098</v>
      </c>
      <c r="U139" s="91" t="s">
        <v>404</v>
      </c>
      <c r="V139" s="92">
        <v>40245</v>
      </c>
      <c r="W139" s="74">
        <v>0</v>
      </c>
      <c r="X139" s="28">
        <v>40120</v>
      </c>
      <c r="Y139" s="28"/>
      <c r="Z139" s="24" t="s">
        <v>393</v>
      </c>
      <c r="AA139" s="16"/>
    </row>
    <row r="140" spans="1:27" ht="14.25" customHeight="1" x14ac:dyDescent="0.4">
      <c r="B140" s="22">
        <v>0</v>
      </c>
      <c r="C140" s="22">
        <v>0</v>
      </c>
      <c r="D140" s="22">
        <v>0</v>
      </c>
      <c r="E140" s="24">
        <v>40238</v>
      </c>
      <c r="F140" s="24" t="s">
        <v>393</v>
      </c>
      <c r="G140" s="24">
        <v>40242</v>
      </c>
      <c r="H140" s="23">
        <v>0</v>
      </c>
      <c r="I140" s="23">
        <v>40210</v>
      </c>
      <c r="J140" s="37">
        <v>26</v>
      </c>
      <c r="K140" s="24" t="s">
        <v>412</v>
      </c>
      <c r="L140" s="24" t="s">
        <v>2001</v>
      </c>
      <c r="M140" s="24">
        <v>40042</v>
      </c>
      <c r="N140" s="22" t="s">
        <v>674</v>
      </c>
      <c r="O140" s="4">
        <v>9100212</v>
      </c>
      <c r="P140" s="22">
        <v>1010</v>
      </c>
      <c r="Q140" s="22" t="s">
        <v>1529</v>
      </c>
      <c r="R140" s="55"/>
      <c r="S140" s="91" t="s">
        <v>404</v>
      </c>
      <c r="T140" s="92">
        <v>40403</v>
      </c>
      <c r="U140" s="91" t="s">
        <v>404</v>
      </c>
      <c r="V140" s="92">
        <v>40403</v>
      </c>
      <c r="W140" s="74">
        <v>0</v>
      </c>
      <c r="X140" s="28">
        <v>40246</v>
      </c>
      <c r="Y140" s="28"/>
      <c r="Z140" s="24" t="s">
        <v>393</v>
      </c>
      <c r="AA140" s="16"/>
    </row>
    <row r="141" spans="1:27" ht="14.25" customHeight="1" x14ac:dyDescent="0.4">
      <c r="A141" s="4"/>
      <c r="B141" s="22">
        <v>0</v>
      </c>
      <c r="C141" s="22">
        <v>0</v>
      </c>
      <c r="D141" s="22">
        <v>0</v>
      </c>
      <c r="E141" s="24">
        <v>40273</v>
      </c>
      <c r="F141" s="24" t="s">
        <v>393</v>
      </c>
      <c r="G141" s="24">
        <v>40281</v>
      </c>
      <c r="H141" s="23">
        <v>0</v>
      </c>
      <c r="I141" s="23">
        <v>40269</v>
      </c>
      <c r="J141" s="37">
        <v>3</v>
      </c>
      <c r="K141" s="24" t="s">
        <v>412</v>
      </c>
      <c r="L141" s="24" t="s">
        <v>2002</v>
      </c>
      <c r="M141" s="24">
        <v>40042</v>
      </c>
      <c r="N141" s="22" t="s">
        <v>674</v>
      </c>
      <c r="O141" s="4">
        <v>9100213</v>
      </c>
      <c r="P141" s="22">
        <v>1010</v>
      </c>
      <c r="Q141" s="22" t="s">
        <v>1530</v>
      </c>
      <c r="R141" s="55"/>
      <c r="S141" s="91" t="s">
        <v>404</v>
      </c>
      <c r="T141" s="92">
        <v>40383</v>
      </c>
      <c r="U141" s="91" t="s">
        <v>404</v>
      </c>
      <c r="V141" s="92">
        <v>40383</v>
      </c>
      <c r="W141" s="74">
        <v>0</v>
      </c>
      <c r="X141" s="28">
        <v>40246</v>
      </c>
      <c r="Y141" s="28"/>
      <c r="Z141" s="24" t="s">
        <v>393</v>
      </c>
      <c r="AA141" s="16"/>
    </row>
    <row r="142" spans="1:27" ht="14.25" customHeight="1" x14ac:dyDescent="0.4">
      <c r="B142" s="22">
        <v>0</v>
      </c>
      <c r="C142" s="22">
        <v>0</v>
      </c>
      <c r="D142" s="22">
        <v>0</v>
      </c>
      <c r="E142" s="24">
        <v>40234</v>
      </c>
      <c r="F142" s="24" t="s">
        <v>393</v>
      </c>
      <c r="G142" s="24">
        <v>40235</v>
      </c>
      <c r="H142" s="23">
        <v>0</v>
      </c>
      <c r="I142" s="23">
        <v>40210</v>
      </c>
      <c r="J142" s="37">
        <v>23</v>
      </c>
      <c r="K142" s="24" t="s">
        <v>412</v>
      </c>
      <c r="L142" s="24" t="s">
        <v>2002</v>
      </c>
      <c r="M142" s="24">
        <v>40042</v>
      </c>
      <c r="N142" s="22" t="s">
        <v>674</v>
      </c>
      <c r="O142" s="4">
        <v>9100214</v>
      </c>
      <c r="P142" s="22">
        <v>1010</v>
      </c>
      <c r="Q142" s="22" t="s">
        <v>1531</v>
      </c>
      <c r="R142" s="55"/>
      <c r="S142" s="91" t="s">
        <v>404</v>
      </c>
      <c r="T142" s="92">
        <v>40207</v>
      </c>
      <c r="U142" s="91" t="s">
        <v>404</v>
      </c>
      <c r="V142" s="92">
        <v>40326</v>
      </c>
      <c r="W142" s="74">
        <v>0</v>
      </c>
      <c r="X142" s="28">
        <v>40246</v>
      </c>
      <c r="Y142" s="28"/>
      <c r="Z142" s="24" t="s">
        <v>393</v>
      </c>
      <c r="AA142" s="16"/>
    </row>
    <row r="143" spans="1:27" ht="14.25" customHeight="1" x14ac:dyDescent="0.4">
      <c r="B143" s="22">
        <v>0</v>
      </c>
      <c r="C143" s="22">
        <v>0</v>
      </c>
      <c r="D143" s="22">
        <v>0</v>
      </c>
      <c r="E143" s="24">
        <v>40274</v>
      </c>
      <c r="F143" s="24" t="s">
        <v>393</v>
      </c>
      <c r="G143" s="24">
        <v>40284</v>
      </c>
      <c r="H143" s="23">
        <v>0</v>
      </c>
      <c r="I143" s="23">
        <v>40269</v>
      </c>
      <c r="J143" s="37">
        <v>5</v>
      </c>
      <c r="K143" s="24" t="s">
        <v>412</v>
      </c>
      <c r="L143" s="24" t="s">
        <v>2002</v>
      </c>
      <c r="M143" s="24">
        <v>40042</v>
      </c>
      <c r="N143" s="22" t="s">
        <v>674</v>
      </c>
      <c r="O143" s="4">
        <v>9100215</v>
      </c>
      <c r="P143" s="22">
        <v>1010</v>
      </c>
      <c r="Q143" s="22" t="s">
        <v>1532</v>
      </c>
      <c r="R143" s="55"/>
      <c r="S143" s="91" t="s">
        <v>404</v>
      </c>
      <c r="T143" s="92">
        <v>40403</v>
      </c>
      <c r="U143" s="91" t="s">
        <v>404</v>
      </c>
      <c r="V143" s="92">
        <v>40403</v>
      </c>
      <c r="W143" s="74">
        <v>0</v>
      </c>
      <c r="X143" s="9">
        <v>40246</v>
      </c>
      <c r="Y143" s="9"/>
      <c r="Z143" s="24" t="s">
        <v>393</v>
      </c>
      <c r="AA143" s="16"/>
    </row>
    <row r="144" spans="1:27" ht="14.25" customHeight="1" x14ac:dyDescent="0.4">
      <c r="B144" s="22">
        <v>0</v>
      </c>
      <c r="C144" s="22" t="s">
        <v>2165</v>
      </c>
      <c r="D144" s="22">
        <v>0</v>
      </c>
      <c r="E144" s="24">
        <v>40239</v>
      </c>
      <c r="F144" s="24" t="s">
        <v>393</v>
      </c>
      <c r="G144" s="24">
        <v>40242</v>
      </c>
      <c r="H144" s="23">
        <v>0</v>
      </c>
      <c r="I144" s="23">
        <v>40210</v>
      </c>
      <c r="J144" s="37">
        <v>27</v>
      </c>
      <c r="K144" s="24" t="s">
        <v>412</v>
      </c>
      <c r="L144" s="24" t="s">
        <v>2001</v>
      </c>
      <c r="M144" s="24">
        <v>40042</v>
      </c>
      <c r="N144" s="22" t="s">
        <v>674</v>
      </c>
      <c r="O144" s="4">
        <v>9100216</v>
      </c>
      <c r="P144" s="22">
        <v>1010</v>
      </c>
      <c r="Q144" s="22" t="s">
        <v>1533</v>
      </c>
      <c r="R144" s="55"/>
      <c r="S144" s="91" t="s">
        <v>404</v>
      </c>
      <c r="T144" s="92">
        <v>40462</v>
      </c>
      <c r="U144" s="91" t="s">
        <v>404</v>
      </c>
      <c r="V144" s="92">
        <v>40462</v>
      </c>
      <c r="W144" s="74">
        <v>0</v>
      </c>
      <c r="X144" s="9">
        <v>40246</v>
      </c>
      <c r="Y144" s="28"/>
      <c r="Z144" s="24" t="s">
        <v>393</v>
      </c>
      <c r="AA144" s="16"/>
    </row>
    <row r="145" spans="1:27" ht="14.25" customHeight="1" x14ac:dyDescent="0.4">
      <c r="B145" s="22">
        <v>0</v>
      </c>
      <c r="C145" s="22" t="s">
        <v>2165</v>
      </c>
      <c r="D145" s="22">
        <v>0</v>
      </c>
      <c r="E145" s="24">
        <v>40234</v>
      </c>
      <c r="F145" s="24" t="s">
        <v>393</v>
      </c>
      <c r="G145" s="24">
        <v>40246</v>
      </c>
      <c r="H145" s="23">
        <v>0</v>
      </c>
      <c r="I145" s="23">
        <v>40210</v>
      </c>
      <c r="J145" s="37">
        <v>24</v>
      </c>
      <c r="K145" s="24" t="s">
        <v>412</v>
      </c>
      <c r="L145" s="24" t="s">
        <v>2001</v>
      </c>
      <c r="M145" s="24">
        <v>40042</v>
      </c>
      <c r="N145" s="22" t="s">
        <v>674</v>
      </c>
      <c r="O145" s="4">
        <v>9100217</v>
      </c>
      <c r="P145" s="22">
        <v>1010</v>
      </c>
      <c r="Q145" s="22" t="s">
        <v>1541</v>
      </c>
      <c r="R145" s="55"/>
      <c r="S145" s="91" t="s">
        <v>404</v>
      </c>
      <c r="T145" s="92">
        <v>40676</v>
      </c>
      <c r="U145" s="91" t="s">
        <v>404</v>
      </c>
      <c r="V145" s="92">
        <v>40676</v>
      </c>
      <c r="W145" s="74">
        <v>0</v>
      </c>
      <c r="X145" s="28">
        <v>40246</v>
      </c>
      <c r="Y145" s="28"/>
      <c r="Z145" s="24" t="s">
        <v>393</v>
      </c>
      <c r="AA145" s="16"/>
    </row>
    <row r="146" spans="1:27" ht="14.25" customHeight="1" x14ac:dyDescent="0.4">
      <c r="B146" s="22">
        <v>0</v>
      </c>
      <c r="C146" s="22" t="s">
        <v>2165</v>
      </c>
      <c r="D146" s="22">
        <v>0</v>
      </c>
      <c r="E146" s="24">
        <v>40238</v>
      </c>
      <c r="F146" s="24" t="s">
        <v>393</v>
      </c>
      <c r="G146" s="24">
        <v>40239</v>
      </c>
      <c r="H146" s="23">
        <v>0</v>
      </c>
      <c r="I146" s="23">
        <v>40210</v>
      </c>
      <c r="J146" s="37">
        <v>25</v>
      </c>
      <c r="K146" s="24" t="s">
        <v>412</v>
      </c>
      <c r="L146" s="24" t="s">
        <v>2001</v>
      </c>
      <c r="M146" s="24">
        <v>40042</v>
      </c>
      <c r="N146" s="22" t="s">
        <v>674</v>
      </c>
      <c r="O146" s="4">
        <v>9100218</v>
      </c>
      <c r="P146" s="22">
        <v>1010</v>
      </c>
      <c r="Q146" s="22" t="s">
        <v>1542</v>
      </c>
      <c r="R146" s="55"/>
      <c r="S146" s="91" t="s">
        <v>404</v>
      </c>
      <c r="T146" s="92">
        <v>40489</v>
      </c>
      <c r="U146" s="91" t="s">
        <v>404</v>
      </c>
      <c r="V146" s="92">
        <v>40489</v>
      </c>
      <c r="W146" s="74">
        <v>0</v>
      </c>
      <c r="X146" s="9">
        <v>40246</v>
      </c>
      <c r="Y146" s="28"/>
      <c r="Z146" s="24" t="s">
        <v>393</v>
      </c>
      <c r="AA146" s="16"/>
    </row>
    <row r="147" spans="1:27" ht="14.25" customHeight="1" x14ac:dyDescent="0.4">
      <c r="B147" s="22">
        <v>0</v>
      </c>
      <c r="C147" s="22" t="s">
        <v>2165</v>
      </c>
      <c r="D147" s="22">
        <v>0</v>
      </c>
      <c r="E147" s="24">
        <v>40273</v>
      </c>
      <c r="F147" s="24" t="s">
        <v>393</v>
      </c>
      <c r="G147" s="24">
        <v>40284</v>
      </c>
      <c r="H147" s="23">
        <v>0</v>
      </c>
      <c r="I147" s="23">
        <v>40269</v>
      </c>
      <c r="J147" s="37">
        <v>4</v>
      </c>
      <c r="K147" s="24" t="s">
        <v>412</v>
      </c>
      <c r="L147" s="24" t="s">
        <v>2002</v>
      </c>
      <c r="M147" s="24">
        <v>40042</v>
      </c>
      <c r="N147" s="22" t="s">
        <v>674</v>
      </c>
      <c r="O147" s="4">
        <v>9100219</v>
      </c>
      <c r="P147" s="22">
        <v>1010</v>
      </c>
      <c r="Q147" s="22" t="s">
        <v>1543</v>
      </c>
      <c r="R147" s="55"/>
      <c r="S147" s="91" t="s">
        <v>404</v>
      </c>
      <c r="T147" s="92">
        <v>40326</v>
      </c>
      <c r="U147" s="91" t="s">
        <v>404</v>
      </c>
      <c r="V147" s="92">
        <v>40346</v>
      </c>
      <c r="W147" s="74">
        <v>0</v>
      </c>
      <c r="X147" s="9">
        <v>40246</v>
      </c>
      <c r="Y147" s="9"/>
      <c r="Z147" s="24" t="s">
        <v>393</v>
      </c>
      <c r="AA147" s="16"/>
    </row>
    <row r="148" spans="1:27" ht="14.25" customHeight="1" x14ac:dyDescent="0.4">
      <c r="A148" s="4"/>
      <c r="B148" s="22">
        <v>0</v>
      </c>
      <c r="C148" s="22" t="s">
        <v>2165</v>
      </c>
      <c r="D148" s="22">
        <v>0</v>
      </c>
      <c r="E148" s="24">
        <v>0</v>
      </c>
      <c r="F148" s="24" t="s">
        <v>393</v>
      </c>
      <c r="G148" s="24">
        <v>40226</v>
      </c>
      <c r="H148" s="23">
        <v>0</v>
      </c>
      <c r="I148" s="23">
        <v>40210</v>
      </c>
      <c r="J148" s="37">
        <v>1</v>
      </c>
      <c r="K148" s="24" t="s">
        <v>412</v>
      </c>
      <c r="L148" s="24" t="s">
        <v>2002</v>
      </c>
      <c r="M148" s="24">
        <v>40042</v>
      </c>
      <c r="N148" s="22" t="s">
        <v>674</v>
      </c>
      <c r="O148" s="4">
        <v>9100220</v>
      </c>
      <c r="P148" s="22">
        <v>1010</v>
      </c>
      <c r="Q148" s="22" t="s">
        <v>1544</v>
      </c>
      <c r="R148" s="55"/>
      <c r="S148" s="91" t="s">
        <v>404</v>
      </c>
      <c r="T148" s="92">
        <v>40207</v>
      </c>
      <c r="U148" s="91" t="s">
        <v>404</v>
      </c>
      <c r="V148" s="92">
        <v>40326</v>
      </c>
      <c r="W148" s="74">
        <v>0</v>
      </c>
      <c r="X148" s="9">
        <v>40246</v>
      </c>
      <c r="Y148" s="28"/>
      <c r="Z148" s="24" t="s">
        <v>393</v>
      </c>
      <c r="AA148" s="16"/>
    </row>
    <row r="149" spans="1:27" ht="14.25" customHeight="1" x14ac:dyDescent="0.4">
      <c r="B149" s="22">
        <v>0</v>
      </c>
      <c r="C149" s="22">
        <v>0</v>
      </c>
      <c r="D149" s="22">
        <v>0</v>
      </c>
      <c r="E149" s="24">
        <v>40100</v>
      </c>
      <c r="F149" s="24" t="s">
        <v>393</v>
      </c>
      <c r="G149" s="24">
        <v>40107</v>
      </c>
      <c r="H149" s="23">
        <v>0</v>
      </c>
      <c r="I149" s="23">
        <v>40087</v>
      </c>
      <c r="J149" s="37">
        <v>22</v>
      </c>
      <c r="K149" s="24" t="s">
        <v>412</v>
      </c>
      <c r="L149" s="24" t="s">
        <v>1997</v>
      </c>
      <c r="M149" s="24">
        <v>40042</v>
      </c>
      <c r="N149" s="22" t="s">
        <v>674</v>
      </c>
      <c r="O149" s="4">
        <v>9100221</v>
      </c>
      <c r="P149" s="22">
        <v>715</v>
      </c>
      <c r="Q149" s="22" t="s">
        <v>1545</v>
      </c>
      <c r="R149" s="55"/>
      <c r="S149" s="91" t="s">
        <v>404</v>
      </c>
      <c r="T149" s="92">
        <v>40211</v>
      </c>
      <c r="U149" s="91" t="s">
        <v>404</v>
      </c>
      <c r="V149" s="92">
        <v>40263</v>
      </c>
      <c r="W149" s="74">
        <v>0</v>
      </c>
      <c r="X149" s="28">
        <v>40120</v>
      </c>
      <c r="Y149" s="28"/>
      <c r="Z149" s="24" t="s">
        <v>393</v>
      </c>
      <c r="AA149" s="16"/>
    </row>
    <row r="150" spans="1:27" ht="14.25" customHeight="1" x14ac:dyDescent="0.4">
      <c r="B150" s="22">
        <v>0</v>
      </c>
      <c r="C150" s="22">
        <v>0</v>
      </c>
      <c r="D150" s="22">
        <v>0</v>
      </c>
      <c r="E150" s="24">
        <v>40101</v>
      </c>
      <c r="F150" s="24" t="s">
        <v>393</v>
      </c>
      <c r="G150" s="24">
        <v>40107</v>
      </c>
      <c r="H150" s="23">
        <v>0</v>
      </c>
      <c r="I150" s="23">
        <v>40087</v>
      </c>
      <c r="J150" s="37">
        <v>23</v>
      </c>
      <c r="K150" s="24" t="s">
        <v>412</v>
      </c>
      <c r="L150" s="24" t="s">
        <v>1997</v>
      </c>
      <c r="M150" s="24">
        <v>40042</v>
      </c>
      <c r="N150" s="22" t="s">
        <v>674</v>
      </c>
      <c r="O150" s="4">
        <v>9100222</v>
      </c>
      <c r="P150" s="22">
        <v>715</v>
      </c>
      <c r="Q150" s="22" t="s">
        <v>1546</v>
      </c>
      <c r="R150" s="76"/>
      <c r="S150" s="91" t="s">
        <v>404</v>
      </c>
      <c r="T150" s="92">
        <v>40187</v>
      </c>
      <c r="U150" s="91" t="s">
        <v>404</v>
      </c>
      <c r="V150" s="92">
        <v>40263</v>
      </c>
      <c r="W150" s="74">
        <v>0</v>
      </c>
      <c r="X150" s="28">
        <v>40120</v>
      </c>
      <c r="Y150" s="9"/>
      <c r="Z150" s="24" t="s">
        <v>393</v>
      </c>
      <c r="AA150" s="16"/>
    </row>
    <row r="151" spans="1:27" ht="14.25" customHeight="1" x14ac:dyDescent="0.4">
      <c r="A151" s="4"/>
      <c r="B151" s="22">
        <v>0</v>
      </c>
      <c r="C151" s="22" t="s">
        <v>2165</v>
      </c>
      <c r="D151" s="22">
        <v>0</v>
      </c>
      <c r="E151" s="24">
        <v>40101</v>
      </c>
      <c r="F151" s="24" t="s">
        <v>393</v>
      </c>
      <c r="G151" s="24">
        <v>40107</v>
      </c>
      <c r="H151" s="23">
        <v>0</v>
      </c>
      <c r="I151" s="23">
        <v>40087</v>
      </c>
      <c r="J151" s="37">
        <v>24</v>
      </c>
      <c r="K151" s="24" t="s">
        <v>412</v>
      </c>
      <c r="L151" s="24" t="s">
        <v>1997</v>
      </c>
      <c r="M151" s="24">
        <v>40042</v>
      </c>
      <c r="N151" s="22" t="s">
        <v>674</v>
      </c>
      <c r="O151" s="4">
        <v>9100223</v>
      </c>
      <c r="P151" s="22">
        <v>715</v>
      </c>
      <c r="Q151" s="22" t="s">
        <v>1547</v>
      </c>
      <c r="R151" s="76"/>
      <c r="S151" s="91" t="s">
        <v>404</v>
      </c>
      <c r="T151" s="92">
        <v>40187</v>
      </c>
      <c r="U151" s="91" t="s">
        <v>404</v>
      </c>
      <c r="V151" s="92">
        <v>40263</v>
      </c>
      <c r="W151" s="74">
        <v>0</v>
      </c>
      <c r="X151" s="28">
        <v>40120</v>
      </c>
      <c r="Y151" s="28"/>
      <c r="Z151" s="24" t="s">
        <v>393</v>
      </c>
      <c r="AA151" s="16"/>
    </row>
    <row r="152" spans="1:27" ht="14.25" customHeight="1" x14ac:dyDescent="0.4">
      <c r="B152" s="22">
        <v>0</v>
      </c>
      <c r="C152" s="22">
        <v>0</v>
      </c>
      <c r="D152" s="22">
        <v>0</v>
      </c>
      <c r="E152" s="24">
        <v>40239</v>
      </c>
      <c r="F152" s="24" t="s">
        <v>393</v>
      </c>
      <c r="G152" s="24">
        <v>0</v>
      </c>
      <c r="H152" s="23">
        <v>0</v>
      </c>
      <c r="I152" s="23">
        <v>40210</v>
      </c>
      <c r="J152" s="37">
        <v>28</v>
      </c>
      <c r="K152" s="24" t="s">
        <v>412</v>
      </c>
      <c r="L152" s="24" t="s">
        <v>2001</v>
      </c>
      <c r="M152" s="24">
        <v>40042</v>
      </c>
      <c r="N152" s="22" t="s">
        <v>674</v>
      </c>
      <c r="O152" s="4">
        <v>9100224</v>
      </c>
      <c r="P152" s="22">
        <v>715</v>
      </c>
      <c r="Q152" s="22" t="s">
        <v>1548</v>
      </c>
      <c r="R152" s="55"/>
      <c r="S152" s="91" t="s">
        <v>404</v>
      </c>
      <c r="T152" s="92">
        <v>40366</v>
      </c>
      <c r="U152" s="91" t="s">
        <v>404</v>
      </c>
      <c r="V152" s="92">
        <v>40377</v>
      </c>
      <c r="W152" s="74">
        <v>0</v>
      </c>
      <c r="X152" s="28">
        <v>40246</v>
      </c>
      <c r="Y152" s="9"/>
      <c r="Z152" s="24" t="s">
        <v>393</v>
      </c>
      <c r="AA152" s="16"/>
    </row>
    <row r="153" spans="1:27" ht="14.25" customHeight="1" x14ac:dyDescent="0.4">
      <c r="A153" s="6"/>
      <c r="B153" s="22">
        <v>0</v>
      </c>
      <c r="C153" s="22" t="s">
        <v>2165</v>
      </c>
      <c r="D153" s="22">
        <v>0</v>
      </c>
      <c r="E153" s="24">
        <v>40240</v>
      </c>
      <c r="F153" s="24" t="s">
        <v>393</v>
      </c>
      <c r="G153" s="24">
        <v>40263</v>
      </c>
      <c r="H153" s="23">
        <v>0</v>
      </c>
      <c r="I153" s="23">
        <v>40210</v>
      </c>
      <c r="J153" s="37">
        <v>29</v>
      </c>
      <c r="K153" s="24" t="s">
        <v>412</v>
      </c>
      <c r="L153" s="24" t="s">
        <v>2001</v>
      </c>
      <c r="M153" s="24">
        <v>40042</v>
      </c>
      <c r="N153" s="22" t="s">
        <v>674</v>
      </c>
      <c r="O153" s="4">
        <v>9100225</v>
      </c>
      <c r="P153" s="22">
        <v>715</v>
      </c>
      <c r="Q153" s="22" t="s">
        <v>1549</v>
      </c>
      <c r="R153" s="55"/>
      <c r="S153" s="91" t="s">
        <v>404</v>
      </c>
      <c r="T153" s="92">
        <v>40340</v>
      </c>
      <c r="U153" s="91" t="s">
        <v>404</v>
      </c>
      <c r="V153" s="92">
        <v>40346</v>
      </c>
      <c r="W153" s="74">
        <v>0</v>
      </c>
      <c r="X153" s="28">
        <v>40246</v>
      </c>
      <c r="Y153" s="28"/>
      <c r="Z153" s="24" t="s">
        <v>393</v>
      </c>
      <c r="AA153" s="16"/>
    </row>
    <row r="154" spans="1:27" ht="14.25" customHeight="1" x14ac:dyDescent="0.4">
      <c r="B154" s="22">
        <v>0</v>
      </c>
      <c r="C154" s="22" t="s">
        <v>2102</v>
      </c>
      <c r="D154" s="22">
        <v>0</v>
      </c>
      <c r="E154" s="24">
        <v>40274</v>
      </c>
      <c r="F154" s="24" t="s">
        <v>393</v>
      </c>
      <c r="G154" s="24">
        <v>40284</v>
      </c>
      <c r="H154" s="23">
        <v>0</v>
      </c>
      <c r="I154" s="23">
        <v>40269</v>
      </c>
      <c r="J154" s="37">
        <v>6</v>
      </c>
      <c r="K154" s="24" t="s">
        <v>412</v>
      </c>
      <c r="L154" s="24" t="s">
        <v>2002</v>
      </c>
      <c r="M154" s="24">
        <v>40042</v>
      </c>
      <c r="N154" s="22" t="s">
        <v>674</v>
      </c>
      <c r="O154" s="4">
        <v>9100226</v>
      </c>
      <c r="P154" s="22">
        <v>715</v>
      </c>
      <c r="Q154" s="22" t="s">
        <v>1550</v>
      </c>
      <c r="R154" s="55"/>
      <c r="S154" s="91" t="s">
        <v>404</v>
      </c>
      <c r="T154" s="92">
        <v>40403</v>
      </c>
      <c r="U154" s="91" t="s">
        <v>404</v>
      </c>
      <c r="V154" s="92">
        <v>40403</v>
      </c>
      <c r="W154" s="74">
        <v>0</v>
      </c>
      <c r="X154" s="28">
        <v>40246</v>
      </c>
      <c r="Y154" s="28"/>
      <c r="Z154" s="24" t="s">
        <v>393</v>
      </c>
      <c r="AA154" s="16"/>
    </row>
    <row r="155" spans="1:27" ht="14.25" customHeight="1" x14ac:dyDescent="0.4">
      <c r="A155" s="4"/>
      <c r="B155" s="22">
        <v>0</v>
      </c>
      <c r="C155" s="22" t="s">
        <v>2165</v>
      </c>
      <c r="D155" s="22">
        <v>0</v>
      </c>
      <c r="E155" s="24">
        <v>40102</v>
      </c>
      <c r="F155" s="24" t="s">
        <v>393</v>
      </c>
      <c r="G155" s="24">
        <v>40107</v>
      </c>
      <c r="H155" s="23">
        <v>0</v>
      </c>
      <c r="I155" s="23">
        <v>40087</v>
      </c>
      <c r="J155" s="37">
        <v>26</v>
      </c>
      <c r="K155" s="24" t="s">
        <v>412</v>
      </c>
      <c r="L155" s="24" t="s">
        <v>1997</v>
      </c>
      <c r="M155" s="24">
        <v>40042</v>
      </c>
      <c r="N155" s="22" t="s">
        <v>674</v>
      </c>
      <c r="O155" s="4">
        <v>9100227</v>
      </c>
      <c r="P155" s="22">
        <v>715</v>
      </c>
      <c r="Q155" s="22" t="s">
        <v>1554</v>
      </c>
      <c r="R155" s="55"/>
      <c r="S155" s="91" t="s">
        <v>404</v>
      </c>
      <c r="T155" s="92">
        <v>40462</v>
      </c>
      <c r="U155" s="91" t="s">
        <v>404</v>
      </c>
      <c r="V155" s="92">
        <v>40462</v>
      </c>
      <c r="W155" s="74">
        <v>0</v>
      </c>
      <c r="X155" s="28">
        <v>40120</v>
      </c>
      <c r="Y155" s="28"/>
      <c r="Z155" s="24" t="s">
        <v>393</v>
      </c>
      <c r="AA155" s="16"/>
    </row>
    <row r="156" spans="1:27" ht="14.25" customHeight="1" x14ac:dyDescent="0.4">
      <c r="A156" s="4"/>
      <c r="B156" s="22">
        <v>0</v>
      </c>
      <c r="C156" s="22" t="s">
        <v>2165</v>
      </c>
      <c r="D156" s="22">
        <v>0</v>
      </c>
      <c r="E156" s="24">
        <v>40105</v>
      </c>
      <c r="F156" s="24" t="s">
        <v>393</v>
      </c>
      <c r="G156" s="24">
        <v>40108</v>
      </c>
      <c r="H156" s="23">
        <v>0</v>
      </c>
      <c r="I156" s="23">
        <v>40087</v>
      </c>
      <c r="J156" s="37">
        <v>27</v>
      </c>
      <c r="K156" s="24" t="s">
        <v>412</v>
      </c>
      <c r="L156" s="24" t="s">
        <v>1997</v>
      </c>
      <c r="M156" s="24">
        <v>40042</v>
      </c>
      <c r="N156" s="22" t="s">
        <v>674</v>
      </c>
      <c r="O156" s="4">
        <v>9100228</v>
      </c>
      <c r="P156" s="22">
        <v>715</v>
      </c>
      <c r="Q156" s="22" t="s">
        <v>1555</v>
      </c>
      <c r="R156" s="55"/>
      <c r="S156" s="91" t="s">
        <v>404</v>
      </c>
      <c r="T156" s="92">
        <v>40447</v>
      </c>
      <c r="U156" s="91" t="s">
        <v>404</v>
      </c>
      <c r="V156" s="92">
        <v>40447</v>
      </c>
      <c r="W156" s="74">
        <v>0</v>
      </c>
      <c r="X156" s="28">
        <v>40120</v>
      </c>
      <c r="Y156" s="28"/>
      <c r="Z156" s="24" t="s">
        <v>393</v>
      </c>
      <c r="AA156" s="16"/>
    </row>
    <row r="157" spans="1:27" ht="14.25" customHeight="1" x14ac:dyDescent="0.4">
      <c r="B157" s="22">
        <v>0</v>
      </c>
      <c r="C157" s="22">
        <v>0</v>
      </c>
      <c r="D157" s="22">
        <v>0</v>
      </c>
      <c r="E157" s="24">
        <v>40105</v>
      </c>
      <c r="F157" s="24" t="s">
        <v>393</v>
      </c>
      <c r="G157" s="24">
        <v>40108</v>
      </c>
      <c r="H157" s="23">
        <v>0</v>
      </c>
      <c r="I157" s="23">
        <v>40087</v>
      </c>
      <c r="J157" s="37">
        <v>28</v>
      </c>
      <c r="K157" s="24" t="s">
        <v>412</v>
      </c>
      <c r="L157" s="24" t="s">
        <v>1997</v>
      </c>
      <c r="M157" s="24">
        <v>40042</v>
      </c>
      <c r="N157" s="22" t="s">
        <v>674</v>
      </c>
      <c r="O157" s="4">
        <v>9100229</v>
      </c>
      <c r="P157" s="22">
        <v>715</v>
      </c>
      <c r="Q157" s="22" t="s">
        <v>1556</v>
      </c>
      <c r="R157" s="55"/>
      <c r="S157" s="91" t="s">
        <v>404</v>
      </c>
      <c r="T157" s="92">
        <v>40475</v>
      </c>
      <c r="U157" s="91" t="s">
        <v>1952</v>
      </c>
      <c r="V157" s="92">
        <v>40475</v>
      </c>
      <c r="W157" s="74">
        <v>0</v>
      </c>
      <c r="X157" s="28">
        <v>40120</v>
      </c>
      <c r="Y157" s="28"/>
      <c r="Z157" s="24" t="s">
        <v>393</v>
      </c>
      <c r="AA157" s="16"/>
    </row>
    <row r="158" spans="1:27" ht="14.25" customHeight="1" x14ac:dyDescent="0.4">
      <c r="B158" s="22">
        <v>0</v>
      </c>
      <c r="C158" s="22" t="s">
        <v>2165</v>
      </c>
      <c r="D158" s="22">
        <v>0</v>
      </c>
      <c r="E158" s="24">
        <v>40233</v>
      </c>
      <c r="F158" s="24" t="s">
        <v>393</v>
      </c>
      <c r="G158" s="24">
        <v>40235</v>
      </c>
      <c r="H158" s="23">
        <v>0</v>
      </c>
      <c r="I158" s="23">
        <v>40210</v>
      </c>
      <c r="J158" s="37">
        <v>21</v>
      </c>
      <c r="K158" s="24" t="s">
        <v>412</v>
      </c>
      <c r="L158" s="24" t="s">
        <v>2001</v>
      </c>
      <c r="M158" s="24">
        <v>40042</v>
      </c>
      <c r="N158" s="22" t="s">
        <v>674</v>
      </c>
      <c r="O158" s="4">
        <v>9100230</v>
      </c>
      <c r="P158" s="22">
        <v>715</v>
      </c>
      <c r="Q158" s="22" t="s">
        <v>1557</v>
      </c>
      <c r="R158" s="55"/>
      <c r="S158" s="91" t="s">
        <v>1952</v>
      </c>
      <c r="T158" s="92">
        <v>40475</v>
      </c>
      <c r="U158" s="91" t="s">
        <v>404</v>
      </c>
      <c r="V158" s="92">
        <v>40475</v>
      </c>
      <c r="W158" s="74">
        <v>0</v>
      </c>
      <c r="X158" s="9">
        <v>40246</v>
      </c>
      <c r="Y158" s="28"/>
      <c r="Z158" s="24" t="s">
        <v>393</v>
      </c>
      <c r="AA158" s="16"/>
    </row>
    <row r="159" spans="1:27" ht="14.25" customHeight="1" x14ac:dyDescent="0.4">
      <c r="A159" s="4"/>
      <c r="B159" s="22">
        <v>0</v>
      </c>
      <c r="C159" s="22" t="s">
        <v>2102</v>
      </c>
      <c r="D159" s="22">
        <v>0</v>
      </c>
      <c r="E159" s="24">
        <v>40233</v>
      </c>
      <c r="F159" s="24" t="s">
        <v>393</v>
      </c>
      <c r="G159" s="24">
        <v>40235</v>
      </c>
      <c r="H159" s="23">
        <v>0</v>
      </c>
      <c r="I159" s="23">
        <v>40210</v>
      </c>
      <c r="J159" s="37">
        <v>22</v>
      </c>
      <c r="K159" s="24" t="s">
        <v>412</v>
      </c>
      <c r="L159" s="24" t="s">
        <v>2001</v>
      </c>
      <c r="M159" s="24">
        <v>40042</v>
      </c>
      <c r="N159" s="22" t="s">
        <v>674</v>
      </c>
      <c r="O159" s="4">
        <v>9100231</v>
      </c>
      <c r="P159" s="22">
        <v>715</v>
      </c>
      <c r="Q159" s="22" t="s">
        <v>1087</v>
      </c>
      <c r="R159" s="55"/>
      <c r="S159" s="91" t="s">
        <v>404</v>
      </c>
      <c r="T159" s="92">
        <v>40211</v>
      </c>
      <c r="U159" s="91" t="s">
        <v>404</v>
      </c>
      <c r="V159" s="92">
        <v>40326</v>
      </c>
      <c r="W159" s="74">
        <v>0</v>
      </c>
      <c r="X159" s="28">
        <v>40246</v>
      </c>
      <c r="Y159" s="28"/>
      <c r="Z159" s="24" t="s">
        <v>393</v>
      </c>
      <c r="AA159" s="16"/>
    </row>
    <row r="160" spans="1:27" ht="14.25" customHeight="1" x14ac:dyDescent="0.4">
      <c r="B160" s="22">
        <v>0</v>
      </c>
      <c r="C160" s="22" t="s">
        <v>2165</v>
      </c>
      <c r="D160" s="22">
        <v>0</v>
      </c>
      <c r="E160" s="24">
        <v>40240</v>
      </c>
      <c r="F160" s="24" t="s">
        <v>393</v>
      </c>
      <c r="G160" s="24">
        <v>40262</v>
      </c>
      <c r="H160" s="23">
        <v>0</v>
      </c>
      <c r="I160" s="23">
        <v>40210</v>
      </c>
      <c r="J160" s="37">
        <v>30</v>
      </c>
      <c r="K160" s="24" t="s">
        <v>412</v>
      </c>
      <c r="L160" s="24" t="s">
        <v>2001</v>
      </c>
      <c r="M160" s="24">
        <v>40042</v>
      </c>
      <c r="N160" s="22" t="s">
        <v>674</v>
      </c>
      <c r="O160" s="4">
        <v>9100232</v>
      </c>
      <c r="P160" s="22">
        <v>715</v>
      </c>
      <c r="Q160" s="22" t="s">
        <v>1558</v>
      </c>
      <c r="R160" s="55"/>
      <c r="S160" s="91" t="s">
        <v>404</v>
      </c>
      <c r="T160" s="92">
        <v>40318</v>
      </c>
      <c r="U160" s="91" t="s">
        <v>404</v>
      </c>
      <c r="V160" s="92">
        <v>40346</v>
      </c>
      <c r="W160" s="74">
        <v>0</v>
      </c>
      <c r="X160" s="28">
        <v>40246</v>
      </c>
      <c r="Y160" s="28"/>
      <c r="Z160" s="24" t="s">
        <v>393</v>
      </c>
      <c r="AA160" s="16"/>
    </row>
    <row r="161" spans="1:27" ht="14.25" customHeight="1" x14ac:dyDescent="0.4">
      <c r="B161" s="22">
        <v>0</v>
      </c>
      <c r="C161" s="22" t="s">
        <v>2165</v>
      </c>
      <c r="D161" s="22">
        <v>0</v>
      </c>
      <c r="E161" s="24">
        <v>40241</v>
      </c>
      <c r="F161" s="24" t="s">
        <v>393</v>
      </c>
      <c r="G161" s="24">
        <v>40248</v>
      </c>
      <c r="H161" s="23">
        <v>0</v>
      </c>
      <c r="I161" s="23">
        <v>40210</v>
      </c>
      <c r="J161" s="37">
        <v>31</v>
      </c>
      <c r="K161" s="24" t="s">
        <v>412</v>
      </c>
      <c r="L161" s="24" t="s">
        <v>2001</v>
      </c>
      <c r="M161" s="24">
        <v>40042</v>
      </c>
      <c r="N161" s="22" t="s">
        <v>674</v>
      </c>
      <c r="O161" s="4">
        <v>9100233</v>
      </c>
      <c r="P161" s="22">
        <v>715</v>
      </c>
      <c r="Q161" s="22" t="s">
        <v>1559</v>
      </c>
      <c r="R161" s="55"/>
      <c r="S161" s="91" t="s">
        <v>404</v>
      </c>
      <c r="T161" s="92">
        <v>40475</v>
      </c>
      <c r="U161" s="91" t="s">
        <v>404</v>
      </c>
      <c r="V161" s="92">
        <v>40475</v>
      </c>
      <c r="W161" s="74">
        <v>0</v>
      </c>
      <c r="X161" s="28">
        <v>40246</v>
      </c>
      <c r="Y161" s="28"/>
      <c r="Z161" s="24" t="s">
        <v>393</v>
      </c>
      <c r="AA161" s="16"/>
    </row>
    <row r="162" spans="1:27" ht="14.25" customHeight="1" x14ac:dyDescent="0.4">
      <c r="A162" s="4"/>
      <c r="B162" s="22">
        <v>0</v>
      </c>
      <c r="C162" s="22">
        <v>0</v>
      </c>
      <c r="D162" s="22">
        <v>0</v>
      </c>
      <c r="E162" s="24">
        <v>40281</v>
      </c>
      <c r="F162" s="24" t="s">
        <v>393</v>
      </c>
      <c r="G162" s="24">
        <v>40289</v>
      </c>
      <c r="H162" s="23">
        <v>0</v>
      </c>
      <c r="I162" s="23">
        <v>40269</v>
      </c>
      <c r="J162" s="37">
        <v>10</v>
      </c>
      <c r="K162" s="24" t="s">
        <v>412</v>
      </c>
      <c r="L162" s="24" t="s">
        <v>2002</v>
      </c>
      <c r="M162" s="24">
        <v>40042</v>
      </c>
      <c r="N162" s="22" t="s">
        <v>674</v>
      </c>
      <c r="O162" s="4">
        <v>9100234</v>
      </c>
      <c r="P162" s="22">
        <v>715</v>
      </c>
      <c r="Q162" s="22" t="s">
        <v>1560</v>
      </c>
      <c r="R162" s="55"/>
      <c r="S162" s="91" t="s">
        <v>404</v>
      </c>
      <c r="T162" s="92">
        <v>40462</v>
      </c>
      <c r="U162" s="91" t="s">
        <v>404</v>
      </c>
      <c r="V162" s="92">
        <v>40462</v>
      </c>
      <c r="W162" s="74">
        <v>0</v>
      </c>
      <c r="X162" s="28">
        <v>40246</v>
      </c>
      <c r="Y162" s="9"/>
      <c r="Z162" s="24" t="s">
        <v>393</v>
      </c>
      <c r="AA162" s="16"/>
    </row>
    <row r="163" spans="1:27" ht="14.25" customHeight="1" x14ac:dyDescent="0.4">
      <c r="B163" s="22">
        <v>0</v>
      </c>
      <c r="C163" s="22" t="s">
        <v>2165</v>
      </c>
      <c r="D163" s="22">
        <v>0</v>
      </c>
      <c r="E163" s="24">
        <v>40282</v>
      </c>
      <c r="F163" s="24" t="s">
        <v>393</v>
      </c>
      <c r="G163" s="24">
        <v>40296</v>
      </c>
      <c r="H163" s="23">
        <v>0</v>
      </c>
      <c r="I163" s="23">
        <v>40269</v>
      </c>
      <c r="J163" s="37">
        <v>11</v>
      </c>
      <c r="K163" s="24" t="s">
        <v>412</v>
      </c>
      <c r="L163" s="24" t="s">
        <v>2002</v>
      </c>
      <c r="M163" s="24">
        <v>40042</v>
      </c>
      <c r="N163" s="22" t="s">
        <v>674</v>
      </c>
      <c r="O163" s="4">
        <v>9100235</v>
      </c>
      <c r="P163" s="22">
        <v>715</v>
      </c>
      <c r="Q163" s="22" t="s">
        <v>1561</v>
      </c>
      <c r="R163" s="55"/>
      <c r="S163" s="91" t="s">
        <v>404</v>
      </c>
      <c r="T163" s="92">
        <v>40447</v>
      </c>
      <c r="U163" s="91" t="s">
        <v>404</v>
      </c>
      <c r="V163" s="92">
        <v>40447</v>
      </c>
      <c r="W163" s="74">
        <v>0</v>
      </c>
      <c r="X163" s="28">
        <v>40246</v>
      </c>
      <c r="Y163" s="28"/>
      <c r="Z163" s="24" t="s">
        <v>393</v>
      </c>
      <c r="AA163" s="16"/>
    </row>
    <row r="164" spans="1:27" ht="14.25" customHeight="1" x14ac:dyDescent="0.4">
      <c r="B164" s="22">
        <v>0</v>
      </c>
      <c r="C164" s="22" t="s">
        <v>2165</v>
      </c>
      <c r="D164" s="22">
        <v>0</v>
      </c>
      <c r="E164" s="24">
        <v>40283</v>
      </c>
      <c r="F164" s="24" t="s">
        <v>393</v>
      </c>
      <c r="G164" s="24">
        <v>40290</v>
      </c>
      <c r="H164" s="23">
        <v>0</v>
      </c>
      <c r="I164" s="23">
        <v>40269</v>
      </c>
      <c r="J164" s="37">
        <v>12</v>
      </c>
      <c r="K164" s="24" t="s">
        <v>412</v>
      </c>
      <c r="L164" s="24" t="s">
        <v>2002</v>
      </c>
      <c r="M164" s="24">
        <v>40042</v>
      </c>
      <c r="N164" s="22" t="s">
        <v>674</v>
      </c>
      <c r="O164" s="4">
        <v>9100236</v>
      </c>
      <c r="P164" s="22">
        <v>715</v>
      </c>
      <c r="Q164" s="22" t="s">
        <v>1562</v>
      </c>
      <c r="R164" s="55"/>
      <c r="S164" s="91" t="s">
        <v>404</v>
      </c>
      <c r="T164" s="92">
        <v>40447</v>
      </c>
      <c r="U164" s="91" t="s">
        <v>404</v>
      </c>
      <c r="V164" s="92">
        <v>40447</v>
      </c>
      <c r="W164" s="74">
        <v>0</v>
      </c>
      <c r="X164" s="28">
        <v>40246</v>
      </c>
      <c r="Y164" s="28"/>
      <c r="Z164" s="24" t="s">
        <v>393</v>
      </c>
      <c r="AA164" s="16"/>
    </row>
    <row r="165" spans="1:27" ht="14.25" customHeight="1" x14ac:dyDescent="0.4">
      <c r="B165" s="22">
        <v>0</v>
      </c>
      <c r="C165" s="22" t="s">
        <v>2165</v>
      </c>
      <c r="D165" s="22">
        <v>0</v>
      </c>
      <c r="E165" s="24">
        <v>40287</v>
      </c>
      <c r="F165" s="24" t="s">
        <v>393</v>
      </c>
      <c r="G165" s="24">
        <v>40291</v>
      </c>
      <c r="H165" s="23">
        <v>0</v>
      </c>
      <c r="I165" s="23">
        <v>40269</v>
      </c>
      <c r="J165" s="37">
        <v>13</v>
      </c>
      <c r="K165" s="24" t="s">
        <v>412</v>
      </c>
      <c r="L165" s="24" t="s">
        <v>2002</v>
      </c>
      <c r="M165" s="24">
        <v>40042</v>
      </c>
      <c r="N165" s="22" t="s">
        <v>674</v>
      </c>
      <c r="O165" s="4">
        <v>9100237</v>
      </c>
      <c r="P165" s="22">
        <v>715</v>
      </c>
      <c r="Q165" s="22" t="s">
        <v>1563</v>
      </c>
      <c r="R165" s="55"/>
      <c r="S165" s="91" t="s">
        <v>404</v>
      </c>
      <c r="T165" s="92">
        <v>40489</v>
      </c>
      <c r="U165" s="91" t="s">
        <v>404</v>
      </c>
      <c r="V165" s="92">
        <v>40489</v>
      </c>
      <c r="W165" s="74">
        <v>0</v>
      </c>
      <c r="X165" s="28">
        <v>40246</v>
      </c>
      <c r="Y165" s="28"/>
      <c r="Z165" s="24" t="s">
        <v>393</v>
      </c>
      <c r="AA165" s="16"/>
    </row>
    <row r="166" spans="1:27" ht="14.25" customHeight="1" x14ac:dyDescent="0.4">
      <c r="B166" s="22">
        <v>0</v>
      </c>
      <c r="C166" s="22">
        <v>0</v>
      </c>
      <c r="D166" s="22">
        <v>0</v>
      </c>
      <c r="E166" s="24">
        <v>40295</v>
      </c>
      <c r="F166" s="24" t="s">
        <v>393</v>
      </c>
      <c r="G166" s="24">
        <v>40297</v>
      </c>
      <c r="H166" s="23">
        <v>0</v>
      </c>
      <c r="I166" s="23">
        <v>40269</v>
      </c>
      <c r="J166" s="37">
        <v>16</v>
      </c>
      <c r="K166" s="24" t="s">
        <v>412</v>
      </c>
      <c r="L166" s="24" t="s">
        <v>2002</v>
      </c>
      <c r="M166" s="24">
        <v>40042</v>
      </c>
      <c r="N166" s="22" t="s">
        <v>674</v>
      </c>
      <c r="O166" s="4">
        <v>9100238</v>
      </c>
      <c r="P166" s="22">
        <v>715</v>
      </c>
      <c r="Q166" s="22" t="s">
        <v>1564</v>
      </c>
      <c r="R166" s="55"/>
      <c r="S166" s="91" t="s">
        <v>404</v>
      </c>
      <c r="T166" s="92">
        <v>40354</v>
      </c>
      <c r="U166" s="91" t="s">
        <v>404</v>
      </c>
      <c r="V166" s="92">
        <v>40447</v>
      </c>
      <c r="W166" s="74">
        <v>0</v>
      </c>
      <c r="X166" s="28">
        <v>40246</v>
      </c>
      <c r="Y166" s="9"/>
      <c r="Z166" s="24" t="s">
        <v>393</v>
      </c>
      <c r="AA166" s="16"/>
    </row>
    <row r="167" spans="1:27" ht="14.25" customHeight="1" x14ac:dyDescent="0.4">
      <c r="B167" s="22">
        <v>0</v>
      </c>
      <c r="C167" s="22" t="s">
        <v>2102</v>
      </c>
      <c r="D167" s="22">
        <v>0</v>
      </c>
      <c r="E167" s="24">
        <v>40296</v>
      </c>
      <c r="F167" s="24" t="s">
        <v>393</v>
      </c>
      <c r="G167" s="24">
        <v>40296</v>
      </c>
      <c r="H167" s="23">
        <v>0</v>
      </c>
      <c r="I167" s="23">
        <v>40269</v>
      </c>
      <c r="J167" s="37">
        <v>17</v>
      </c>
      <c r="K167" s="24" t="s">
        <v>412</v>
      </c>
      <c r="L167" s="24" t="s">
        <v>2002</v>
      </c>
      <c r="M167" s="24">
        <v>40042</v>
      </c>
      <c r="N167" s="22" t="s">
        <v>674</v>
      </c>
      <c r="O167" s="4">
        <v>9100239</v>
      </c>
      <c r="P167" s="22">
        <v>715</v>
      </c>
      <c r="Q167" s="22" t="s">
        <v>1565</v>
      </c>
      <c r="R167" s="55"/>
      <c r="S167" s="91" t="s">
        <v>404</v>
      </c>
      <c r="T167" s="92">
        <v>40475</v>
      </c>
      <c r="U167" s="91" t="s">
        <v>404</v>
      </c>
      <c r="V167" s="92">
        <v>40475</v>
      </c>
      <c r="W167" s="74">
        <v>0</v>
      </c>
      <c r="X167" s="28">
        <v>40246</v>
      </c>
      <c r="Y167" s="9"/>
      <c r="Z167" s="24" t="s">
        <v>393</v>
      </c>
      <c r="AA167" s="16"/>
    </row>
    <row r="168" spans="1:27" ht="14.25" customHeight="1" x14ac:dyDescent="0.4">
      <c r="B168" s="22">
        <v>0</v>
      </c>
      <c r="C168" s="22" t="s">
        <v>2102</v>
      </c>
      <c r="D168" s="22">
        <v>0</v>
      </c>
      <c r="E168" s="24">
        <v>40297</v>
      </c>
      <c r="F168" s="24" t="s">
        <v>393</v>
      </c>
      <c r="G168" s="24">
        <v>40297</v>
      </c>
      <c r="H168" s="23">
        <v>0</v>
      </c>
      <c r="I168" s="23">
        <v>40269</v>
      </c>
      <c r="J168" s="37">
        <v>18</v>
      </c>
      <c r="K168" s="24" t="s">
        <v>412</v>
      </c>
      <c r="L168" s="24" t="s">
        <v>2002</v>
      </c>
      <c r="M168" s="24">
        <v>40042</v>
      </c>
      <c r="N168" s="22" t="s">
        <v>674</v>
      </c>
      <c r="O168" s="4">
        <v>9100240</v>
      </c>
      <c r="P168" s="22">
        <v>715</v>
      </c>
      <c r="Q168" s="22" t="s">
        <v>1566</v>
      </c>
      <c r="R168" s="55"/>
      <c r="S168" s="91" t="s">
        <v>404</v>
      </c>
      <c r="T168" s="92">
        <v>40489</v>
      </c>
      <c r="U168" s="91" t="s">
        <v>404</v>
      </c>
      <c r="V168" s="92">
        <v>40489</v>
      </c>
      <c r="W168" s="74">
        <v>0</v>
      </c>
      <c r="X168" s="28">
        <v>40246</v>
      </c>
      <c r="Y168" s="9"/>
      <c r="Z168" s="24" t="s">
        <v>393</v>
      </c>
      <c r="AA168" s="16"/>
    </row>
    <row r="169" spans="1:27" ht="14.25" customHeight="1" x14ac:dyDescent="0.4">
      <c r="B169" s="22">
        <v>0</v>
      </c>
      <c r="C169" s="22">
        <v>0</v>
      </c>
      <c r="D169" s="22">
        <v>0</v>
      </c>
      <c r="E169" s="24">
        <v>40303</v>
      </c>
      <c r="F169" s="24" t="s">
        <v>393</v>
      </c>
      <c r="G169" s="24">
        <v>40303</v>
      </c>
      <c r="H169" s="23">
        <v>0</v>
      </c>
      <c r="I169" s="23">
        <v>40269</v>
      </c>
      <c r="J169" s="37">
        <v>23</v>
      </c>
      <c r="K169" s="24" t="s">
        <v>412</v>
      </c>
      <c r="L169" s="24" t="s">
        <v>1724</v>
      </c>
      <c r="M169" s="24">
        <v>40284</v>
      </c>
      <c r="N169" s="22" t="s">
        <v>674</v>
      </c>
      <c r="O169" s="4">
        <v>9100603</v>
      </c>
      <c r="P169" s="22">
        <v>1010</v>
      </c>
      <c r="Q169" s="22" t="s">
        <v>1718</v>
      </c>
      <c r="R169" s="55"/>
      <c r="S169" s="91" t="s">
        <v>404</v>
      </c>
      <c r="T169" s="94">
        <v>40287</v>
      </c>
      <c r="U169" s="91" t="s">
        <v>404</v>
      </c>
      <c r="V169" s="94">
        <v>40442</v>
      </c>
      <c r="W169" s="74">
        <v>0</v>
      </c>
      <c r="X169" s="9">
        <v>40315</v>
      </c>
      <c r="Y169" s="9"/>
      <c r="Z169" s="24" t="s">
        <v>393</v>
      </c>
      <c r="AA169" s="16"/>
    </row>
    <row r="170" spans="1:27" ht="14.25" customHeight="1" x14ac:dyDescent="0.4">
      <c r="B170" s="22">
        <v>0</v>
      </c>
      <c r="C170" s="22" t="s">
        <v>2165</v>
      </c>
      <c r="D170" s="22">
        <v>0</v>
      </c>
      <c r="E170" s="24">
        <v>40360</v>
      </c>
      <c r="F170" s="24" t="s">
        <v>393</v>
      </c>
      <c r="G170" s="24">
        <v>40367</v>
      </c>
      <c r="H170" s="23">
        <v>0</v>
      </c>
      <c r="I170" s="23">
        <v>40360</v>
      </c>
      <c r="J170" s="37">
        <v>3</v>
      </c>
      <c r="K170" s="24" t="s">
        <v>412</v>
      </c>
      <c r="L170" s="24" t="s">
        <v>1724</v>
      </c>
      <c r="M170" s="24">
        <v>40357</v>
      </c>
      <c r="N170" s="22" t="s">
        <v>674</v>
      </c>
      <c r="O170" s="4">
        <v>9100193</v>
      </c>
      <c r="P170" s="22">
        <v>715</v>
      </c>
      <c r="Q170" s="22" t="s">
        <v>58</v>
      </c>
      <c r="S170" s="91" t="s">
        <v>404</v>
      </c>
      <c r="T170" s="94">
        <v>40405</v>
      </c>
      <c r="U170" s="91" t="s">
        <v>404</v>
      </c>
      <c r="V170" s="92">
        <v>40475</v>
      </c>
      <c r="W170" s="74">
        <v>0</v>
      </c>
      <c r="X170" s="28"/>
      <c r="Y170" s="28"/>
      <c r="Z170" s="24" t="s">
        <v>393</v>
      </c>
      <c r="AA170" s="16"/>
    </row>
    <row r="171" spans="1:27" ht="14.25" customHeight="1" x14ac:dyDescent="0.4">
      <c r="B171" s="22">
        <v>0</v>
      </c>
      <c r="C171" s="22">
        <v>0</v>
      </c>
      <c r="D171" s="22">
        <v>0</v>
      </c>
      <c r="E171" s="24">
        <v>40087</v>
      </c>
      <c r="F171" s="24" t="s">
        <v>393</v>
      </c>
      <c r="G171" s="24">
        <v>40091</v>
      </c>
      <c r="H171" s="23">
        <v>0</v>
      </c>
      <c r="I171" s="23">
        <v>40087</v>
      </c>
      <c r="J171" s="37">
        <v>5</v>
      </c>
      <c r="K171" s="24" t="s">
        <v>412</v>
      </c>
      <c r="L171" s="24" t="s">
        <v>1993</v>
      </c>
      <c r="M171" s="24">
        <v>40032</v>
      </c>
      <c r="N171" s="22" t="s">
        <v>578</v>
      </c>
      <c r="O171" s="4">
        <v>9100188</v>
      </c>
      <c r="P171" s="22">
        <v>715</v>
      </c>
      <c r="Q171" s="22" t="s">
        <v>59</v>
      </c>
      <c r="S171" s="91" t="s">
        <v>404</v>
      </c>
      <c r="T171" s="94">
        <v>40956</v>
      </c>
      <c r="U171" s="91" t="s">
        <v>404</v>
      </c>
      <c r="V171" s="92">
        <v>40956</v>
      </c>
      <c r="W171" s="74">
        <v>0</v>
      </c>
      <c r="X171" s="28">
        <v>40276</v>
      </c>
      <c r="Y171" s="28"/>
      <c r="Z171" s="24" t="s">
        <v>393</v>
      </c>
      <c r="AA171" s="16"/>
    </row>
    <row r="172" spans="1:27" ht="14.25" customHeight="1" x14ac:dyDescent="0.4">
      <c r="B172" s="22">
        <v>0</v>
      </c>
      <c r="C172" s="22">
        <v>0</v>
      </c>
      <c r="D172" s="22">
        <v>0</v>
      </c>
      <c r="E172" s="24">
        <v>40091</v>
      </c>
      <c r="F172" s="24" t="s">
        <v>393</v>
      </c>
      <c r="G172" s="24">
        <v>40093</v>
      </c>
      <c r="H172" s="23">
        <v>0</v>
      </c>
      <c r="I172" s="23">
        <v>40087</v>
      </c>
      <c r="J172" s="37">
        <v>7</v>
      </c>
      <c r="K172" s="24" t="s">
        <v>412</v>
      </c>
      <c r="L172" s="24" t="s">
        <v>1993</v>
      </c>
      <c r="M172" s="24">
        <v>40032</v>
      </c>
      <c r="N172" s="22" t="s">
        <v>578</v>
      </c>
      <c r="O172" s="4">
        <v>9100189</v>
      </c>
      <c r="P172" s="22">
        <v>715</v>
      </c>
      <c r="Q172" s="22" t="s">
        <v>60</v>
      </c>
      <c r="R172" s="55"/>
      <c r="S172" s="91" t="s">
        <v>404</v>
      </c>
      <c r="T172" s="94">
        <v>40956</v>
      </c>
      <c r="U172" s="91" t="s">
        <v>404</v>
      </c>
      <c r="V172" s="92">
        <v>40956</v>
      </c>
      <c r="W172" s="74">
        <v>0</v>
      </c>
      <c r="X172" s="28">
        <v>40276</v>
      </c>
      <c r="Y172" s="28"/>
      <c r="Z172" s="24" t="s">
        <v>393</v>
      </c>
      <c r="AA172" s="16"/>
    </row>
    <row r="173" spans="1:27" ht="14.25" customHeight="1" x14ac:dyDescent="0.4">
      <c r="B173" s="22">
        <v>0</v>
      </c>
      <c r="C173" s="22" t="s">
        <v>2102</v>
      </c>
      <c r="D173" s="22">
        <v>0</v>
      </c>
      <c r="E173" s="24">
        <v>40088</v>
      </c>
      <c r="F173" s="24" t="s">
        <v>393</v>
      </c>
      <c r="G173" s="24">
        <v>40092</v>
      </c>
      <c r="H173" s="23">
        <v>0</v>
      </c>
      <c r="I173" s="23">
        <v>40087</v>
      </c>
      <c r="J173" s="37">
        <v>6</v>
      </c>
      <c r="K173" s="24" t="s">
        <v>412</v>
      </c>
      <c r="L173" s="24" t="s">
        <v>1993</v>
      </c>
      <c r="M173" s="24">
        <v>40032</v>
      </c>
      <c r="N173" s="22" t="s">
        <v>578</v>
      </c>
      <c r="O173" s="4">
        <v>9100190</v>
      </c>
      <c r="P173" s="22">
        <v>1010</v>
      </c>
      <c r="Q173" s="22" t="s">
        <v>61</v>
      </c>
      <c r="S173" s="91" t="s">
        <v>404</v>
      </c>
      <c r="T173" s="94">
        <v>40612</v>
      </c>
      <c r="U173" s="91" t="s">
        <v>404</v>
      </c>
      <c r="V173" s="92">
        <v>40617</v>
      </c>
      <c r="W173" s="74">
        <v>0</v>
      </c>
      <c r="X173" s="28">
        <v>40276</v>
      </c>
      <c r="Y173" s="9"/>
      <c r="Z173" s="24" t="s">
        <v>393</v>
      </c>
      <c r="AA173" s="16"/>
    </row>
    <row r="174" spans="1:27" ht="14.25" customHeight="1" x14ac:dyDescent="0.4">
      <c r="B174" s="22">
        <v>0</v>
      </c>
      <c r="C174" s="22">
        <v>0</v>
      </c>
      <c r="D174" s="22">
        <v>0</v>
      </c>
      <c r="E174" s="24">
        <v>40092</v>
      </c>
      <c r="F174" s="24" t="s">
        <v>393</v>
      </c>
      <c r="G174" s="24">
        <v>40095</v>
      </c>
      <c r="H174" s="23">
        <v>0</v>
      </c>
      <c r="I174" s="23">
        <v>40087</v>
      </c>
      <c r="J174" s="37">
        <v>10</v>
      </c>
      <c r="K174" s="24" t="s">
        <v>412</v>
      </c>
      <c r="L174" s="24" t="s">
        <v>1993</v>
      </c>
      <c r="M174" s="24">
        <v>40032</v>
      </c>
      <c r="N174" s="22" t="s">
        <v>578</v>
      </c>
      <c r="O174" s="4">
        <v>9100191</v>
      </c>
      <c r="P174" s="22">
        <v>1010</v>
      </c>
      <c r="Q174" s="22" t="s">
        <v>62</v>
      </c>
      <c r="R174" s="55"/>
      <c r="S174" s="91" t="s">
        <v>404</v>
      </c>
      <c r="T174" s="94">
        <v>40612</v>
      </c>
      <c r="U174" s="91" t="s">
        <v>404</v>
      </c>
      <c r="V174" s="92">
        <v>40956</v>
      </c>
      <c r="W174" s="74">
        <v>0</v>
      </c>
      <c r="X174" s="28">
        <v>40276</v>
      </c>
      <c r="Y174" s="9"/>
      <c r="Z174" s="24" t="s">
        <v>393</v>
      </c>
      <c r="AA174" s="16"/>
    </row>
    <row r="175" spans="1:27" ht="14.25" customHeight="1" x14ac:dyDescent="0.4">
      <c r="B175" s="22">
        <v>0</v>
      </c>
      <c r="C175" s="22">
        <v>0</v>
      </c>
      <c r="D175" s="22">
        <v>0</v>
      </c>
      <c r="E175" s="24">
        <v>40163</v>
      </c>
      <c r="F175" s="24" t="s">
        <v>393</v>
      </c>
      <c r="G175" s="24">
        <v>40175</v>
      </c>
      <c r="H175" s="23">
        <v>0</v>
      </c>
      <c r="I175" s="23">
        <v>40148</v>
      </c>
      <c r="J175" s="37">
        <v>14</v>
      </c>
      <c r="K175" s="24" t="s">
        <v>412</v>
      </c>
      <c r="L175" s="24">
        <v>0</v>
      </c>
      <c r="M175" s="24">
        <v>40032</v>
      </c>
      <c r="N175" s="22" t="s">
        <v>578</v>
      </c>
      <c r="O175" s="4">
        <v>9100192</v>
      </c>
      <c r="P175" s="22">
        <v>1210</v>
      </c>
      <c r="Q175" s="22" t="s">
        <v>63</v>
      </c>
      <c r="R175" s="76"/>
      <c r="S175" s="91" t="s">
        <v>404</v>
      </c>
      <c r="T175" s="94">
        <v>40162</v>
      </c>
      <c r="U175" s="91" t="s">
        <v>404</v>
      </c>
      <c r="V175" s="92">
        <v>40263</v>
      </c>
      <c r="W175" s="74">
        <v>0</v>
      </c>
      <c r="X175" s="9">
        <v>40189</v>
      </c>
      <c r="Y175" s="9"/>
      <c r="Z175" s="24" t="s">
        <v>393</v>
      </c>
      <c r="AA175" s="16"/>
    </row>
    <row r="176" spans="1:27" ht="14.25" customHeight="1" x14ac:dyDescent="0.4">
      <c r="B176" s="22">
        <v>0</v>
      </c>
      <c r="C176" s="22" t="s">
        <v>2165</v>
      </c>
      <c r="D176" s="22">
        <v>0</v>
      </c>
      <c r="E176" s="24">
        <v>40086</v>
      </c>
      <c r="F176" s="24" t="s">
        <v>393</v>
      </c>
      <c r="G176" s="24">
        <v>40091</v>
      </c>
      <c r="H176" s="23">
        <v>0</v>
      </c>
      <c r="I176" s="23">
        <v>40087</v>
      </c>
      <c r="J176" s="37">
        <v>3</v>
      </c>
      <c r="K176" s="24" t="s">
        <v>412</v>
      </c>
      <c r="L176" s="24" t="s">
        <v>1993</v>
      </c>
      <c r="M176" s="24">
        <v>40032</v>
      </c>
      <c r="N176" s="22" t="s">
        <v>578</v>
      </c>
      <c r="O176" s="4">
        <v>9100194</v>
      </c>
      <c r="P176" s="22">
        <v>1210</v>
      </c>
      <c r="Q176" s="22" t="s">
        <v>64</v>
      </c>
      <c r="R176" s="55"/>
      <c r="S176" s="91" t="s">
        <v>404</v>
      </c>
      <c r="T176" s="94">
        <v>40617</v>
      </c>
      <c r="U176" s="91" t="s">
        <v>404</v>
      </c>
      <c r="V176" s="92">
        <v>40655</v>
      </c>
      <c r="W176" s="74">
        <v>0</v>
      </c>
      <c r="X176" s="28">
        <v>40276</v>
      </c>
      <c r="Y176" s="28"/>
      <c r="Z176" s="24" t="s">
        <v>393</v>
      </c>
      <c r="AA176" s="16"/>
    </row>
    <row r="177" spans="1:27" ht="14.25" customHeight="1" x14ac:dyDescent="0.4">
      <c r="B177" s="22">
        <v>0</v>
      </c>
      <c r="C177" s="22">
        <v>0</v>
      </c>
      <c r="D177" s="22">
        <v>0</v>
      </c>
      <c r="E177" s="24">
        <v>40094</v>
      </c>
      <c r="F177" s="24" t="s">
        <v>393</v>
      </c>
      <c r="G177" s="24">
        <v>40099</v>
      </c>
      <c r="H177" s="23">
        <v>0</v>
      </c>
      <c r="I177" s="23">
        <v>40087</v>
      </c>
      <c r="J177" s="37">
        <v>13</v>
      </c>
      <c r="K177" s="24" t="s">
        <v>412</v>
      </c>
      <c r="L177" s="24" t="s">
        <v>1993</v>
      </c>
      <c r="M177" s="24">
        <v>40032</v>
      </c>
      <c r="N177" s="22" t="s">
        <v>578</v>
      </c>
      <c r="O177" s="4">
        <v>9100195</v>
      </c>
      <c r="P177" s="22">
        <v>1010</v>
      </c>
      <c r="Q177" s="22" t="s">
        <v>65</v>
      </c>
      <c r="R177" s="55"/>
      <c r="S177" s="91" t="s">
        <v>404</v>
      </c>
      <c r="T177" s="94">
        <v>40872</v>
      </c>
      <c r="U177" s="91" t="s">
        <v>404</v>
      </c>
      <c r="V177" s="92">
        <v>40872</v>
      </c>
      <c r="W177" s="74">
        <v>0</v>
      </c>
      <c r="X177" s="28">
        <v>40276</v>
      </c>
      <c r="Y177" s="28"/>
      <c r="Z177" s="24" t="s">
        <v>393</v>
      </c>
      <c r="AA177" s="16"/>
    </row>
    <row r="178" spans="1:27" ht="14.25" customHeight="1" x14ac:dyDescent="0.4">
      <c r="B178" s="22">
        <v>0</v>
      </c>
      <c r="C178" s="22" t="s">
        <v>2165</v>
      </c>
      <c r="D178" s="22">
        <v>0</v>
      </c>
      <c r="E178" s="24">
        <v>40007</v>
      </c>
      <c r="F178" s="24" t="s">
        <v>393</v>
      </c>
      <c r="G178" s="24">
        <v>40016</v>
      </c>
      <c r="H178" s="23">
        <v>0</v>
      </c>
      <c r="I178" s="23">
        <v>39995</v>
      </c>
      <c r="J178" s="37">
        <v>9</v>
      </c>
      <c r="K178" s="24" t="s">
        <v>412</v>
      </c>
      <c r="L178" s="24">
        <v>39995</v>
      </c>
      <c r="M178" s="24">
        <v>40001</v>
      </c>
      <c r="N178" s="22" t="s">
        <v>579</v>
      </c>
      <c r="O178" s="4">
        <v>9100050</v>
      </c>
      <c r="P178" s="22">
        <v>1210</v>
      </c>
      <c r="Q178" s="22">
        <v>0</v>
      </c>
      <c r="R178" s="102" t="s">
        <v>1878</v>
      </c>
      <c r="S178" s="55" t="s">
        <v>406</v>
      </c>
      <c r="T178" s="94"/>
      <c r="U178" s="55" t="s">
        <v>406</v>
      </c>
      <c r="V178" s="55"/>
      <c r="W178" s="74">
        <v>0</v>
      </c>
      <c r="X178" s="28"/>
      <c r="Y178" s="28"/>
      <c r="Z178" s="24" t="s">
        <v>393</v>
      </c>
      <c r="AA178" s="16"/>
    </row>
    <row r="179" spans="1:27" ht="14.25" customHeight="1" x14ac:dyDescent="0.4">
      <c r="B179" s="22">
        <v>0</v>
      </c>
      <c r="C179" s="22">
        <v>0</v>
      </c>
      <c r="D179" s="22">
        <v>0</v>
      </c>
      <c r="E179" s="24">
        <v>40023</v>
      </c>
      <c r="F179" s="24" t="s">
        <v>393</v>
      </c>
      <c r="G179" s="24">
        <v>40025</v>
      </c>
      <c r="H179" s="23">
        <v>0</v>
      </c>
      <c r="I179" s="23">
        <v>39995</v>
      </c>
      <c r="J179" s="37">
        <v>25</v>
      </c>
      <c r="K179" s="24" t="s">
        <v>412</v>
      </c>
      <c r="L179" s="24" t="s">
        <v>25</v>
      </c>
      <c r="M179" s="24">
        <v>40018</v>
      </c>
      <c r="N179" s="22" t="s">
        <v>579</v>
      </c>
      <c r="O179" s="4">
        <v>9100103</v>
      </c>
      <c r="P179" s="22">
        <v>1210</v>
      </c>
      <c r="Q179" s="22" t="s">
        <v>1567</v>
      </c>
      <c r="R179" s="55" t="s">
        <v>873</v>
      </c>
      <c r="S179" s="55" t="s">
        <v>404</v>
      </c>
      <c r="T179" s="94">
        <v>40018</v>
      </c>
      <c r="U179" s="55" t="s">
        <v>404</v>
      </c>
      <c r="V179" s="95">
        <v>40368</v>
      </c>
      <c r="W179" s="74">
        <v>0</v>
      </c>
      <c r="X179" s="9">
        <v>40042</v>
      </c>
      <c r="Y179" s="9"/>
      <c r="Z179" s="24" t="s">
        <v>393</v>
      </c>
      <c r="AA179" s="16"/>
    </row>
    <row r="180" spans="1:27" ht="14.25" customHeight="1" x14ac:dyDescent="0.4">
      <c r="A180" s="4"/>
      <c r="B180" s="22">
        <v>0</v>
      </c>
      <c r="C180" s="22" t="s">
        <v>2102</v>
      </c>
      <c r="D180" s="22">
        <v>0</v>
      </c>
      <c r="E180" s="24">
        <v>40099</v>
      </c>
      <c r="F180" s="24" t="s">
        <v>393</v>
      </c>
      <c r="G180" s="24">
        <v>40101</v>
      </c>
      <c r="H180" s="23">
        <v>0</v>
      </c>
      <c r="I180" s="23">
        <v>40087</v>
      </c>
      <c r="J180" s="37">
        <v>19</v>
      </c>
      <c r="K180" s="24" t="s">
        <v>412</v>
      </c>
      <c r="L180" s="24">
        <v>0</v>
      </c>
      <c r="M180" s="24">
        <v>40045</v>
      </c>
      <c r="N180" s="22" t="s">
        <v>579</v>
      </c>
      <c r="O180" s="3">
        <v>9100243</v>
      </c>
      <c r="P180" s="22">
        <v>715</v>
      </c>
      <c r="Q180" s="22" t="s">
        <v>1569</v>
      </c>
      <c r="R180" s="55" t="s">
        <v>873</v>
      </c>
      <c r="S180" s="91" t="s">
        <v>404</v>
      </c>
      <c r="T180" s="92">
        <v>40045</v>
      </c>
      <c r="U180" s="91" t="s">
        <v>404</v>
      </c>
      <c r="V180" s="92">
        <v>40263</v>
      </c>
      <c r="W180" s="74">
        <v>0</v>
      </c>
      <c r="X180" s="28"/>
      <c r="Y180" s="28"/>
      <c r="Z180" s="24" t="s">
        <v>393</v>
      </c>
      <c r="AA180" s="16"/>
    </row>
    <row r="181" spans="1:27" ht="14.25" customHeight="1" x14ac:dyDescent="0.4">
      <c r="B181" s="22">
        <v>0</v>
      </c>
      <c r="C181" s="22">
        <v>0</v>
      </c>
      <c r="D181" s="22">
        <v>0</v>
      </c>
      <c r="E181" s="24">
        <v>40099</v>
      </c>
      <c r="F181" s="24" t="s">
        <v>393</v>
      </c>
      <c r="G181" s="24">
        <v>40102</v>
      </c>
      <c r="H181" s="23">
        <v>0</v>
      </c>
      <c r="I181" s="23">
        <v>40087</v>
      </c>
      <c r="J181" s="37">
        <v>20</v>
      </c>
      <c r="K181" s="24" t="s">
        <v>412</v>
      </c>
      <c r="L181" s="24">
        <v>0</v>
      </c>
      <c r="M181" s="24">
        <v>40066</v>
      </c>
      <c r="N181" s="22" t="s">
        <v>579</v>
      </c>
      <c r="O181" s="4">
        <v>9100253</v>
      </c>
      <c r="P181" s="22">
        <v>715</v>
      </c>
      <c r="Q181" s="22" t="s">
        <v>1570</v>
      </c>
      <c r="R181" s="55" t="s">
        <v>873</v>
      </c>
      <c r="S181" s="91" t="s">
        <v>404</v>
      </c>
      <c r="T181" s="92">
        <v>40066</v>
      </c>
      <c r="U181" s="91" t="s">
        <v>404</v>
      </c>
      <c r="V181" s="92">
        <v>40112</v>
      </c>
      <c r="W181" s="74">
        <v>0</v>
      </c>
      <c r="X181" s="9"/>
      <c r="Y181" s="9"/>
      <c r="Z181" s="24" t="s">
        <v>393</v>
      </c>
      <c r="AA181" s="16"/>
    </row>
    <row r="182" spans="1:27" ht="14.25" customHeight="1" x14ac:dyDescent="0.4">
      <c r="B182" s="22">
        <v>0</v>
      </c>
      <c r="C182" s="22">
        <v>0</v>
      </c>
      <c r="D182" s="22">
        <v>0</v>
      </c>
      <c r="E182" s="24">
        <v>40150</v>
      </c>
      <c r="F182" s="24" t="s">
        <v>393</v>
      </c>
      <c r="G182" s="24">
        <v>40177</v>
      </c>
      <c r="H182" s="23">
        <v>0</v>
      </c>
      <c r="I182" s="23">
        <v>40118</v>
      </c>
      <c r="J182" s="37">
        <v>32</v>
      </c>
      <c r="K182" s="24" t="s">
        <v>412</v>
      </c>
      <c r="L182" s="24" t="s">
        <v>1724</v>
      </c>
      <c r="M182" s="24">
        <v>40117</v>
      </c>
      <c r="N182" s="22" t="s">
        <v>579</v>
      </c>
      <c r="O182" s="4">
        <v>9100263</v>
      </c>
      <c r="P182" s="22">
        <v>715</v>
      </c>
      <c r="Q182" s="22" t="s">
        <v>1571</v>
      </c>
      <c r="R182" s="55" t="s">
        <v>873</v>
      </c>
      <c r="S182" s="91" t="s">
        <v>404</v>
      </c>
      <c r="T182" s="92">
        <v>40132</v>
      </c>
      <c r="U182" s="91" t="s">
        <v>404</v>
      </c>
      <c r="V182" s="92">
        <v>40245</v>
      </c>
      <c r="W182" s="74">
        <v>0</v>
      </c>
      <c r="X182" s="28">
        <v>40213</v>
      </c>
      <c r="Y182" s="28"/>
      <c r="Z182" s="24" t="s">
        <v>393</v>
      </c>
      <c r="AA182" s="16"/>
    </row>
    <row r="183" spans="1:27" ht="14.25" customHeight="1" x14ac:dyDescent="0.4">
      <c r="B183" s="22">
        <v>0</v>
      </c>
      <c r="C183" s="22">
        <v>0</v>
      </c>
      <c r="D183" s="22">
        <v>0</v>
      </c>
      <c r="E183" s="24">
        <v>40213</v>
      </c>
      <c r="F183" s="24" t="s">
        <v>393</v>
      </c>
      <c r="G183" s="24">
        <v>40217</v>
      </c>
      <c r="H183" s="23">
        <v>0</v>
      </c>
      <c r="I183" s="23">
        <v>40210</v>
      </c>
      <c r="J183" s="37">
        <v>7</v>
      </c>
      <c r="K183" s="24" t="s">
        <v>412</v>
      </c>
      <c r="L183" s="24">
        <v>0</v>
      </c>
      <c r="M183" s="24">
        <v>40162</v>
      </c>
      <c r="N183" s="22" t="s">
        <v>579</v>
      </c>
      <c r="O183" s="4">
        <v>9100270</v>
      </c>
      <c r="P183" s="22">
        <v>1210</v>
      </c>
      <c r="Q183" s="22" t="s">
        <v>1572</v>
      </c>
      <c r="R183" s="55" t="s">
        <v>873</v>
      </c>
      <c r="S183" s="91" t="s">
        <v>404</v>
      </c>
      <c r="T183" s="94">
        <v>40162</v>
      </c>
      <c r="U183" s="91" t="s">
        <v>404</v>
      </c>
      <c r="V183" s="92">
        <v>40344</v>
      </c>
      <c r="W183" s="74">
        <v>0</v>
      </c>
      <c r="X183" s="9"/>
      <c r="Y183" s="9"/>
      <c r="Z183" s="24" t="s">
        <v>393</v>
      </c>
      <c r="AA183" s="16"/>
    </row>
    <row r="184" spans="1:27" ht="14.25" customHeight="1" x14ac:dyDescent="0.4">
      <c r="A184" s="4"/>
      <c r="B184" s="22">
        <v>0</v>
      </c>
      <c r="C184" s="22" t="s">
        <v>2102</v>
      </c>
      <c r="D184" s="22">
        <v>0</v>
      </c>
      <c r="E184" s="24">
        <v>40232</v>
      </c>
      <c r="F184" s="24" t="s">
        <v>393</v>
      </c>
      <c r="G184" s="24">
        <v>40232</v>
      </c>
      <c r="H184" s="23">
        <v>0</v>
      </c>
      <c r="I184" s="23">
        <v>40210</v>
      </c>
      <c r="J184" s="37">
        <v>19</v>
      </c>
      <c r="K184" s="24" t="s">
        <v>412</v>
      </c>
      <c r="L184" s="24">
        <v>0</v>
      </c>
      <c r="M184" s="24">
        <v>40182</v>
      </c>
      <c r="N184" s="22" t="s">
        <v>579</v>
      </c>
      <c r="O184" s="4">
        <v>9100364</v>
      </c>
      <c r="P184" s="22">
        <v>1210</v>
      </c>
      <c r="Q184" s="22" t="s">
        <v>1573</v>
      </c>
      <c r="R184" s="55" t="s">
        <v>873</v>
      </c>
      <c r="S184" s="91" t="s">
        <v>404</v>
      </c>
      <c r="T184" s="162">
        <v>40191</v>
      </c>
      <c r="U184" s="55" t="s">
        <v>404</v>
      </c>
      <c r="V184" s="93">
        <v>40232</v>
      </c>
      <c r="W184" s="75"/>
      <c r="X184" s="28">
        <v>40297</v>
      </c>
      <c r="Y184" s="28"/>
      <c r="Z184" s="24" t="s">
        <v>393</v>
      </c>
      <c r="AA184" s="16"/>
    </row>
    <row r="185" spans="1:27" ht="14.25" customHeight="1" x14ac:dyDescent="0.4">
      <c r="B185" s="22">
        <v>0</v>
      </c>
      <c r="C185" s="22" t="s">
        <v>2165</v>
      </c>
      <c r="D185" s="22">
        <v>0</v>
      </c>
      <c r="E185" s="24">
        <v>40260</v>
      </c>
      <c r="F185" s="24" t="s">
        <v>393</v>
      </c>
      <c r="G185" s="24">
        <v>40273</v>
      </c>
      <c r="H185" s="23">
        <v>0</v>
      </c>
      <c r="I185" s="23">
        <v>40238</v>
      </c>
      <c r="J185" s="37">
        <v>17</v>
      </c>
      <c r="K185" s="24" t="s">
        <v>412</v>
      </c>
      <c r="L185" s="24">
        <v>0</v>
      </c>
      <c r="M185" s="24">
        <v>40245</v>
      </c>
      <c r="N185" s="22" t="s">
        <v>579</v>
      </c>
      <c r="O185" s="4">
        <v>9100409</v>
      </c>
      <c r="P185" s="22">
        <v>1010</v>
      </c>
      <c r="Q185" s="22" t="s">
        <v>1574</v>
      </c>
      <c r="R185" s="55" t="s">
        <v>873</v>
      </c>
      <c r="S185" s="91" t="s">
        <v>404</v>
      </c>
      <c r="T185" s="94">
        <v>40242</v>
      </c>
      <c r="U185" s="91" t="s">
        <v>404</v>
      </c>
      <c r="V185" s="92">
        <v>40232</v>
      </c>
      <c r="W185" s="74">
        <v>0</v>
      </c>
      <c r="X185" s="9">
        <v>40289</v>
      </c>
      <c r="Y185" s="9"/>
      <c r="Z185" s="24" t="s">
        <v>393</v>
      </c>
      <c r="AA185" s="16"/>
    </row>
    <row r="186" spans="1:27" ht="14.25" customHeight="1" x14ac:dyDescent="0.4">
      <c r="B186" s="22">
        <v>0</v>
      </c>
      <c r="C186" s="22" t="s">
        <v>2165</v>
      </c>
      <c r="D186" s="22">
        <v>0</v>
      </c>
      <c r="E186" s="24">
        <v>40316</v>
      </c>
      <c r="F186" s="24" t="s">
        <v>393</v>
      </c>
      <c r="G186" s="24">
        <v>40323</v>
      </c>
      <c r="H186" s="23">
        <v>0</v>
      </c>
      <c r="I186" s="23">
        <v>40299</v>
      </c>
      <c r="J186" s="37">
        <v>8</v>
      </c>
      <c r="K186" s="24" t="s">
        <v>412</v>
      </c>
      <c r="L186" s="24" t="s">
        <v>1724</v>
      </c>
      <c r="M186" s="24">
        <v>40303</v>
      </c>
      <c r="N186" s="22" t="s">
        <v>579</v>
      </c>
      <c r="O186" s="4">
        <v>9100806</v>
      </c>
      <c r="P186" s="22">
        <v>1010</v>
      </c>
      <c r="Q186" s="22" t="s">
        <v>1737</v>
      </c>
      <c r="R186" s="55" t="s">
        <v>873</v>
      </c>
      <c r="S186" s="91" t="s">
        <v>404</v>
      </c>
      <c r="T186" s="94">
        <v>40305</v>
      </c>
      <c r="U186" s="91" t="s">
        <v>404</v>
      </c>
      <c r="V186" s="92">
        <v>40344</v>
      </c>
      <c r="W186" s="74">
        <v>0</v>
      </c>
      <c r="X186" s="9">
        <v>40352</v>
      </c>
      <c r="Y186" s="9"/>
      <c r="Z186" s="24" t="s">
        <v>393</v>
      </c>
      <c r="AA186" s="16"/>
    </row>
    <row r="187" spans="1:27" ht="14.25" customHeight="1" x14ac:dyDescent="0.4">
      <c r="B187" s="22">
        <v>0</v>
      </c>
      <c r="C187" s="22">
        <v>0</v>
      </c>
      <c r="D187" s="22">
        <v>0</v>
      </c>
      <c r="E187" s="24">
        <v>0</v>
      </c>
      <c r="F187" s="24" t="s">
        <v>393</v>
      </c>
      <c r="G187" s="24">
        <v>40378</v>
      </c>
      <c r="H187" s="23">
        <v>0</v>
      </c>
      <c r="I187" s="23">
        <v>40360</v>
      </c>
      <c r="J187" s="37">
        <v>9</v>
      </c>
      <c r="K187" s="24" t="s">
        <v>412</v>
      </c>
      <c r="L187" s="24" t="s">
        <v>1724</v>
      </c>
      <c r="M187" s="24">
        <v>40358</v>
      </c>
      <c r="N187" s="22" t="s">
        <v>579</v>
      </c>
      <c r="O187" s="4">
        <v>9101024</v>
      </c>
      <c r="P187" s="22">
        <v>1010</v>
      </c>
      <c r="Q187" s="22" t="s">
        <v>1637</v>
      </c>
      <c r="R187" s="102" t="s">
        <v>873</v>
      </c>
      <c r="S187" s="91" t="s">
        <v>404</v>
      </c>
      <c r="T187" s="143">
        <v>40711</v>
      </c>
      <c r="U187" s="91" t="s">
        <v>404</v>
      </c>
      <c r="V187" s="92">
        <v>40713</v>
      </c>
      <c r="W187" s="74">
        <v>0</v>
      </c>
      <c r="X187" s="9"/>
      <c r="Y187" s="9"/>
      <c r="Z187" s="24" t="s">
        <v>393</v>
      </c>
      <c r="AA187" s="16"/>
    </row>
    <row r="188" spans="1:27" ht="14.25" customHeight="1" x14ac:dyDescent="0.4">
      <c r="A188" s="4"/>
      <c r="B188" s="22">
        <v>0</v>
      </c>
      <c r="C188" s="22">
        <v>0</v>
      </c>
      <c r="D188" s="22">
        <v>0</v>
      </c>
      <c r="E188" s="24">
        <v>40246</v>
      </c>
      <c r="F188" s="24" t="s">
        <v>393</v>
      </c>
      <c r="G188" s="24">
        <v>40263</v>
      </c>
      <c r="H188" s="23">
        <v>0</v>
      </c>
      <c r="I188" s="23">
        <v>40238</v>
      </c>
      <c r="J188" s="37">
        <v>3</v>
      </c>
      <c r="K188" s="24" t="s">
        <v>412</v>
      </c>
      <c r="L188" s="24" t="s">
        <v>2000</v>
      </c>
      <c r="M188" s="24">
        <v>40200</v>
      </c>
      <c r="N188" s="123" t="s">
        <v>579</v>
      </c>
      <c r="O188" s="4">
        <v>9100368</v>
      </c>
      <c r="P188" s="22">
        <v>1210</v>
      </c>
      <c r="Q188" s="22" t="s">
        <v>2151</v>
      </c>
      <c r="R188" s="55" t="s">
        <v>873</v>
      </c>
      <c r="S188" s="3" t="s">
        <v>404</v>
      </c>
      <c r="T188" s="43">
        <v>40490</v>
      </c>
      <c r="U188" s="3" t="s">
        <v>404</v>
      </c>
      <c r="V188" s="43">
        <v>40490</v>
      </c>
      <c r="W188" s="74">
        <v>0</v>
      </c>
      <c r="X188" s="9">
        <v>40283</v>
      </c>
      <c r="Y188" s="9"/>
      <c r="Z188" s="24" t="s">
        <v>393</v>
      </c>
      <c r="AA188" s="16"/>
    </row>
    <row r="189" spans="1:27" ht="14.25" customHeight="1" x14ac:dyDescent="0.4">
      <c r="B189" s="22">
        <v>0</v>
      </c>
      <c r="C189" s="22" t="s">
        <v>2165</v>
      </c>
      <c r="D189" s="22">
        <v>0</v>
      </c>
      <c r="E189" s="24" t="s">
        <v>26</v>
      </c>
      <c r="F189" s="24" t="s">
        <v>393</v>
      </c>
      <c r="G189" s="24">
        <v>40295</v>
      </c>
      <c r="H189" s="23">
        <v>0</v>
      </c>
      <c r="I189" s="23">
        <v>40269</v>
      </c>
      <c r="J189" s="37">
        <v>14</v>
      </c>
      <c r="K189" s="24" t="s">
        <v>412</v>
      </c>
      <c r="L189" s="24" t="s">
        <v>1724</v>
      </c>
      <c r="M189" s="24">
        <v>40269</v>
      </c>
      <c r="N189" s="22" t="s">
        <v>1704</v>
      </c>
      <c r="O189" s="4">
        <v>9100506</v>
      </c>
      <c r="P189" s="22">
        <v>715</v>
      </c>
      <c r="Q189" s="22">
        <v>0</v>
      </c>
      <c r="R189" s="55"/>
      <c r="S189" s="91" t="s">
        <v>404</v>
      </c>
      <c r="T189" s="94">
        <v>40312</v>
      </c>
      <c r="U189" s="91" t="s">
        <v>404</v>
      </c>
      <c r="V189" s="94">
        <v>40377</v>
      </c>
      <c r="W189" s="74">
        <v>0</v>
      </c>
      <c r="X189" s="9">
        <v>40340</v>
      </c>
      <c r="Y189" s="9" t="s">
        <v>553</v>
      </c>
      <c r="Z189" s="24" t="s">
        <v>393</v>
      </c>
      <c r="AA189" s="16"/>
    </row>
    <row r="190" spans="1:27" ht="14.25" customHeight="1" x14ac:dyDescent="0.4">
      <c r="B190" s="22">
        <v>0</v>
      </c>
      <c r="C190" s="22" t="s">
        <v>2165</v>
      </c>
      <c r="D190" s="22">
        <v>0</v>
      </c>
      <c r="E190" s="24">
        <v>40294</v>
      </c>
      <c r="F190" s="24" t="s">
        <v>393</v>
      </c>
      <c r="G190" s="24">
        <v>40291</v>
      </c>
      <c r="H190" s="23">
        <v>0</v>
      </c>
      <c r="I190" s="23">
        <v>40269</v>
      </c>
      <c r="J190" s="37">
        <v>15</v>
      </c>
      <c r="K190" s="24" t="s">
        <v>412</v>
      </c>
      <c r="L190" s="24" t="s">
        <v>1724</v>
      </c>
      <c r="M190" s="24">
        <v>40269</v>
      </c>
      <c r="N190" s="22" t="s">
        <v>1704</v>
      </c>
      <c r="O190" s="4">
        <v>9100507</v>
      </c>
      <c r="P190" s="22">
        <v>1010</v>
      </c>
      <c r="Q190" s="22">
        <v>0</v>
      </c>
      <c r="R190" s="91"/>
      <c r="S190" s="91" t="s">
        <v>404</v>
      </c>
      <c r="T190" s="94">
        <v>40312</v>
      </c>
      <c r="U190" s="91" t="s">
        <v>404</v>
      </c>
      <c r="V190" s="92">
        <v>40377</v>
      </c>
      <c r="W190" s="74">
        <v>0</v>
      </c>
      <c r="X190" s="9">
        <v>40375</v>
      </c>
      <c r="Y190" s="9"/>
      <c r="Z190" s="24" t="s">
        <v>393</v>
      </c>
      <c r="AA190" s="16"/>
    </row>
    <row r="191" spans="1:27" ht="14.25" customHeight="1" x14ac:dyDescent="0.4">
      <c r="B191" s="22">
        <v>0</v>
      </c>
      <c r="C191" s="22" t="s">
        <v>2165</v>
      </c>
      <c r="D191" s="22">
        <v>0</v>
      </c>
      <c r="E191" s="24">
        <v>40338</v>
      </c>
      <c r="F191" s="24" t="s">
        <v>393</v>
      </c>
      <c r="G191" s="24">
        <v>40346</v>
      </c>
      <c r="H191" s="23">
        <v>0</v>
      </c>
      <c r="I191" s="23">
        <v>40330</v>
      </c>
      <c r="J191" s="37">
        <v>7</v>
      </c>
      <c r="K191" s="24" t="s">
        <v>412</v>
      </c>
      <c r="L191" s="24" t="s">
        <v>1724</v>
      </c>
      <c r="M191" s="24">
        <v>40315</v>
      </c>
      <c r="N191" s="22" t="s">
        <v>1704</v>
      </c>
      <c r="O191" s="4">
        <v>9101004</v>
      </c>
      <c r="P191" s="22">
        <v>1010</v>
      </c>
      <c r="Q191" s="22">
        <v>0</v>
      </c>
      <c r="R191" s="55"/>
      <c r="S191" s="91" t="s">
        <v>404</v>
      </c>
      <c r="T191" s="94">
        <v>40954</v>
      </c>
      <c r="U191" s="91" t="s">
        <v>404</v>
      </c>
      <c r="V191" s="92">
        <v>40954</v>
      </c>
      <c r="W191" s="74">
        <v>0</v>
      </c>
      <c r="X191" s="9"/>
      <c r="Y191" s="9"/>
      <c r="Z191" s="24" t="s">
        <v>393</v>
      </c>
      <c r="AA191" s="16"/>
    </row>
    <row r="192" spans="1:27" ht="14.25" customHeight="1" x14ac:dyDescent="0.4">
      <c r="B192" s="22">
        <v>0</v>
      </c>
      <c r="C192" s="22" t="s">
        <v>2165</v>
      </c>
      <c r="D192" s="22">
        <v>0</v>
      </c>
      <c r="E192" s="24">
        <v>40052</v>
      </c>
      <c r="F192" s="24" t="s">
        <v>393</v>
      </c>
      <c r="G192" s="24">
        <v>40060</v>
      </c>
      <c r="H192" s="23">
        <v>0</v>
      </c>
      <c r="I192" s="23">
        <v>40026</v>
      </c>
      <c r="J192" s="37">
        <v>40</v>
      </c>
      <c r="K192" s="24" t="s">
        <v>412</v>
      </c>
      <c r="L192" s="24" t="s">
        <v>1991</v>
      </c>
      <c r="M192" s="24">
        <v>40031</v>
      </c>
      <c r="N192" s="22" t="s">
        <v>592</v>
      </c>
      <c r="O192" s="4">
        <v>9100164</v>
      </c>
      <c r="P192" s="22">
        <v>1010</v>
      </c>
      <c r="Q192" s="22" t="s">
        <v>1348</v>
      </c>
      <c r="R192" s="55"/>
      <c r="S192" s="91" t="s">
        <v>404</v>
      </c>
      <c r="T192" s="94">
        <v>40116</v>
      </c>
      <c r="U192" s="91" t="s">
        <v>404</v>
      </c>
      <c r="V192" s="92">
        <v>40171</v>
      </c>
      <c r="W192" s="75">
        <v>10</v>
      </c>
      <c r="X192" s="28">
        <v>40130</v>
      </c>
      <c r="Y192" s="28"/>
      <c r="Z192" s="24" t="s">
        <v>393</v>
      </c>
      <c r="AA192" s="16"/>
    </row>
    <row r="193" spans="1:27" ht="14.25" customHeight="1" x14ac:dyDescent="0.4">
      <c r="B193" s="22">
        <v>0</v>
      </c>
      <c r="C193" s="22" t="s">
        <v>2165</v>
      </c>
      <c r="D193" s="22">
        <v>0</v>
      </c>
      <c r="E193" s="24">
        <v>40053</v>
      </c>
      <c r="F193" s="24" t="s">
        <v>393</v>
      </c>
      <c r="G193" s="24">
        <v>40064</v>
      </c>
      <c r="H193" s="23">
        <v>0</v>
      </c>
      <c r="I193" s="23">
        <v>40057</v>
      </c>
      <c r="J193" s="37">
        <v>1</v>
      </c>
      <c r="K193" s="24" t="s">
        <v>412</v>
      </c>
      <c r="L193" s="24" t="s">
        <v>1991</v>
      </c>
      <c r="M193" s="24">
        <v>40031</v>
      </c>
      <c r="N193" s="22" t="s">
        <v>592</v>
      </c>
      <c r="O193" s="4">
        <v>9100165</v>
      </c>
      <c r="P193" s="22">
        <v>1210</v>
      </c>
      <c r="Q193" s="22" t="s">
        <v>1349</v>
      </c>
      <c r="R193" s="55"/>
      <c r="S193" s="91" t="s">
        <v>404</v>
      </c>
      <c r="T193" s="94">
        <v>40222</v>
      </c>
      <c r="U193" s="91" t="s">
        <v>404</v>
      </c>
      <c r="V193" s="92">
        <v>40224</v>
      </c>
      <c r="W193" s="75">
        <v>30</v>
      </c>
      <c r="X193" s="28">
        <v>40130</v>
      </c>
      <c r="Y193" s="28"/>
      <c r="Z193" s="24" t="s">
        <v>393</v>
      </c>
      <c r="AA193" s="16"/>
    </row>
    <row r="194" spans="1:27" ht="14.25" customHeight="1" x14ac:dyDescent="0.4">
      <c r="B194" s="22">
        <v>0</v>
      </c>
      <c r="C194" s="22" t="s">
        <v>2165</v>
      </c>
      <c r="D194" s="22">
        <v>0</v>
      </c>
      <c r="E194" s="24">
        <v>40083</v>
      </c>
      <c r="F194" s="24" t="s">
        <v>393</v>
      </c>
      <c r="G194" s="24">
        <v>40086</v>
      </c>
      <c r="H194" s="23">
        <v>0</v>
      </c>
      <c r="I194" s="23">
        <v>40057</v>
      </c>
      <c r="J194" s="37">
        <v>41</v>
      </c>
      <c r="K194" s="24" t="s">
        <v>412</v>
      </c>
      <c r="L194" s="24" t="s">
        <v>1997</v>
      </c>
      <c r="M194" s="24">
        <v>40031</v>
      </c>
      <c r="N194" s="22" t="s">
        <v>592</v>
      </c>
      <c r="O194" s="4">
        <v>9100173</v>
      </c>
      <c r="P194" s="22">
        <v>1010</v>
      </c>
      <c r="Q194" s="22" t="s">
        <v>698</v>
      </c>
      <c r="R194" s="55"/>
      <c r="S194" s="91" t="s">
        <v>404</v>
      </c>
      <c r="T194" s="94">
        <v>40224</v>
      </c>
      <c r="U194" s="91" t="s">
        <v>404</v>
      </c>
      <c r="V194" s="92">
        <v>40245</v>
      </c>
      <c r="W194" s="74">
        <v>0</v>
      </c>
      <c r="X194" s="28">
        <v>40161</v>
      </c>
      <c r="Y194" s="28"/>
      <c r="Z194" s="24" t="s">
        <v>393</v>
      </c>
      <c r="AA194" s="16"/>
    </row>
    <row r="195" spans="1:27" ht="14.25" customHeight="1" x14ac:dyDescent="0.4">
      <c r="B195" s="22">
        <v>0</v>
      </c>
      <c r="C195" s="22" t="s">
        <v>2165</v>
      </c>
      <c r="D195" s="22">
        <v>0</v>
      </c>
      <c r="E195" s="24">
        <v>40084</v>
      </c>
      <c r="F195" s="24" t="s">
        <v>393</v>
      </c>
      <c r="G195" s="24">
        <v>40093</v>
      </c>
      <c r="H195" s="23">
        <v>0</v>
      </c>
      <c r="I195" s="23">
        <v>40087</v>
      </c>
      <c r="J195" s="37">
        <v>1</v>
      </c>
      <c r="K195" s="24" t="s">
        <v>412</v>
      </c>
      <c r="L195" s="24" t="s">
        <v>1997</v>
      </c>
      <c r="M195" s="24">
        <v>40031</v>
      </c>
      <c r="N195" s="22" t="s">
        <v>592</v>
      </c>
      <c r="O195" s="4">
        <v>9100174</v>
      </c>
      <c r="P195" s="22">
        <v>1010</v>
      </c>
      <c r="Q195" s="22" t="s">
        <v>699</v>
      </c>
      <c r="R195" s="76"/>
      <c r="S195" s="91" t="s">
        <v>404</v>
      </c>
      <c r="T195" s="151">
        <v>40226</v>
      </c>
      <c r="U195" s="55" t="s">
        <v>404</v>
      </c>
      <c r="V195" s="93">
        <v>40245</v>
      </c>
      <c r="W195" s="74">
        <v>0</v>
      </c>
      <c r="X195" s="28">
        <v>40161</v>
      </c>
      <c r="Y195" s="28"/>
      <c r="Z195" s="24" t="s">
        <v>393</v>
      </c>
      <c r="AA195" s="16"/>
    </row>
    <row r="196" spans="1:27" ht="14.25" customHeight="1" x14ac:dyDescent="0.4">
      <c r="B196" s="22">
        <v>0</v>
      </c>
      <c r="C196" s="22" t="s">
        <v>2165</v>
      </c>
      <c r="D196" s="22">
        <v>0</v>
      </c>
      <c r="E196" s="24">
        <v>40134</v>
      </c>
      <c r="F196" s="24" t="s">
        <v>393</v>
      </c>
      <c r="G196" s="24">
        <v>40154</v>
      </c>
      <c r="H196" s="23">
        <v>0</v>
      </c>
      <c r="I196" s="23">
        <v>40118</v>
      </c>
      <c r="J196" s="37">
        <v>19</v>
      </c>
      <c r="K196" s="24" t="s">
        <v>412</v>
      </c>
      <c r="L196" s="24" t="s">
        <v>27</v>
      </c>
      <c r="M196" s="24">
        <v>40031</v>
      </c>
      <c r="N196" s="22" t="s">
        <v>592</v>
      </c>
      <c r="O196" s="4">
        <v>9100175</v>
      </c>
      <c r="P196" s="22">
        <v>1210</v>
      </c>
      <c r="Q196" s="22" t="s">
        <v>846</v>
      </c>
      <c r="R196" s="55"/>
      <c r="S196" s="91" t="s">
        <v>404</v>
      </c>
      <c r="T196" s="94">
        <v>40171</v>
      </c>
      <c r="U196" s="91" t="s">
        <v>404</v>
      </c>
      <c r="V196" s="92">
        <v>40171</v>
      </c>
      <c r="W196" s="74">
        <v>0</v>
      </c>
      <c r="X196" s="28">
        <v>40161</v>
      </c>
      <c r="Y196" s="28"/>
      <c r="Z196" s="24" t="s">
        <v>393</v>
      </c>
      <c r="AA196" s="16"/>
    </row>
    <row r="197" spans="1:27" ht="14.25" customHeight="1" x14ac:dyDescent="0.4">
      <c r="B197" s="22">
        <v>0</v>
      </c>
      <c r="C197" s="22" t="s">
        <v>2165</v>
      </c>
      <c r="D197" s="22">
        <v>0</v>
      </c>
      <c r="E197" s="24">
        <v>40135</v>
      </c>
      <c r="F197" s="24" t="s">
        <v>393</v>
      </c>
      <c r="G197" s="24">
        <v>40155</v>
      </c>
      <c r="H197" s="23">
        <v>0</v>
      </c>
      <c r="I197" s="23">
        <v>40118</v>
      </c>
      <c r="J197" s="37">
        <v>20</v>
      </c>
      <c r="K197" s="24" t="s">
        <v>412</v>
      </c>
      <c r="L197" s="24" t="s">
        <v>27</v>
      </c>
      <c r="M197" s="24">
        <v>40031</v>
      </c>
      <c r="N197" s="22" t="s">
        <v>592</v>
      </c>
      <c r="O197" s="4">
        <v>9100176</v>
      </c>
      <c r="P197" s="22">
        <v>1210</v>
      </c>
      <c r="Q197" s="22" t="s">
        <v>1575</v>
      </c>
      <c r="R197" s="55" t="s">
        <v>2154</v>
      </c>
      <c r="S197" s="91" t="s">
        <v>404</v>
      </c>
      <c r="T197" s="42">
        <v>40869</v>
      </c>
      <c r="U197" s="3" t="s">
        <v>404</v>
      </c>
      <c r="V197" s="28">
        <v>40869</v>
      </c>
      <c r="W197" s="74">
        <v>0</v>
      </c>
      <c r="X197" s="28">
        <v>40161</v>
      </c>
      <c r="Y197" s="28"/>
      <c r="Z197" s="24" t="s">
        <v>393</v>
      </c>
      <c r="AA197" s="16"/>
    </row>
    <row r="198" spans="1:27" ht="14.25" customHeight="1" x14ac:dyDescent="0.4">
      <c r="B198" s="22">
        <v>0</v>
      </c>
      <c r="C198" s="22" t="s">
        <v>2165</v>
      </c>
      <c r="D198" s="22">
        <v>0</v>
      </c>
      <c r="E198" s="24">
        <v>40246</v>
      </c>
      <c r="F198" s="24" t="s">
        <v>393</v>
      </c>
      <c r="G198" s="24">
        <v>40253</v>
      </c>
      <c r="H198" s="23">
        <v>0</v>
      </c>
      <c r="I198" s="23">
        <v>40238</v>
      </c>
      <c r="J198" s="37">
        <v>4</v>
      </c>
      <c r="K198" s="24" t="s">
        <v>412</v>
      </c>
      <c r="L198" s="24" t="s">
        <v>2002</v>
      </c>
      <c r="M198" s="24">
        <v>40031</v>
      </c>
      <c r="N198" s="22" t="s">
        <v>592</v>
      </c>
      <c r="O198" s="4">
        <v>9100177</v>
      </c>
      <c r="P198" s="22">
        <v>1010</v>
      </c>
      <c r="Q198" s="22" t="s">
        <v>810</v>
      </c>
      <c r="R198" s="55"/>
      <c r="S198" s="91" t="s">
        <v>404</v>
      </c>
      <c r="T198" s="94">
        <v>40481</v>
      </c>
      <c r="U198" s="91" t="s">
        <v>404</v>
      </c>
      <c r="V198" s="92">
        <v>40481</v>
      </c>
      <c r="W198" s="74">
        <v>0</v>
      </c>
      <c r="X198" s="28"/>
      <c r="Y198" s="28"/>
      <c r="Z198" s="24" t="s">
        <v>393</v>
      </c>
      <c r="AA198" s="16"/>
    </row>
    <row r="199" spans="1:27" ht="14.25" customHeight="1" x14ac:dyDescent="0.4">
      <c r="A199" s="4"/>
      <c r="B199" s="22">
        <v>0</v>
      </c>
      <c r="C199" s="22" t="s">
        <v>2165</v>
      </c>
      <c r="D199" s="22">
        <v>0</v>
      </c>
      <c r="E199" s="24">
        <v>0</v>
      </c>
      <c r="F199" s="24" t="s">
        <v>392</v>
      </c>
      <c r="G199" s="24">
        <v>40373</v>
      </c>
      <c r="H199" s="23">
        <v>0</v>
      </c>
      <c r="I199" s="23">
        <v>40360</v>
      </c>
      <c r="J199" s="37">
        <v>5</v>
      </c>
      <c r="K199" s="24" t="s">
        <v>412</v>
      </c>
      <c r="L199" s="24">
        <v>0</v>
      </c>
      <c r="M199" s="24">
        <v>0</v>
      </c>
      <c r="N199" s="22" t="s">
        <v>592</v>
      </c>
      <c r="O199" s="4">
        <v>9101014</v>
      </c>
      <c r="P199" s="22">
        <v>1010</v>
      </c>
      <c r="Q199" s="22" t="s">
        <v>70</v>
      </c>
      <c r="R199" s="55"/>
      <c r="S199" s="91" t="s">
        <v>404</v>
      </c>
      <c r="T199" s="94">
        <v>40968</v>
      </c>
      <c r="U199" s="91" t="s">
        <v>404</v>
      </c>
      <c r="V199" s="92">
        <v>40968</v>
      </c>
      <c r="W199" s="74">
        <v>0</v>
      </c>
      <c r="X199" s="9"/>
      <c r="Y199" s="9"/>
      <c r="Z199" s="24" t="s">
        <v>392</v>
      </c>
      <c r="AA199" s="16"/>
    </row>
    <row r="200" spans="1:27" ht="14.25" customHeight="1" x14ac:dyDescent="0.4">
      <c r="B200" s="22">
        <v>0</v>
      </c>
      <c r="C200" s="22">
        <v>0</v>
      </c>
      <c r="D200" s="22" t="s">
        <v>23</v>
      </c>
      <c r="E200" s="24">
        <v>40008</v>
      </c>
      <c r="F200" s="24" t="s">
        <v>393</v>
      </c>
      <c r="G200" s="24">
        <v>40017</v>
      </c>
      <c r="H200" s="23">
        <v>0</v>
      </c>
      <c r="I200" s="23">
        <v>39995</v>
      </c>
      <c r="J200" s="37">
        <v>10</v>
      </c>
      <c r="K200" s="24" t="s">
        <v>550</v>
      </c>
      <c r="L200" s="24">
        <v>39995</v>
      </c>
      <c r="M200" s="24">
        <v>39989</v>
      </c>
      <c r="N200" s="22" t="s">
        <v>576</v>
      </c>
      <c r="O200" s="4">
        <v>9100041</v>
      </c>
      <c r="P200" s="22">
        <v>715</v>
      </c>
      <c r="Q200" s="22">
        <v>0</v>
      </c>
      <c r="R200" s="4" t="s">
        <v>1379</v>
      </c>
      <c r="S200" s="3" t="s">
        <v>404</v>
      </c>
      <c r="T200" s="9">
        <v>40163</v>
      </c>
      <c r="U200" s="3" t="s">
        <v>404</v>
      </c>
      <c r="V200" s="9"/>
      <c r="W200" s="74">
        <v>0</v>
      </c>
      <c r="X200" s="28"/>
      <c r="Y200" s="28"/>
      <c r="Z200" s="24" t="s">
        <v>393</v>
      </c>
      <c r="AA200" s="16"/>
    </row>
    <row r="201" spans="1:27" ht="14.25" customHeight="1" x14ac:dyDescent="0.4">
      <c r="B201" s="22">
        <v>0</v>
      </c>
      <c r="C201" s="22">
        <v>0</v>
      </c>
      <c r="D201" s="22">
        <v>0</v>
      </c>
      <c r="E201" s="24">
        <v>40022</v>
      </c>
      <c r="F201" s="24" t="s">
        <v>393</v>
      </c>
      <c r="G201" s="24">
        <v>40025</v>
      </c>
      <c r="H201" s="23">
        <v>0</v>
      </c>
      <c r="I201" s="23">
        <v>39995</v>
      </c>
      <c r="J201" s="37">
        <v>22</v>
      </c>
      <c r="K201" s="24" t="s">
        <v>550</v>
      </c>
      <c r="L201" s="24">
        <v>39996</v>
      </c>
      <c r="M201" s="24">
        <v>39990</v>
      </c>
      <c r="N201" s="22" t="s">
        <v>576</v>
      </c>
      <c r="O201" s="4">
        <v>9100042</v>
      </c>
      <c r="P201" s="22">
        <v>715</v>
      </c>
      <c r="Q201" s="22" t="s">
        <v>1576</v>
      </c>
      <c r="R201" s="4" t="s">
        <v>1333</v>
      </c>
      <c r="S201" s="4" t="s">
        <v>404</v>
      </c>
      <c r="T201" s="57">
        <v>40081</v>
      </c>
      <c r="U201" s="4" t="s">
        <v>404</v>
      </c>
      <c r="V201" s="58" t="s">
        <v>1334</v>
      </c>
      <c r="W201" s="74">
        <v>0</v>
      </c>
      <c r="X201" s="28"/>
      <c r="Y201" s="28"/>
      <c r="Z201" s="24" t="s">
        <v>393</v>
      </c>
      <c r="AA201" s="16"/>
    </row>
    <row r="202" spans="1:27" ht="14.25" customHeight="1" x14ac:dyDescent="0.4">
      <c r="B202" s="22">
        <v>0</v>
      </c>
      <c r="C202" s="22">
        <v>0</v>
      </c>
      <c r="D202" s="22">
        <v>0</v>
      </c>
      <c r="E202" s="24">
        <v>40022</v>
      </c>
      <c r="F202" s="24" t="s">
        <v>393</v>
      </c>
      <c r="G202" s="24">
        <v>40028</v>
      </c>
      <c r="H202" s="23">
        <v>0</v>
      </c>
      <c r="I202" s="23">
        <v>39995</v>
      </c>
      <c r="J202" s="37">
        <v>23</v>
      </c>
      <c r="K202" s="24" t="s">
        <v>550</v>
      </c>
      <c r="L202" s="24">
        <v>39997</v>
      </c>
      <c r="M202" s="24">
        <v>39991</v>
      </c>
      <c r="N202" s="22" t="s">
        <v>576</v>
      </c>
      <c r="O202" s="4">
        <v>9100043</v>
      </c>
      <c r="P202" s="22">
        <v>715</v>
      </c>
      <c r="Q202" s="22" t="s">
        <v>1719</v>
      </c>
      <c r="R202" s="4" t="s">
        <v>1358</v>
      </c>
      <c r="S202" s="4" t="s">
        <v>404</v>
      </c>
      <c r="T202" s="58">
        <v>40288</v>
      </c>
      <c r="U202" s="4" t="s">
        <v>404</v>
      </c>
      <c r="V202" s="58">
        <v>40288</v>
      </c>
      <c r="W202" s="84">
        <v>0</v>
      </c>
      <c r="X202" s="9"/>
      <c r="Y202" s="9"/>
      <c r="Z202" s="24" t="s">
        <v>393</v>
      </c>
      <c r="AA202" s="16"/>
    </row>
    <row r="203" spans="1:27" ht="14.25" customHeight="1" x14ac:dyDescent="0.4">
      <c r="B203" s="22">
        <v>0</v>
      </c>
      <c r="C203" s="22">
        <v>0</v>
      </c>
      <c r="D203" s="22">
        <v>0</v>
      </c>
      <c r="E203" s="24">
        <v>40023</v>
      </c>
      <c r="F203" s="24" t="s">
        <v>393</v>
      </c>
      <c r="G203" s="24">
        <v>40029</v>
      </c>
      <c r="H203" s="23">
        <v>0</v>
      </c>
      <c r="I203" s="23">
        <v>39995</v>
      </c>
      <c r="J203" s="37">
        <v>24</v>
      </c>
      <c r="K203" s="24" t="s">
        <v>550</v>
      </c>
      <c r="L203" s="24">
        <v>39998</v>
      </c>
      <c r="M203" s="24">
        <v>39992</v>
      </c>
      <c r="N203" s="22" t="s">
        <v>576</v>
      </c>
      <c r="O203" s="4">
        <v>9100044</v>
      </c>
      <c r="P203" s="22">
        <v>715</v>
      </c>
      <c r="Q203" s="77" t="s">
        <v>1694</v>
      </c>
      <c r="R203" s="4" t="s">
        <v>1358</v>
      </c>
      <c r="S203" s="4" t="s">
        <v>404</v>
      </c>
      <c r="T203" s="57">
        <v>40261</v>
      </c>
      <c r="U203" s="4" t="s">
        <v>404</v>
      </c>
      <c r="V203" s="57">
        <v>40263</v>
      </c>
      <c r="W203" s="74">
        <v>0</v>
      </c>
      <c r="X203" s="9"/>
      <c r="Y203" s="9"/>
      <c r="Z203" s="24" t="s">
        <v>393</v>
      </c>
      <c r="AA203" s="16"/>
    </row>
    <row r="204" spans="1:27" ht="14.25" customHeight="1" x14ac:dyDescent="0.4">
      <c r="B204" s="22">
        <v>0</v>
      </c>
      <c r="C204" s="22" t="s">
        <v>2165</v>
      </c>
      <c r="D204" s="22">
        <v>0</v>
      </c>
      <c r="E204" s="24">
        <v>40025</v>
      </c>
      <c r="F204" s="24" t="s">
        <v>393</v>
      </c>
      <c r="G204" s="24">
        <v>40031</v>
      </c>
      <c r="H204" s="23">
        <v>0</v>
      </c>
      <c r="I204" s="23">
        <v>40026</v>
      </c>
      <c r="J204" s="37">
        <v>3</v>
      </c>
      <c r="K204" s="24" t="s">
        <v>550</v>
      </c>
      <c r="L204" s="24">
        <v>0</v>
      </c>
      <c r="M204" s="24">
        <v>40007</v>
      </c>
      <c r="N204" s="22" t="s">
        <v>576</v>
      </c>
      <c r="O204" s="4">
        <v>9100052</v>
      </c>
      <c r="P204" s="22">
        <v>1010</v>
      </c>
      <c r="Q204" s="77" t="s">
        <v>1464</v>
      </c>
      <c r="R204" s="47" t="s">
        <v>1463</v>
      </c>
      <c r="S204" s="114" t="s">
        <v>404</v>
      </c>
      <c r="T204" s="138">
        <v>40254</v>
      </c>
      <c r="U204" s="114" t="s">
        <v>404</v>
      </c>
      <c r="V204" s="138">
        <v>40254</v>
      </c>
      <c r="W204" s="86">
        <v>0</v>
      </c>
      <c r="X204" s="28"/>
      <c r="Y204" s="28"/>
      <c r="Z204" s="24" t="s">
        <v>393</v>
      </c>
      <c r="AA204" s="16"/>
    </row>
    <row r="205" spans="1:27" ht="14.25" customHeight="1" x14ac:dyDescent="0.4">
      <c r="B205" s="22">
        <v>0</v>
      </c>
      <c r="C205" s="22" t="s">
        <v>2165</v>
      </c>
      <c r="D205" s="22">
        <v>0</v>
      </c>
      <c r="E205" s="24">
        <v>40028</v>
      </c>
      <c r="F205" s="24" t="s">
        <v>393</v>
      </c>
      <c r="G205" s="24">
        <v>40032</v>
      </c>
      <c r="H205" s="23">
        <v>0</v>
      </c>
      <c r="I205" s="23">
        <v>40026</v>
      </c>
      <c r="J205" s="37">
        <v>4</v>
      </c>
      <c r="K205" s="24" t="s">
        <v>550</v>
      </c>
      <c r="L205" s="24">
        <v>0</v>
      </c>
      <c r="M205" s="24">
        <v>40007</v>
      </c>
      <c r="N205" s="22" t="s">
        <v>576</v>
      </c>
      <c r="O205" s="4">
        <v>9100053</v>
      </c>
      <c r="P205" s="22">
        <v>715</v>
      </c>
      <c r="Q205" s="77" t="s">
        <v>1382</v>
      </c>
      <c r="R205" s="47" t="s">
        <v>264</v>
      </c>
      <c r="S205" s="47" t="s">
        <v>404</v>
      </c>
      <c r="T205" s="144">
        <v>40689</v>
      </c>
      <c r="U205" s="47" t="s">
        <v>404</v>
      </c>
      <c r="V205" s="85">
        <v>40689</v>
      </c>
      <c r="W205" s="86">
        <v>0</v>
      </c>
      <c r="X205" s="28"/>
      <c r="Y205" s="28"/>
      <c r="Z205" s="24" t="s">
        <v>393</v>
      </c>
      <c r="AA205" s="16"/>
    </row>
    <row r="206" spans="1:27" ht="14.25" customHeight="1" x14ac:dyDescent="0.4">
      <c r="B206" s="22">
        <v>0</v>
      </c>
      <c r="C206" s="22" t="s">
        <v>2102</v>
      </c>
      <c r="D206" s="22">
        <v>0</v>
      </c>
      <c r="E206" s="24">
        <v>40077</v>
      </c>
      <c r="F206" s="24" t="s">
        <v>393</v>
      </c>
      <c r="G206" s="24">
        <v>40078</v>
      </c>
      <c r="H206" s="23">
        <v>0</v>
      </c>
      <c r="I206" s="23">
        <v>40057</v>
      </c>
      <c r="J206" s="37">
        <v>31</v>
      </c>
      <c r="K206" s="24" t="s">
        <v>550</v>
      </c>
      <c r="L206" s="24" t="s">
        <v>1993</v>
      </c>
      <c r="M206" s="24">
        <v>40016</v>
      </c>
      <c r="N206" s="22" t="s">
        <v>576</v>
      </c>
      <c r="O206" s="4">
        <v>9100083</v>
      </c>
      <c r="P206" s="22">
        <v>715</v>
      </c>
      <c r="Q206" s="22" t="s">
        <v>1432</v>
      </c>
      <c r="R206" s="4" t="s">
        <v>1432</v>
      </c>
      <c r="S206" s="4" t="s">
        <v>404</v>
      </c>
      <c r="T206" s="57">
        <v>40230</v>
      </c>
      <c r="U206" s="4"/>
      <c r="V206" s="59"/>
      <c r="W206" s="74">
        <v>0</v>
      </c>
      <c r="X206" s="9"/>
      <c r="Y206" s="28"/>
      <c r="Z206" s="24" t="s">
        <v>393</v>
      </c>
      <c r="AA206" s="16"/>
    </row>
    <row r="207" spans="1:27" ht="14.25" customHeight="1" x14ac:dyDescent="0.4">
      <c r="B207" s="22">
        <v>0</v>
      </c>
      <c r="C207" s="22" t="s">
        <v>2102</v>
      </c>
      <c r="D207" s="22">
        <v>0</v>
      </c>
      <c r="E207" s="24">
        <v>40078</v>
      </c>
      <c r="F207" s="24" t="s">
        <v>393</v>
      </c>
      <c r="G207" s="24">
        <v>40080</v>
      </c>
      <c r="H207" s="23">
        <v>0</v>
      </c>
      <c r="I207" s="23">
        <v>40057</v>
      </c>
      <c r="J207" s="37">
        <v>32</v>
      </c>
      <c r="K207" s="24" t="s">
        <v>550</v>
      </c>
      <c r="L207" s="24" t="s">
        <v>1993</v>
      </c>
      <c r="M207" s="24">
        <v>40016</v>
      </c>
      <c r="N207" s="22" t="s">
        <v>576</v>
      </c>
      <c r="O207" s="4">
        <v>9100084</v>
      </c>
      <c r="P207" s="22">
        <v>715</v>
      </c>
      <c r="Q207" s="22">
        <v>1020</v>
      </c>
      <c r="R207" s="4" t="s">
        <v>1374</v>
      </c>
      <c r="S207" s="4" t="s">
        <v>404</v>
      </c>
      <c r="T207" s="57">
        <v>40137</v>
      </c>
      <c r="U207" s="4" t="s">
        <v>404</v>
      </c>
      <c r="V207" s="57"/>
      <c r="W207" s="74">
        <v>0</v>
      </c>
      <c r="X207" s="9"/>
      <c r="Y207" s="28"/>
      <c r="Z207" s="24" t="s">
        <v>393</v>
      </c>
      <c r="AA207" s="16"/>
    </row>
    <row r="208" spans="1:27" ht="14.25" customHeight="1" x14ac:dyDescent="0.4">
      <c r="B208" s="22">
        <v>0</v>
      </c>
      <c r="C208" s="22" t="s">
        <v>2102</v>
      </c>
      <c r="D208" s="22">
        <v>0</v>
      </c>
      <c r="E208" s="24">
        <v>40086</v>
      </c>
      <c r="F208" s="24" t="s">
        <v>393</v>
      </c>
      <c r="G208" s="24">
        <v>40088</v>
      </c>
      <c r="H208" s="23">
        <v>0</v>
      </c>
      <c r="I208" s="23">
        <v>40087</v>
      </c>
      <c r="J208" s="37">
        <v>4</v>
      </c>
      <c r="K208" s="24" t="s">
        <v>550</v>
      </c>
      <c r="L208" s="24" t="s">
        <v>1993</v>
      </c>
      <c r="M208" s="24">
        <v>40016</v>
      </c>
      <c r="N208" s="22" t="s">
        <v>576</v>
      </c>
      <c r="O208" s="4">
        <v>9100085</v>
      </c>
      <c r="P208" s="22">
        <v>715</v>
      </c>
      <c r="Q208" s="22" t="s">
        <v>1577</v>
      </c>
      <c r="R208" s="4" t="s">
        <v>1381</v>
      </c>
      <c r="S208" s="4" t="s">
        <v>404</v>
      </c>
      <c r="T208" s="57">
        <v>40152</v>
      </c>
      <c r="U208" s="4" t="s">
        <v>404</v>
      </c>
      <c r="V208" s="4"/>
      <c r="W208" s="74">
        <v>0</v>
      </c>
      <c r="X208" s="28"/>
      <c r="Y208" s="28"/>
      <c r="Z208" s="24" t="s">
        <v>393</v>
      </c>
      <c r="AA208" s="16"/>
    </row>
    <row r="209" spans="1:27" ht="14.25" customHeight="1" x14ac:dyDescent="0.4">
      <c r="B209" s="22">
        <v>0</v>
      </c>
      <c r="C209" s="22" t="s">
        <v>2165</v>
      </c>
      <c r="D209" s="22">
        <v>0</v>
      </c>
      <c r="E209" s="24">
        <v>40080</v>
      </c>
      <c r="F209" s="24" t="s">
        <v>393</v>
      </c>
      <c r="G209" s="24">
        <v>40086</v>
      </c>
      <c r="H209" s="23">
        <v>0</v>
      </c>
      <c r="I209" s="23">
        <v>40057</v>
      </c>
      <c r="J209" s="37">
        <v>37</v>
      </c>
      <c r="K209" s="24" t="s">
        <v>550</v>
      </c>
      <c r="L209" s="24" t="s">
        <v>1993</v>
      </c>
      <c r="M209" s="24">
        <v>40016</v>
      </c>
      <c r="N209" s="22" t="s">
        <v>576</v>
      </c>
      <c r="O209" s="4">
        <v>9100086</v>
      </c>
      <c r="P209" s="22">
        <v>1010</v>
      </c>
      <c r="Q209" s="22" t="s">
        <v>1578</v>
      </c>
      <c r="R209" s="4" t="s">
        <v>1335</v>
      </c>
      <c r="S209" s="4" t="s">
        <v>404</v>
      </c>
      <c r="T209" s="57">
        <v>40081</v>
      </c>
      <c r="U209" s="4" t="s">
        <v>404</v>
      </c>
      <c r="V209" s="4" t="s">
        <v>1334</v>
      </c>
      <c r="W209" s="74">
        <v>0</v>
      </c>
      <c r="X209" s="28"/>
      <c r="Y209" s="28"/>
      <c r="Z209" s="24" t="s">
        <v>393</v>
      </c>
      <c r="AA209" s="16"/>
    </row>
    <row r="210" spans="1:27" ht="14.25" customHeight="1" x14ac:dyDescent="0.4">
      <c r="A210" s="16"/>
      <c r="B210" s="22">
        <v>0</v>
      </c>
      <c r="C210" s="22">
        <v>0</v>
      </c>
      <c r="D210" s="22">
        <v>0</v>
      </c>
      <c r="E210" s="24">
        <v>40094</v>
      </c>
      <c r="F210" s="24" t="s">
        <v>393</v>
      </c>
      <c r="G210" s="24">
        <v>40099</v>
      </c>
      <c r="H210" s="23">
        <v>0</v>
      </c>
      <c r="I210" s="23">
        <v>40087</v>
      </c>
      <c r="J210" s="37">
        <v>15</v>
      </c>
      <c r="K210" s="24" t="s">
        <v>550</v>
      </c>
      <c r="L210" s="24" t="s">
        <v>1997</v>
      </c>
      <c r="M210" s="24">
        <v>40016</v>
      </c>
      <c r="N210" s="22" t="s">
        <v>576</v>
      </c>
      <c r="O210" s="4">
        <v>9100087</v>
      </c>
      <c r="P210" s="22">
        <v>1010</v>
      </c>
      <c r="Q210" s="22" t="s">
        <v>1579</v>
      </c>
      <c r="R210" s="4" t="s">
        <v>1359</v>
      </c>
      <c r="S210" s="4" t="s">
        <v>404</v>
      </c>
      <c r="T210" s="57">
        <v>40086</v>
      </c>
      <c r="U210" s="4" t="s">
        <v>404</v>
      </c>
      <c r="V210" s="57" t="s">
        <v>676</v>
      </c>
      <c r="W210" s="74">
        <v>0</v>
      </c>
      <c r="X210" s="9"/>
      <c r="Y210" s="28"/>
      <c r="Z210" s="24" t="s">
        <v>393</v>
      </c>
      <c r="AA210" s="16"/>
    </row>
    <row r="211" spans="1:27" ht="14.25" customHeight="1" x14ac:dyDescent="0.4">
      <c r="B211" s="22">
        <v>0</v>
      </c>
      <c r="C211" s="22">
        <v>0</v>
      </c>
      <c r="D211" s="22">
        <v>0</v>
      </c>
      <c r="E211" s="24">
        <v>40095</v>
      </c>
      <c r="F211" s="24" t="s">
        <v>393</v>
      </c>
      <c r="G211" s="24">
        <v>40101</v>
      </c>
      <c r="H211" s="23">
        <v>0</v>
      </c>
      <c r="I211" s="23">
        <v>40087</v>
      </c>
      <c r="J211" s="37">
        <v>16</v>
      </c>
      <c r="K211" s="24" t="s">
        <v>550</v>
      </c>
      <c r="L211" s="24" t="s">
        <v>1997</v>
      </c>
      <c r="M211" s="24">
        <v>40016</v>
      </c>
      <c r="N211" s="22" t="s">
        <v>576</v>
      </c>
      <c r="O211" s="4">
        <v>9100088</v>
      </c>
      <c r="P211" s="22">
        <v>1010</v>
      </c>
      <c r="Q211" s="22" t="s">
        <v>1580</v>
      </c>
      <c r="R211" s="4" t="s">
        <v>1336</v>
      </c>
      <c r="S211" s="4" t="s">
        <v>404</v>
      </c>
      <c r="T211" s="44">
        <v>40065</v>
      </c>
      <c r="U211" s="4" t="s">
        <v>404</v>
      </c>
      <c r="V211" s="9" t="s">
        <v>1334</v>
      </c>
      <c r="W211" s="74">
        <v>0</v>
      </c>
      <c r="X211" s="9"/>
      <c r="Y211" s="9"/>
      <c r="Z211" s="24" t="s">
        <v>393</v>
      </c>
      <c r="AA211" s="16"/>
    </row>
    <row r="212" spans="1:27" ht="14.25" customHeight="1" x14ac:dyDescent="0.4">
      <c r="B212" s="22">
        <v>0</v>
      </c>
      <c r="C212" s="22">
        <v>0</v>
      </c>
      <c r="D212" s="22">
        <v>0</v>
      </c>
      <c r="E212" s="24">
        <v>40093</v>
      </c>
      <c r="F212" s="24" t="s">
        <v>393</v>
      </c>
      <c r="G212" s="24">
        <v>40098</v>
      </c>
      <c r="H212" s="23">
        <v>0</v>
      </c>
      <c r="I212" s="23">
        <v>40087</v>
      </c>
      <c r="J212" s="37">
        <v>11</v>
      </c>
      <c r="K212" s="24" t="s">
        <v>550</v>
      </c>
      <c r="L212" s="24" t="s">
        <v>1997</v>
      </c>
      <c r="M212" s="24">
        <v>40016</v>
      </c>
      <c r="N212" s="22" t="s">
        <v>576</v>
      </c>
      <c r="O212" s="4">
        <v>9100089</v>
      </c>
      <c r="P212" s="22">
        <v>715</v>
      </c>
      <c r="Q212" s="22">
        <v>1001</v>
      </c>
      <c r="R212" s="4" t="s">
        <v>1375</v>
      </c>
      <c r="S212" s="4" t="s">
        <v>404</v>
      </c>
      <c r="T212" s="44">
        <v>40137</v>
      </c>
      <c r="U212" s="4" t="s">
        <v>404</v>
      </c>
      <c r="V212" s="9"/>
      <c r="W212" s="74">
        <v>0</v>
      </c>
      <c r="X212" s="9"/>
      <c r="Y212" s="9"/>
      <c r="Z212" s="24" t="s">
        <v>393</v>
      </c>
      <c r="AA212" s="16"/>
    </row>
    <row r="213" spans="1:27" ht="14.25" customHeight="1" x14ac:dyDescent="0.4">
      <c r="A213" s="4"/>
      <c r="B213" s="22">
        <v>0</v>
      </c>
      <c r="C213" s="22">
        <v>0</v>
      </c>
      <c r="D213" s="22">
        <v>0</v>
      </c>
      <c r="E213" s="24">
        <v>40093</v>
      </c>
      <c r="F213" s="24" t="s">
        <v>393</v>
      </c>
      <c r="G213" s="24">
        <v>40098</v>
      </c>
      <c r="H213" s="23">
        <v>0</v>
      </c>
      <c r="I213" s="23">
        <v>40087</v>
      </c>
      <c r="J213" s="37">
        <v>12</v>
      </c>
      <c r="K213" s="24" t="s">
        <v>550</v>
      </c>
      <c r="L213" s="24" t="s">
        <v>1997</v>
      </c>
      <c r="M213" s="24">
        <v>40016</v>
      </c>
      <c r="N213" s="22" t="s">
        <v>576</v>
      </c>
      <c r="O213" s="4">
        <v>9100090</v>
      </c>
      <c r="P213" s="22">
        <v>715</v>
      </c>
      <c r="Q213" s="22" t="s">
        <v>1581</v>
      </c>
      <c r="R213" s="4" t="s">
        <v>1337</v>
      </c>
      <c r="S213" s="4" t="s">
        <v>404</v>
      </c>
      <c r="T213" s="44">
        <v>40050</v>
      </c>
      <c r="U213" s="4" t="s">
        <v>404</v>
      </c>
      <c r="V213" s="9" t="s">
        <v>676</v>
      </c>
      <c r="W213" s="74">
        <v>0</v>
      </c>
      <c r="X213" s="9"/>
      <c r="Y213" s="9"/>
      <c r="Z213" s="24" t="s">
        <v>393</v>
      </c>
      <c r="AA213" s="16"/>
    </row>
    <row r="214" spans="1:27" ht="14.25" customHeight="1" x14ac:dyDescent="0.4">
      <c r="A214" s="5"/>
      <c r="B214" s="22">
        <v>0</v>
      </c>
      <c r="C214" s="22" t="s">
        <v>2165</v>
      </c>
      <c r="D214" s="22">
        <v>0</v>
      </c>
      <c r="E214" s="24">
        <v>40094</v>
      </c>
      <c r="F214" s="24" t="s">
        <v>393</v>
      </c>
      <c r="G214" s="24">
        <v>40099</v>
      </c>
      <c r="H214" s="23">
        <v>0</v>
      </c>
      <c r="I214" s="23">
        <v>40087</v>
      </c>
      <c r="J214" s="37">
        <v>14</v>
      </c>
      <c r="K214" s="24" t="s">
        <v>550</v>
      </c>
      <c r="L214" s="24" t="s">
        <v>1997</v>
      </c>
      <c r="M214" s="24">
        <v>40016</v>
      </c>
      <c r="N214" s="22" t="s">
        <v>576</v>
      </c>
      <c r="O214" s="4">
        <v>9100091</v>
      </c>
      <c r="P214" s="22">
        <v>715</v>
      </c>
      <c r="Q214" s="22" t="s">
        <v>1582</v>
      </c>
      <c r="R214" s="4" t="s">
        <v>1338</v>
      </c>
      <c r="S214" s="4" t="s">
        <v>404</v>
      </c>
      <c r="T214" s="44">
        <v>40079</v>
      </c>
      <c r="U214" s="4" t="s">
        <v>404</v>
      </c>
      <c r="V214" s="9" t="s">
        <v>676</v>
      </c>
      <c r="W214" s="74">
        <v>0</v>
      </c>
      <c r="X214" s="9"/>
      <c r="Y214" s="9"/>
      <c r="Z214" s="24" t="s">
        <v>393</v>
      </c>
      <c r="AA214" s="16"/>
    </row>
    <row r="215" spans="1:27" ht="14.25" customHeight="1" x14ac:dyDescent="0.4">
      <c r="B215" s="22">
        <v>0</v>
      </c>
      <c r="C215" s="22">
        <v>0</v>
      </c>
      <c r="D215" s="22">
        <v>0</v>
      </c>
      <c r="E215" s="24">
        <v>40084</v>
      </c>
      <c r="F215" s="24" t="s">
        <v>393</v>
      </c>
      <c r="G215" s="24">
        <v>40086</v>
      </c>
      <c r="H215" s="23">
        <v>0</v>
      </c>
      <c r="I215" s="23">
        <v>40057</v>
      </c>
      <c r="J215" s="37">
        <v>42</v>
      </c>
      <c r="K215" s="24" t="s">
        <v>550</v>
      </c>
      <c r="L215" s="24" t="s">
        <v>1997</v>
      </c>
      <c r="M215" s="24">
        <v>40016</v>
      </c>
      <c r="N215" s="22" t="s">
        <v>576</v>
      </c>
      <c r="O215" s="4">
        <v>9100092</v>
      </c>
      <c r="P215" s="22">
        <v>1010</v>
      </c>
      <c r="Q215" s="22" t="s">
        <v>1583</v>
      </c>
      <c r="R215" s="4" t="s">
        <v>684</v>
      </c>
      <c r="S215" s="1" t="s">
        <v>404</v>
      </c>
      <c r="T215" s="42">
        <v>40059</v>
      </c>
      <c r="U215" s="4" t="s">
        <v>404</v>
      </c>
      <c r="V215" s="28" t="s">
        <v>676</v>
      </c>
      <c r="W215" s="74">
        <v>0</v>
      </c>
      <c r="X215" s="9"/>
      <c r="Y215" s="28"/>
      <c r="Z215" s="24" t="s">
        <v>393</v>
      </c>
      <c r="AA215" s="16"/>
    </row>
    <row r="216" spans="1:27" ht="14.25" customHeight="1" x14ac:dyDescent="0.4">
      <c r="B216" s="22">
        <v>0</v>
      </c>
      <c r="C216" s="22" t="s">
        <v>2165</v>
      </c>
      <c r="D216" s="22">
        <v>0</v>
      </c>
      <c r="E216" s="24">
        <v>40114</v>
      </c>
      <c r="F216" s="24" t="s">
        <v>393</v>
      </c>
      <c r="G216" s="24">
        <v>40116</v>
      </c>
      <c r="H216" s="23">
        <v>0</v>
      </c>
      <c r="I216" s="23">
        <v>40087</v>
      </c>
      <c r="J216" s="37">
        <v>42</v>
      </c>
      <c r="K216" s="24" t="s">
        <v>550</v>
      </c>
      <c r="L216" s="24" t="s">
        <v>1998</v>
      </c>
      <c r="M216" s="24">
        <v>40016</v>
      </c>
      <c r="N216" s="22" t="s">
        <v>576</v>
      </c>
      <c r="O216" s="4">
        <v>9100093</v>
      </c>
      <c r="P216" s="22">
        <v>715</v>
      </c>
      <c r="Q216" s="22" t="s">
        <v>1590</v>
      </c>
      <c r="R216" s="4" t="s">
        <v>1339</v>
      </c>
      <c r="S216" s="1" t="s">
        <v>404</v>
      </c>
      <c r="T216" s="42">
        <v>40070</v>
      </c>
      <c r="U216" s="4" t="s">
        <v>404</v>
      </c>
      <c r="V216" s="28" t="s">
        <v>1340</v>
      </c>
      <c r="W216" s="74">
        <v>0</v>
      </c>
      <c r="X216" s="9"/>
      <c r="Y216" s="28"/>
      <c r="Z216" s="24" t="s">
        <v>393</v>
      </c>
      <c r="AA216" s="16"/>
    </row>
    <row r="217" spans="1:27" ht="14.25" customHeight="1" x14ac:dyDescent="0.4">
      <c r="B217" s="22">
        <v>0</v>
      </c>
      <c r="C217" s="22" t="s">
        <v>2165</v>
      </c>
      <c r="D217" s="22">
        <v>0</v>
      </c>
      <c r="E217" s="24">
        <v>40115</v>
      </c>
      <c r="F217" s="24" t="s">
        <v>393</v>
      </c>
      <c r="G217" s="24">
        <v>40116</v>
      </c>
      <c r="H217" s="23">
        <v>0</v>
      </c>
      <c r="I217" s="23">
        <v>40087</v>
      </c>
      <c r="J217" s="37">
        <v>43</v>
      </c>
      <c r="K217" s="24" t="s">
        <v>550</v>
      </c>
      <c r="L217" s="24" t="s">
        <v>1998</v>
      </c>
      <c r="M217" s="24">
        <v>40016</v>
      </c>
      <c r="N217" s="22" t="s">
        <v>576</v>
      </c>
      <c r="O217" s="4">
        <v>9100094</v>
      </c>
      <c r="P217" s="22">
        <v>715</v>
      </c>
      <c r="Q217" s="22" t="s">
        <v>1591</v>
      </c>
      <c r="R217" s="4" t="s">
        <v>685</v>
      </c>
      <c r="S217" s="4" t="s">
        <v>404</v>
      </c>
      <c r="T217" s="57">
        <v>40059</v>
      </c>
      <c r="U217" s="4" t="s">
        <v>404</v>
      </c>
      <c r="V217" s="57" t="s">
        <v>676</v>
      </c>
      <c r="W217" s="74">
        <v>0</v>
      </c>
      <c r="X217" s="28"/>
      <c r="Y217" s="28"/>
      <c r="Z217" s="24" t="s">
        <v>393</v>
      </c>
      <c r="AA217" s="16"/>
    </row>
    <row r="218" spans="1:27" ht="14.25" customHeight="1" x14ac:dyDescent="0.4">
      <c r="B218" s="22">
        <v>0</v>
      </c>
      <c r="C218" s="22" t="s">
        <v>2165</v>
      </c>
      <c r="D218" s="22">
        <v>0</v>
      </c>
      <c r="E218" s="24">
        <v>40115</v>
      </c>
      <c r="F218" s="24" t="s">
        <v>393</v>
      </c>
      <c r="G218" s="24">
        <v>40120</v>
      </c>
      <c r="H218" s="23">
        <v>0</v>
      </c>
      <c r="I218" s="23">
        <v>40087</v>
      </c>
      <c r="J218" s="37">
        <v>44</v>
      </c>
      <c r="K218" s="24" t="s">
        <v>550</v>
      </c>
      <c r="L218" s="24" t="s">
        <v>1998</v>
      </c>
      <c r="M218" s="24">
        <v>40016</v>
      </c>
      <c r="N218" s="22" t="s">
        <v>576</v>
      </c>
      <c r="O218" s="4">
        <v>9100095</v>
      </c>
      <c r="P218" s="22">
        <v>715</v>
      </c>
      <c r="Q218" s="22" t="s">
        <v>1592</v>
      </c>
      <c r="R218" s="4" t="s">
        <v>675</v>
      </c>
      <c r="S218" s="4" t="s">
        <v>404</v>
      </c>
      <c r="T218" s="57">
        <v>40039</v>
      </c>
      <c r="U218" s="4" t="s">
        <v>404</v>
      </c>
      <c r="V218" s="57" t="s">
        <v>676</v>
      </c>
      <c r="W218" s="74">
        <v>0</v>
      </c>
      <c r="X218" s="28"/>
      <c r="Y218" s="28"/>
      <c r="Z218" s="24" t="s">
        <v>393</v>
      </c>
      <c r="AA218" s="16"/>
    </row>
    <row r="219" spans="1:27" ht="14.25" customHeight="1" x14ac:dyDescent="0.4">
      <c r="B219" s="22">
        <v>0</v>
      </c>
      <c r="C219" s="22">
        <v>0</v>
      </c>
      <c r="D219" s="22">
        <v>0</v>
      </c>
      <c r="E219" s="24">
        <v>40115</v>
      </c>
      <c r="F219" s="24" t="s">
        <v>393</v>
      </c>
      <c r="G219" s="24">
        <v>40116</v>
      </c>
      <c r="H219" s="23">
        <v>0</v>
      </c>
      <c r="I219" s="23">
        <v>40118</v>
      </c>
      <c r="J219" s="37">
        <v>1</v>
      </c>
      <c r="K219" s="24" t="s">
        <v>550</v>
      </c>
      <c r="L219" s="24" t="s">
        <v>1998</v>
      </c>
      <c r="M219" s="24">
        <v>40016</v>
      </c>
      <c r="N219" s="22" t="s">
        <v>576</v>
      </c>
      <c r="O219" s="4">
        <v>9100096</v>
      </c>
      <c r="P219" s="22">
        <v>715</v>
      </c>
      <c r="Q219" s="22" t="s">
        <v>1593</v>
      </c>
      <c r="R219" s="4" t="s">
        <v>1341</v>
      </c>
      <c r="S219" s="4" t="s">
        <v>404</v>
      </c>
      <c r="T219" s="57">
        <v>40079</v>
      </c>
      <c r="U219" s="4" t="s">
        <v>404</v>
      </c>
      <c r="V219" s="4" t="s">
        <v>676</v>
      </c>
      <c r="W219" s="74">
        <v>0</v>
      </c>
      <c r="X219" s="9"/>
      <c r="Y219" s="9"/>
      <c r="Z219" s="24" t="s">
        <v>393</v>
      </c>
      <c r="AA219" s="16"/>
    </row>
    <row r="220" spans="1:27" ht="14.25" customHeight="1" x14ac:dyDescent="0.4">
      <c r="B220" s="22">
        <v>0</v>
      </c>
      <c r="C220" s="22" t="s">
        <v>2165</v>
      </c>
      <c r="D220" s="22">
        <v>0</v>
      </c>
      <c r="E220" s="24">
        <v>40112</v>
      </c>
      <c r="F220" s="24" t="s">
        <v>393</v>
      </c>
      <c r="G220" s="24">
        <v>40114</v>
      </c>
      <c r="H220" s="23">
        <v>0</v>
      </c>
      <c r="I220" s="23">
        <v>40087</v>
      </c>
      <c r="J220" s="37">
        <v>38</v>
      </c>
      <c r="K220" s="24" t="s">
        <v>550</v>
      </c>
      <c r="L220" s="24" t="s">
        <v>1998</v>
      </c>
      <c r="M220" s="24">
        <v>40016</v>
      </c>
      <c r="N220" s="22" t="s">
        <v>576</v>
      </c>
      <c r="O220" s="4">
        <v>9100097</v>
      </c>
      <c r="P220" s="22">
        <v>1010</v>
      </c>
      <c r="Q220" s="22" t="s">
        <v>1594</v>
      </c>
      <c r="R220" s="4" t="s">
        <v>677</v>
      </c>
      <c r="S220" s="4" t="s">
        <v>404</v>
      </c>
      <c r="T220" s="57">
        <v>40037</v>
      </c>
      <c r="U220" s="4" t="s">
        <v>404</v>
      </c>
      <c r="V220" s="58" t="s">
        <v>676</v>
      </c>
      <c r="W220" s="74">
        <v>0</v>
      </c>
      <c r="X220" s="28"/>
      <c r="Y220" s="28"/>
      <c r="Z220" s="24" t="s">
        <v>393</v>
      </c>
      <c r="AA220" s="16"/>
    </row>
    <row r="221" spans="1:27" ht="14.25" customHeight="1" x14ac:dyDescent="0.4">
      <c r="B221" s="22">
        <v>0</v>
      </c>
      <c r="C221" s="22" t="s">
        <v>2165</v>
      </c>
      <c r="D221" s="22">
        <v>0</v>
      </c>
      <c r="E221" s="24">
        <v>40114</v>
      </c>
      <c r="F221" s="24" t="s">
        <v>393</v>
      </c>
      <c r="G221" s="24">
        <v>40116</v>
      </c>
      <c r="H221" s="23">
        <v>0</v>
      </c>
      <c r="I221" s="23">
        <v>40087</v>
      </c>
      <c r="J221" s="37">
        <v>41</v>
      </c>
      <c r="K221" s="24" t="s">
        <v>550</v>
      </c>
      <c r="L221" s="24" t="s">
        <v>1998</v>
      </c>
      <c r="M221" s="24">
        <v>40016</v>
      </c>
      <c r="N221" s="22" t="s">
        <v>576</v>
      </c>
      <c r="O221" s="4">
        <v>9100098</v>
      </c>
      <c r="P221" s="22">
        <v>1010</v>
      </c>
      <c r="Q221" s="22" t="s">
        <v>1595</v>
      </c>
      <c r="R221" s="4" t="s">
        <v>1360</v>
      </c>
      <c r="S221" s="4" t="s">
        <v>404</v>
      </c>
      <c r="T221" s="57">
        <v>40086</v>
      </c>
      <c r="U221" s="4" t="s">
        <v>404</v>
      </c>
      <c r="V221" s="58" t="s">
        <v>1340</v>
      </c>
      <c r="W221" s="74">
        <v>0</v>
      </c>
      <c r="X221" s="28"/>
      <c r="Y221" s="28"/>
      <c r="Z221" s="24" t="s">
        <v>393</v>
      </c>
      <c r="AA221" s="16"/>
    </row>
    <row r="222" spans="1:27" s="6" customFormat="1" ht="14.25" customHeight="1" x14ac:dyDescent="0.4">
      <c r="A222"/>
      <c r="B222" s="22">
        <v>0</v>
      </c>
      <c r="C222" s="22" t="s">
        <v>2102</v>
      </c>
      <c r="D222" s="22">
        <v>0</v>
      </c>
      <c r="E222" s="24">
        <v>40113</v>
      </c>
      <c r="F222" s="24" t="s">
        <v>393</v>
      </c>
      <c r="G222" s="24">
        <v>40116</v>
      </c>
      <c r="H222" s="23">
        <v>0</v>
      </c>
      <c r="I222" s="23">
        <v>40087</v>
      </c>
      <c r="J222" s="37">
        <v>40</v>
      </c>
      <c r="K222" s="24" t="s">
        <v>550</v>
      </c>
      <c r="L222" s="24" t="s">
        <v>1998</v>
      </c>
      <c r="M222" s="24">
        <v>40016</v>
      </c>
      <c r="N222" s="22" t="s">
        <v>576</v>
      </c>
      <c r="O222" s="4">
        <v>9100099</v>
      </c>
      <c r="P222" s="22">
        <v>1010</v>
      </c>
      <c r="Q222" s="77" t="s">
        <v>1382</v>
      </c>
      <c r="R222" s="4" t="s">
        <v>1413</v>
      </c>
      <c r="S222" s="4" t="s">
        <v>404</v>
      </c>
      <c r="T222" s="57">
        <v>40213</v>
      </c>
      <c r="U222" s="4"/>
      <c r="V222" s="59"/>
      <c r="W222" s="74">
        <v>0</v>
      </c>
      <c r="X222" s="9"/>
      <c r="Y222" s="9"/>
      <c r="Z222" s="24" t="s">
        <v>393</v>
      </c>
      <c r="AA222" s="16"/>
    </row>
    <row r="223" spans="1:27" ht="14.25" customHeight="1" x14ac:dyDescent="0.4">
      <c r="B223" s="22">
        <v>0</v>
      </c>
      <c r="C223" s="22">
        <v>0</v>
      </c>
      <c r="D223" s="22">
        <v>0</v>
      </c>
      <c r="E223" s="24">
        <v>40140</v>
      </c>
      <c r="F223" s="24" t="s">
        <v>393</v>
      </c>
      <c r="G223" s="24">
        <v>40140</v>
      </c>
      <c r="H223" s="23">
        <v>0</v>
      </c>
      <c r="I223" s="23">
        <v>40118</v>
      </c>
      <c r="J223" s="37">
        <v>23</v>
      </c>
      <c r="K223" s="24" t="s">
        <v>550</v>
      </c>
      <c r="L223" s="24" t="s">
        <v>1999</v>
      </c>
      <c r="M223" s="24">
        <v>40016</v>
      </c>
      <c r="N223" s="22" t="s">
        <v>576</v>
      </c>
      <c r="O223" s="4">
        <v>9100100</v>
      </c>
      <c r="P223" s="22">
        <v>1010</v>
      </c>
      <c r="Q223" s="22" t="s">
        <v>1596</v>
      </c>
      <c r="R223" s="4" t="s">
        <v>1361</v>
      </c>
      <c r="S223" s="4" t="s">
        <v>404</v>
      </c>
      <c r="T223" s="57">
        <v>40086</v>
      </c>
      <c r="U223" s="4" t="s">
        <v>404</v>
      </c>
      <c r="V223" s="4" t="s">
        <v>1340</v>
      </c>
      <c r="W223" s="74">
        <v>0</v>
      </c>
      <c r="X223" s="9"/>
      <c r="Y223" s="9"/>
      <c r="Z223" s="24" t="s">
        <v>393</v>
      </c>
      <c r="AA223" s="16"/>
    </row>
    <row r="224" spans="1:27" s="6" customFormat="1" ht="14.25" customHeight="1" x14ac:dyDescent="0.4">
      <c r="A224"/>
      <c r="B224" s="22">
        <v>0</v>
      </c>
      <c r="C224" s="22" t="s">
        <v>2165</v>
      </c>
      <c r="D224" s="22">
        <v>0</v>
      </c>
      <c r="E224" s="24">
        <v>40157</v>
      </c>
      <c r="F224" s="24" t="s">
        <v>393</v>
      </c>
      <c r="G224" s="24">
        <v>40161</v>
      </c>
      <c r="H224" s="23">
        <v>0</v>
      </c>
      <c r="I224" s="23">
        <v>40148</v>
      </c>
      <c r="J224" s="37">
        <v>9</v>
      </c>
      <c r="K224" s="24" t="s">
        <v>550</v>
      </c>
      <c r="L224" s="24" t="s">
        <v>1999</v>
      </c>
      <c r="M224" s="24">
        <v>40016</v>
      </c>
      <c r="N224" s="22" t="s">
        <v>576</v>
      </c>
      <c r="O224" s="4">
        <v>9100101</v>
      </c>
      <c r="P224" s="22">
        <v>715</v>
      </c>
      <c r="Q224" s="22" t="s">
        <v>1606</v>
      </c>
      <c r="R224" s="4" t="s">
        <v>1362</v>
      </c>
      <c r="S224" s="4" t="s">
        <v>404</v>
      </c>
      <c r="T224" s="57">
        <v>40085</v>
      </c>
      <c r="U224" s="4" t="s">
        <v>404</v>
      </c>
      <c r="V224" s="59" t="s">
        <v>1340</v>
      </c>
      <c r="W224" s="74">
        <v>0</v>
      </c>
      <c r="X224" s="28"/>
      <c r="Y224" s="28"/>
      <c r="Z224" s="24" t="s">
        <v>393</v>
      </c>
      <c r="AA224" s="16"/>
    </row>
    <row r="225" spans="1:27" ht="14.25" customHeight="1" x14ac:dyDescent="0.4">
      <c r="B225" s="22">
        <v>0</v>
      </c>
      <c r="C225" s="22">
        <v>0</v>
      </c>
      <c r="D225" s="22">
        <v>0</v>
      </c>
      <c r="E225" s="24">
        <v>40156</v>
      </c>
      <c r="F225" s="24" t="s">
        <v>393</v>
      </c>
      <c r="G225" s="24">
        <v>40170</v>
      </c>
      <c r="H225" s="23">
        <v>0</v>
      </c>
      <c r="I225" s="23">
        <v>40148</v>
      </c>
      <c r="J225" s="37">
        <v>8</v>
      </c>
      <c r="K225" s="24" t="s">
        <v>550</v>
      </c>
      <c r="L225" s="24" t="s">
        <v>1999</v>
      </c>
      <c r="M225" s="24">
        <v>40016</v>
      </c>
      <c r="N225" s="22" t="s">
        <v>576</v>
      </c>
      <c r="O225" s="4">
        <v>9100102</v>
      </c>
      <c r="P225" s="22">
        <v>715</v>
      </c>
      <c r="Q225" s="22" t="s">
        <v>1607</v>
      </c>
      <c r="R225" s="4" t="s">
        <v>1363</v>
      </c>
      <c r="S225" s="4" t="s">
        <v>404</v>
      </c>
      <c r="T225" s="57">
        <v>40084</v>
      </c>
      <c r="U225" s="4" t="s">
        <v>404</v>
      </c>
      <c r="V225" s="57" t="s">
        <v>1340</v>
      </c>
      <c r="W225" s="74">
        <v>0</v>
      </c>
      <c r="X225" s="9"/>
      <c r="Y225" s="9"/>
      <c r="Z225" s="24" t="s">
        <v>393</v>
      </c>
      <c r="AA225" s="16"/>
    </row>
    <row r="226" spans="1:27" ht="14.25" customHeight="1" x14ac:dyDescent="0.4">
      <c r="B226" s="22">
        <v>0</v>
      </c>
      <c r="C226" s="22" t="s">
        <v>2165</v>
      </c>
      <c r="D226" s="22">
        <v>0</v>
      </c>
      <c r="E226" s="24">
        <v>40266</v>
      </c>
      <c r="F226" s="24" t="s">
        <v>393</v>
      </c>
      <c r="G226" s="24">
        <v>40276</v>
      </c>
      <c r="H226" s="23">
        <v>0</v>
      </c>
      <c r="I226" s="23">
        <v>40238</v>
      </c>
      <c r="J226" s="37">
        <v>22</v>
      </c>
      <c r="K226" s="24" t="s">
        <v>550</v>
      </c>
      <c r="L226" s="24" t="s">
        <v>2002</v>
      </c>
      <c r="M226" s="24">
        <v>40028</v>
      </c>
      <c r="N226" s="22" t="s">
        <v>576</v>
      </c>
      <c r="O226" s="3">
        <v>9100154</v>
      </c>
      <c r="P226" s="22">
        <v>715</v>
      </c>
      <c r="Q226" s="98" t="s">
        <v>1749</v>
      </c>
      <c r="R226" s="55" t="s">
        <v>1750</v>
      </c>
      <c r="S226" s="55" t="s">
        <v>404</v>
      </c>
      <c r="T226" s="88">
        <v>40354</v>
      </c>
      <c r="U226" s="87"/>
      <c r="V226" s="89">
        <v>40391</v>
      </c>
      <c r="W226" s="84">
        <v>0</v>
      </c>
      <c r="X226" s="28"/>
      <c r="Y226" s="28"/>
      <c r="Z226" s="24" t="s">
        <v>393</v>
      </c>
      <c r="AA226" s="16"/>
    </row>
    <row r="227" spans="1:27" ht="14.25" customHeight="1" x14ac:dyDescent="0.4">
      <c r="B227" s="22">
        <v>0</v>
      </c>
      <c r="C227" s="22" t="s">
        <v>2165</v>
      </c>
      <c r="D227" s="22">
        <v>0</v>
      </c>
      <c r="E227" s="24">
        <v>40212</v>
      </c>
      <c r="F227" s="24" t="s">
        <v>393</v>
      </c>
      <c r="G227" s="24">
        <v>40220</v>
      </c>
      <c r="H227" s="23">
        <v>0</v>
      </c>
      <c r="I227" s="23">
        <v>40210</v>
      </c>
      <c r="J227" s="37">
        <v>5</v>
      </c>
      <c r="K227" s="24" t="s">
        <v>550</v>
      </c>
      <c r="L227" s="24" t="s">
        <v>2001</v>
      </c>
      <c r="M227" s="24">
        <v>40028</v>
      </c>
      <c r="N227" s="22" t="s">
        <v>576</v>
      </c>
      <c r="O227" s="3">
        <v>9100155</v>
      </c>
      <c r="P227" s="22">
        <v>715</v>
      </c>
      <c r="Q227" s="65" t="s">
        <v>1758</v>
      </c>
      <c r="R227" s="47" t="s">
        <v>1759</v>
      </c>
      <c r="S227" s="3" t="s">
        <v>404</v>
      </c>
      <c r="T227" s="42">
        <v>40373</v>
      </c>
      <c r="U227" s="3" t="s">
        <v>404</v>
      </c>
      <c r="V227" s="28">
        <v>40373</v>
      </c>
      <c r="W227" s="74">
        <v>0</v>
      </c>
      <c r="X227" s="9"/>
      <c r="Y227" s="9"/>
      <c r="Z227" s="24" t="s">
        <v>393</v>
      </c>
      <c r="AA227" s="16"/>
    </row>
    <row r="228" spans="1:27" ht="14.25" customHeight="1" x14ac:dyDescent="0.4">
      <c r="B228" s="22">
        <v>0</v>
      </c>
      <c r="C228" s="22" t="s">
        <v>2165</v>
      </c>
      <c r="D228" s="22">
        <v>0</v>
      </c>
      <c r="E228" s="24">
        <v>40213</v>
      </c>
      <c r="F228" s="24" t="s">
        <v>393</v>
      </c>
      <c r="G228" s="24">
        <v>40219</v>
      </c>
      <c r="H228" s="23">
        <v>0</v>
      </c>
      <c r="I228" s="23">
        <v>40210</v>
      </c>
      <c r="J228" s="37">
        <v>6</v>
      </c>
      <c r="K228" s="24" t="s">
        <v>550</v>
      </c>
      <c r="L228" s="24" t="s">
        <v>2001</v>
      </c>
      <c r="M228" s="24">
        <v>40028</v>
      </c>
      <c r="N228" s="22" t="s">
        <v>576</v>
      </c>
      <c r="O228" s="3">
        <v>9100156</v>
      </c>
      <c r="P228" s="22">
        <v>715</v>
      </c>
      <c r="Q228" s="77" t="s">
        <v>1433</v>
      </c>
      <c r="R228" s="47" t="s">
        <v>1434</v>
      </c>
      <c r="S228" s="3" t="s">
        <v>404</v>
      </c>
      <c r="T228" s="42">
        <v>40241</v>
      </c>
      <c r="U228" s="3" t="s">
        <v>404</v>
      </c>
      <c r="V228" s="28">
        <v>40241</v>
      </c>
      <c r="W228" s="74">
        <v>0</v>
      </c>
      <c r="X228" s="28"/>
      <c r="Y228" s="28"/>
      <c r="Z228" s="24" t="s">
        <v>393</v>
      </c>
      <c r="AA228" s="16"/>
    </row>
    <row r="229" spans="1:27" ht="14.25" customHeight="1" x14ac:dyDescent="0.4">
      <c r="B229" s="22">
        <v>0</v>
      </c>
      <c r="C229" s="22" t="s">
        <v>2165</v>
      </c>
      <c r="D229" s="22">
        <v>0</v>
      </c>
      <c r="E229" s="24">
        <v>40350</v>
      </c>
      <c r="F229" s="24" t="s">
        <v>393</v>
      </c>
      <c r="G229" s="24">
        <v>40354</v>
      </c>
      <c r="H229" s="23">
        <v>0</v>
      </c>
      <c r="I229" s="23">
        <v>40330</v>
      </c>
      <c r="J229" s="37">
        <v>13</v>
      </c>
      <c r="K229" s="24" t="s">
        <v>550</v>
      </c>
      <c r="L229" s="24">
        <v>0</v>
      </c>
      <c r="M229" s="24">
        <v>40028</v>
      </c>
      <c r="N229" s="22" t="s">
        <v>576</v>
      </c>
      <c r="O229" s="3">
        <v>9100157</v>
      </c>
      <c r="P229" s="22">
        <v>1010</v>
      </c>
      <c r="Q229" s="77" t="s">
        <v>1608</v>
      </c>
      <c r="R229" s="4" t="s">
        <v>2121</v>
      </c>
      <c r="S229" s="1" t="s">
        <v>404</v>
      </c>
      <c r="T229" s="42">
        <v>40569</v>
      </c>
      <c r="U229" s="1" t="s">
        <v>404</v>
      </c>
      <c r="V229" s="28"/>
      <c r="W229" s="74">
        <v>0</v>
      </c>
      <c r="X229" s="28"/>
      <c r="Y229" s="28"/>
      <c r="Z229" s="24" t="s">
        <v>393</v>
      </c>
      <c r="AA229" s="16"/>
    </row>
    <row r="230" spans="1:27" ht="14.25" customHeight="1" x14ac:dyDescent="0.4">
      <c r="B230" s="22">
        <v>0</v>
      </c>
      <c r="C230" s="22" t="s">
        <v>2165</v>
      </c>
      <c r="D230" s="22">
        <v>0</v>
      </c>
      <c r="E230" s="24">
        <v>40275</v>
      </c>
      <c r="F230" s="24" t="s">
        <v>393</v>
      </c>
      <c r="G230" s="24">
        <v>40284</v>
      </c>
      <c r="H230" s="23">
        <v>0</v>
      </c>
      <c r="I230" s="23">
        <v>40269</v>
      </c>
      <c r="J230" s="37">
        <v>7</v>
      </c>
      <c r="K230" s="24" t="s">
        <v>550</v>
      </c>
      <c r="L230" s="24" t="s">
        <v>2001</v>
      </c>
      <c r="M230" s="24">
        <v>40028</v>
      </c>
      <c r="N230" s="22" t="s">
        <v>576</v>
      </c>
      <c r="O230" s="3">
        <v>9100158</v>
      </c>
      <c r="P230" s="22">
        <v>1010</v>
      </c>
      <c r="Q230" s="77" t="s">
        <v>1609</v>
      </c>
      <c r="R230" s="4" t="s">
        <v>2046</v>
      </c>
      <c r="S230" s="1" t="s">
        <v>404</v>
      </c>
      <c r="T230" s="42">
        <v>40534</v>
      </c>
      <c r="U230" s="1" t="s">
        <v>404</v>
      </c>
      <c r="V230" s="42">
        <v>40534</v>
      </c>
      <c r="W230" s="74">
        <v>0</v>
      </c>
      <c r="X230" s="28"/>
      <c r="Y230" s="28"/>
      <c r="Z230" s="24" t="s">
        <v>393</v>
      </c>
      <c r="AA230" s="16"/>
    </row>
    <row r="231" spans="1:27" ht="14.25" customHeight="1" x14ac:dyDescent="0.4">
      <c r="B231" s="22">
        <v>0</v>
      </c>
      <c r="C231" s="22" t="s">
        <v>2165</v>
      </c>
      <c r="D231" s="22">
        <v>0</v>
      </c>
      <c r="E231" s="24">
        <v>40276</v>
      </c>
      <c r="F231" s="24" t="s">
        <v>393</v>
      </c>
      <c r="G231" s="24">
        <v>40288</v>
      </c>
      <c r="H231" s="23">
        <v>0</v>
      </c>
      <c r="I231" s="23">
        <v>40269</v>
      </c>
      <c r="J231" s="37">
        <v>8</v>
      </c>
      <c r="K231" s="24" t="s">
        <v>550</v>
      </c>
      <c r="L231" s="24" t="s">
        <v>2001</v>
      </c>
      <c r="M231" s="24">
        <v>40028</v>
      </c>
      <c r="N231" s="22" t="s">
        <v>576</v>
      </c>
      <c r="O231" s="3">
        <v>9100159</v>
      </c>
      <c r="P231" s="22">
        <v>1010</v>
      </c>
      <c r="Q231" s="65" t="s">
        <v>2089</v>
      </c>
      <c r="R231" s="4" t="s">
        <v>2089</v>
      </c>
      <c r="S231" s="1" t="s">
        <v>404</v>
      </c>
      <c r="T231" s="42">
        <v>40543</v>
      </c>
      <c r="U231" s="1" t="s">
        <v>404</v>
      </c>
      <c r="V231" s="28">
        <v>40543</v>
      </c>
      <c r="W231" s="74">
        <v>0</v>
      </c>
      <c r="X231" s="28"/>
      <c r="Y231" s="28"/>
      <c r="Z231" s="24" t="s">
        <v>393</v>
      </c>
      <c r="AA231" s="16"/>
    </row>
    <row r="232" spans="1:27" ht="14.25" customHeight="1" x14ac:dyDescent="0.4">
      <c r="B232" s="22">
        <v>0</v>
      </c>
      <c r="C232" s="22">
        <v>0</v>
      </c>
      <c r="D232" s="22">
        <v>0</v>
      </c>
      <c r="E232" s="24">
        <v>40106</v>
      </c>
      <c r="F232" s="24" t="s">
        <v>393</v>
      </c>
      <c r="G232" s="24">
        <v>40114</v>
      </c>
      <c r="H232" s="23">
        <v>0</v>
      </c>
      <c r="I232" s="23">
        <v>40087</v>
      </c>
      <c r="J232" s="37">
        <v>29</v>
      </c>
      <c r="K232" s="24" t="s">
        <v>550</v>
      </c>
      <c r="L232" s="24" t="s">
        <v>1724</v>
      </c>
      <c r="M232" s="24">
        <v>40087</v>
      </c>
      <c r="N232" s="22" t="s">
        <v>576</v>
      </c>
      <c r="O232" s="4">
        <v>9100254</v>
      </c>
      <c r="P232" s="22">
        <v>1010</v>
      </c>
      <c r="Q232" s="77" t="s">
        <v>1382</v>
      </c>
      <c r="R232" s="4" t="s">
        <v>2108</v>
      </c>
      <c r="S232" s="1" t="s">
        <v>404</v>
      </c>
      <c r="T232" s="28">
        <v>40539</v>
      </c>
      <c r="U232" s="1" t="s">
        <v>404</v>
      </c>
      <c r="V232" s="28">
        <v>40539</v>
      </c>
      <c r="W232" s="74">
        <v>0</v>
      </c>
      <c r="X232" s="9"/>
      <c r="Y232" s="9"/>
      <c r="Z232" s="24" t="s">
        <v>393</v>
      </c>
      <c r="AA232" s="16"/>
    </row>
    <row r="233" spans="1:27" ht="14.25" customHeight="1" x14ac:dyDescent="0.4">
      <c r="A233" s="4"/>
      <c r="B233" s="22">
        <v>0</v>
      </c>
      <c r="C233" s="22" t="s">
        <v>2165</v>
      </c>
      <c r="D233" s="22">
        <v>0</v>
      </c>
      <c r="E233" s="24">
        <v>40106</v>
      </c>
      <c r="F233" s="24" t="s">
        <v>393</v>
      </c>
      <c r="G233" s="24">
        <v>40109</v>
      </c>
      <c r="H233" s="23">
        <v>0</v>
      </c>
      <c r="I233" s="23">
        <v>40087</v>
      </c>
      <c r="J233" s="37">
        <v>30</v>
      </c>
      <c r="K233" s="24" t="s">
        <v>550</v>
      </c>
      <c r="L233" s="24" t="s">
        <v>1724</v>
      </c>
      <c r="M233" s="24">
        <v>40087</v>
      </c>
      <c r="N233" s="22" t="s">
        <v>576</v>
      </c>
      <c r="O233" s="4">
        <v>9100255</v>
      </c>
      <c r="P233" s="22">
        <v>1010</v>
      </c>
      <c r="Q233" s="77" t="s">
        <v>1742</v>
      </c>
      <c r="R233" s="4" t="s">
        <v>1743</v>
      </c>
      <c r="S233" s="1" t="s">
        <v>404</v>
      </c>
      <c r="T233" s="28">
        <v>40325</v>
      </c>
      <c r="U233" s="1" t="s">
        <v>404</v>
      </c>
      <c r="V233" s="28">
        <v>40325</v>
      </c>
      <c r="W233" s="74">
        <v>0</v>
      </c>
      <c r="X233" s="28"/>
      <c r="Y233" s="28"/>
      <c r="Z233" s="24" t="s">
        <v>393</v>
      </c>
      <c r="AA233" s="16"/>
    </row>
    <row r="234" spans="1:27" s="4" customFormat="1" ht="14.25" customHeight="1" x14ac:dyDescent="0.4">
      <c r="A234" s="6"/>
      <c r="B234" s="22">
        <v>0</v>
      </c>
      <c r="C234" s="22" t="s">
        <v>2165</v>
      </c>
      <c r="D234" s="22">
        <v>0</v>
      </c>
      <c r="E234" s="24">
        <v>40106</v>
      </c>
      <c r="F234" s="24" t="s">
        <v>393</v>
      </c>
      <c r="G234" s="24">
        <v>40109</v>
      </c>
      <c r="H234" s="23">
        <v>0</v>
      </c>
      <c r="I234" s="23">
        <v>40087</v>
      </c>
      <c r="J234" s="37">
        <v>31</v>
      </c>
      <c r="K234" s="24" t="s">
        <v>550</v>
      </c>
      <c r="L234" s="24" t="s">
        <v>1724</v>
      </c>
      <c r="M234" s="24">
        <v>40087</v>
      </c>
      <c r="N234" s="22" t="s">
        <v>576</v>
      </c>
      <c r="O234" s="4">
        <v>9100256</v>
      </c>
      <c r="P234" s="22">
        <v>1010</v>
      </c>
      <c r="Q234" s="77" t="s">
        <v>1382</v>
      </c>
      <c r="R234" s="4" t="s">
        <v>1963</v>
      </c>
      <c r="S234" s="3" t="s">
        <v>404</v>
      </c>
      <c r="T234" s="28">
        <v>40498</v>
      </c>
      <c r="U234" s="3" t="s">
        <v>404</v>
      </c>
      <c r="V234" s="28">
        <v>40498</v>
      </c>
      <c r="W234" s="74">
        <v>0</v>
      </c>
      <c r="X234" s="28"/>
      <c r="Y234" s="28"/>
      <c r="Z234" s="24" t="s">
        <v>393</v>
      </c>
      <c r="AA234" s="16"/>
    </row>
    <row r="235" spans="1:27" s="4" customFormat="1" ht="14.25" customHeight="1" x14ac:dyDescent="0.4">
      <c r="A235"/>
      <c r="B235" s="22">
        <v>0</v>
      </c>
      <c r="C235" s="22">
        <v>0</v>
      </c>
      <c r="D235" s="22">
        <v>0</v>
      </c>
      <c r="E235" s="24">
        <v>40107</v>
      </c>
      <c r="F235" s="24" t="s">
        <v>393</v>
      </c>
      <c r="G235" s="24">
        <v>40114</v>
      </c>
      <c r="H235" s="23">
        <v>0</v>
      </c>
      <c r="I235" s="23">
        <v>40087</v>
      </c>
      <c r="J235" s="37">
        <v>32</v>
      </c>
      <c r="K235" s="24" t="s">
        <v>550</v>
      </c>
      <c r="L235" s="24" t="s">
        <v>1724</v>
      </c>
      <c r="M235" s="24">
        <v>40087</v>
      </c>
      <c r="N235" s="22" t="s">
        <v>576</v>
      </c>
      <c r="O235" s="4">
        <v>9100257</v>
      </c>
      <c r="P235" s="22">
        <v>1010</v>
      </c>
      <c r="Q235" s="77" t="s">
        <v>1382</v>
      </c>
      <c r="R235" s="4" t="s">
        <v>1932</v>
      </c>
      <c r="S235" s="3" t="s">
        <v>404</v>
      </c>
      <c r="T235" s="28">
        <v>40452</v>
      </c>
      <c r="U235" s="3" t="s">
        <v>404</v>
      </c>
      <c r="V235" s="28">
        <v>40452</v>
      </c>
      <c r="W235" s="74">
        <v>0</v>
      </c>
      <c r="X235" s="9"/>
      <c r="Y235" s="9"/>
      <c r="Z235" s="24" t="s">
        <v>393</v>
      </c>
      <c r="AA235" s="16"/>
    </row>
    <row r="236" spans="1:27" s="4" customFormat="1" ht="14.25" customHeight="1" x14ac:dyDescent="0.4">
      <c r="A236"/>
      <c r="B236" s="22">
        <v>0</v>
      </c>
      <c r="C236" s="22" t="s">
        <v>2165</v>
      </c>
      <c r="D236" s="22">
        <v>0</v>
      </c>
      <c r="E236" s="24">
        <v>40351</v>
      </c>
      <c r="F236" s="24" t="s">
        <v>393</v>
      </c>
      <c r="G236" s="24">
        <v>40354</v>
      </c>
      <c r="H236" s="23">
        <v>0</v>
      </c>
      <c r="I236" s="23">
        <v>40330</v>
      </c>
      <c r="J236" s="37">
        <v>14</v>
      </c>
      <c r="K236" s="24" t="s">
        <v>550</v>
      </c>
      <c r="L236" s="24">
        <v>0</v>
      </c>
      <c r="M236" s="24">
        <v>40319</v>
      </c>
      <c r="N236" s="22" t="s">
        <v>576</v>
      </c>
      <c r="O236" s="4">
        <v>9101007</v>
      </c>
      <c r="P236" s="22">
        <v>715</v>
      </c>
      <c r="Q236" s="22">
        <v>5202010</v>
      </c>
      <c r="R236" s="4" t="s">
        <v>2107</v>
      </c>
      <c r="S236" s="38" t="s">
        <v>404</v>
      </c>
      <c r="T236" s="44">
        <v>40559</v>
      </c>
      <c r="U236" s="38" t="s">
        <v>404</v>
      </c>
      <c r="V236" s="44">
        <v>40559</v>
      </c>
      <c r="W236" s="74">
        <v>0</v>
      </c>
      <c r="X236" s="9"/>
      <c r="Y236" s="9"/>
      <c r="Z236" s="24" t="s">
        <v>393</v>
      </c>
      <c r="AA236" s="16"/>
    </row>
    <row r="237" spans="1:27" ht="14.25" customHeight="1" x14ac:dyDescent="0.4">
      <c r="A237" s="4"/>
      <c r="B237" s="22">
        <v>0</v>
      </c>
      <c r="C237" s="22" t="s">
        <v>2165</v>
      </c>
      <c r="D237" s="22">
        <v>0</v>
      </c>
      <c r="E237" s="24">
        <v>40357</v>
      </c>
      <c r="F237" s="24" t="s">
        <v>393</v>
      </c>
      <c r="G237" s="24">
        <v>40359</v>
      </c>
      <c r="H237" s="23">
        <v>0</v>
      </c>
      <c r="I237" s="23">
        <v>40330</v>
      </c>
      <c r="J237" s="37">
        <v>17</v>
      </c>
      <c r="K237" s="24" t="s">
        <v>550</v>
      </c>
      <c r="L237" s="24">
        <v>0</v>
      </c>
      <c r="M237" s="24">
        <v>40319</v>
      </c>
      <c r="N237" s="22" t="s">
        <v>576</v>
      </c>
      <c r="O237" s="4">
        <v>9101008</v>
      </c>
      <c r="P237" s="22">
        <v>715</v>
      </c>
      <c r="Q237" s="22">
        <v>5212010</v>
      </c>
      <c r="R237" s="4" t="s">
        <v>1951</v>
      </c>
      <c r="S237" s="4" t="s">
        <v>404</v>
      </c>
      <c r="T237" s="44">
        <v>40471</v>
      </c>
      <c r="U237" s="4" t="s">
        <v>404</v>
      </c>
      <c r="V237" s="9">
        <v>40471</v>
      </c>
      <c r="W237" s="74">
        <v>0</v>
      </c>
      <c r="X237" s="9"/>
      <c r="Y237" s="9"/>
      <c r="Z237" s="24" t="s">
        <v>393</v>
      </c>
      <c r="AA237" s="16"/>
    </row>
    <row r="238" spans="1:27" ht="14.25" customHeight="1" x14ac:dyDescent="0.4">
      <c r="B238" s="22">
        <v>0</v>
      </c>
      <c r="C238" s="22" t="s">
        <v>2102</v>
      </c>
      <c r="D238" s="22">
        <v>0</v>
      </c>
      <c r="E238" s="24">
        <v>0</v>
      </c>
      <c r="F238" s="24" t="s">
        <v>393</v>
      </c>
      <c r="G238" s="24">
        <v>40396</v>
      </c>
      <c r="H238" s="23">
        <v>0</v>
      </c>
      <c r="I238" s="23">
        <v>40391</v>
      </c>
      <c r="J238" s="37">
        <v>2</v>
      </c>
      <c r="K238" s="24" t="s">
        <v>550</v>
      </c>
      <c r="L238" s="24">
        <v>0</v>
      </c>
      <c r="M238" s="24">
        <v>40319</v>
      </c>
      <c r="N238" s="22" t="s">
        <v>576</v>
      </c>
      <c r="O238" s="4">
        <v>9101009</v>
      </c>
      <c r="P238" s="22">
        <v>715</v>
      </c>
      <c r="Q238" s="22">
        <v>5222010</v>
      </c>
      <c r="R238" s="4" t="s">
        <v>168</v>
      </c>
      <c r="S238" s="38" t="s">
        <v>404</v>
      </c>
      <c r="T238" s="44">
        <v>40660</v>
      </c>
      <c r="U238" s="38"/>
      <c r="V238" s="9"/>
      <c r="W238" s="74">
        <v>0</v>
      </c>
      <c r="X238" s="9"/>
      <c r="Y238" s="9"/>
      <c r="Z238" s="24" t="s">
        <v>393</v>
      </c>
      <c r="AA238" s="16"/>
    </row>
    <row r="239" spans="1:27" s="6" customFormat="1" ht="14.25" customHeight="1" x14ac:dyDescent="0.4">
      <c r="A239" s="4"/>
      <c r="B239" s="22">
        <v>0</v>
      </c>
      <c r="C239" s="22">
        <v>0</v>
      </c>
      <c r="D239" s="22">
        <v>0</v>
      </c>
      <c r="E239" s="24">
        <v>0</v>
      </c>
      <c r="F239" s="24" t="s">
        <v>393</v>
      </c>
      <c r="G239" s="24">
        <v>40403</v>
      </c>
      <c r="H239" s="23">
        <v>0</v>
      </c>
      <c r="I239" s="23">
        <v>40391</v>
      </c>
      <c r="J239" s="37">
        <v>9</v>
      </c>
      <c r="K239" s="24" t="s">
        <v>550</v>
      </c>
      <c r="L239" s="24">
        <v>0</v>
      </c>
      <c r="M239" s="24">
        <v>40319</v>
      </c>
      <c r="N239" s="22" t="s">
        <v>576</v>
      </c>
      <c r="O239" s="4">
        <v>9101010</v>
      </c>
      <c r="P239" s="22">
        <v>715</v>
      </c>
      <c r="Q239" s="22">
        <v>5232010</v>
      </c>
      <c r="R239" s="4" t="s">
        <v>2138</v>
      </c>
      <c r="S239" s="38" t="s">
        <v>404</v>
      </c>
      <c r="T239" s="44">
        <v>40219</v>
      </c>
      <c r="U239" s="38" t="s">
        <v>404</v>
      </c>
      <c r="V239" s="9">
        <v>40219</v>
      </c>
      <c r="W239" s="74">
        <v>0</v>
      </c>
      <c r="X239" s="9"/>
      <c r="Y239" s="9"/>
      <c r="Z239" s="24" t="s">
        <v>393</v>
      </c>
      <c r="AA239" s="16"/>
    </row>
    <row r="240" spans="1:27" s="4" customFormat="1" ht="14.25" customHeight="1" x14ac:dyDescent="0.4">
      <c r="A240"/>
      <c r="B240" s="22">
        <v>0</v>
      </c>
      <c r="C240" s="22" t="s">
        <v>2165</v>
      </c>
      <c r="D240" s="22">
        <v>0</v>
      </c>
      <c r="E240" s="24">
        <v>0</v>
      </c>
      <c r="F240" s="24" t="s">
        <v>393</v>
      </c>
      <c r="G240" s="24">
        <v>40403</v>
      </c>
      <c r="H240" s="23">
        <v>0</v>
      </c>
      <c r="I240" s="23">
        <v>40391</v>
      </c>
      <c r="J240" s="37">
        <v>10</v>
      </c>
      <c r="K240" s="24" t="s">
        <v>550</v>
      </c>
      <c r="L240" s="24">
        <v>0</v>
      </c>
      <c r="M240" s="24">
        <v>40319</v>
      </c>
      <c r="N240" s="22" t="s">
        <v>576</v>
      </c>
      <c r="O240" s="4">
        <v>9101011</v>
      </c>
      <c r="P240" s="22">
        <v>715</v>
      </c>
      <c r="Q240" s="22">
        <v>5242010</v>
      </c>
      <c r="R240" s="4" t="s">
        <v>1906</v>
      </c>
      <c r="S240" s="38" t="s">
        <v>404</v>
      </c>
      <c r="T240" s="44">
        <v>40438</v>
      </c>
      <c r="U240" s="38" t="s">
        <v>404</v>
      </c>
      <c r="V240" s="44">
        <v>40438</v>
      </c>
      <c r="W240" s="74">
        <v>0</v>
      </c>
      <c r="X240" s="9"/>
      <c r="Y240" s="9"/>
      <c r="Z240" s="24" t="s">
        <v>393</v>
      </c>
      <c r="AA240" s="16"/>
    </row>
    <row r="241" spans="1:27" s="4" customFormat="1" ht="14.25" customHeight="1" x14ac:dyDescent="0.4">
      <c r="B241" s="22">
        <v>0</v>
      </c>
      <c r="C241" s="22" t="s">
        <v>2165</v>
      </c>
      <c r="D241" s="22">
        <v>0</v>
      </c>
      <c r="E241" s="24">
        <v>0</v>
      </c>
      <c r="F241" s="24" t="s">
        <v>393</v>
      </c>
      <c r="G241" s="24">
        <v>40410</v>
      </c>
      <c r="H241" s="23">
        <v>0</v>
      </c>
      <c r="I241" s="23">
        <v>40391</v>
      </c>
      <c r="J241" s="37">
        <v>11</v>
      </c>
      <c r="K241" s="24" t="s">
        <v>550</v>
      </c>
      <c r="L241" s="24">
        <v>0</v>
      </c>
      <c r="M241" s="24">
        <v>40319</v>
      </c>
      <c r="N241" s="22" t="s">
        <v>576</v>
      </c>
      <c r="O241" s="4">
        <v>9101012</v>
      </c>
      <c r="P241" s="22">
        <v>715</v>
      </c>
      <c r="Q241" s="22">
        <v>5252010</v>
      </c>
      <c r="R241" s="4" t="s">
        <v>1907</v>
      </c>
      <c r="S241" s="38" t="s">
        <v>404</v>
      </c>
      <c r="T241" s="44">
        <v>40438</v>
      </c>
      <c r="U241" s="38" t="s">
        <v>404</v>
      </c>
      <c r="V241" s="44">
        <v>40438</v>
      </c>
      <c r="W241" s="74">
        <v>0</v>
      </c>
      <c r="X241" s="9"/>
      <c r="Y241" s="9"/>
      <c r="Z241" s="24" t="s">
        <v>393</v>
      </c>
      <c r="AA241" s="16"/>
    </row>
    <row r="242" spans="1:27" s="4" customFormat="1" ht="14.25" customHeight="1" x14ac:dyDescent="0.4">
      <c r="A242"/>
      <c r="B242" s="22">
        <v>0</v>
      </c>
      <c r="C242" s="22">
        <v>0</v>
      </c>
      <c r="D242" s="22">
        <v>0</v>
      </c>
      <c r="E242" s="24">
        <v>40205</v>
      </c>
      <c r="F242" s="24" t="s">
        <v>393</v>
      </c>
      <c r="G242" s="24">
        <v>40217</v>
      </c>
      <c r="H242" s="23">
        <v>0</v>
      </c>
      <c r="I242" s="23">
        <v>40179</v>
      </c>
      <c r="J242" s="37">
        <v>24</v>
      </c>
      <c r="K242" s="24" t="s">
        <v>411</v>
      </c>
      <c r="L242" s="24">
        <v>0</v>
      </c>
      <c r="M242" s="24">
        <v>40186</v>
      </c>
      <c r="N242" s="22" t="s">
        <v>1412</v>
      </c>
      <c r="O242" s="4">
        <v>9100365</v>
      </c>
      <c r="P242" s="22">
        <v>1010</v>
      </c>
      <c r="Q242" s="22" t="s">
        <v>1610</v>
      </c>
      <c r="R242" s="4" t="s">
        <v>981</v>
      </c>
      <c r="S242" s="3" t="s">
        <v>404</v>
      </c>
      <c r="T242" s="28">
        <v>40208</v>
      </c>
      <c r="U242" s="3" t="s">
        <v>404</v>
      </c>
      <c r="V242" s="28">
        <v>40252</v>
      </c>
      <c r="W242" s="74">
        <v>0</v>
      </c>
      <c r="X242" s="9">
        <v>40255</v>
      </c>
      <c r="Y242" s="9"/>
      <c r="Z242" s="24" t="s">
        <v>393</v>
      </c>
      <c r="AA242" s="16"/>
    </row>
    <row r="243" spans="1:27" ht="14.25" customHeight="1" x14ac:dyDescent="0.4">
      <c r="A243" s="4"/>
      <c r="B243" s="22">
        <v>0</v>
      </c>
      <c r="C243" s="22" t="s">
        <v>2165</v>
      </c>
      <c r="D243" s="22">
        <v>0</v>
      </c>
      <c r="E243" s="24">
        <v>40206</v>
      </c>
      <c r="F243" s="24" t="s">
        <v>393</v>
      </c>
      <c r="G243" s="24">
        <v>40219</v>
      </c>
      <c r="H243" s="23">
        <v>0</v>
      </c>
      <c r="I243" s="23">
        <v>40179</v>
      </c>
      <c r="J243" s="37">
        <v>25</v>
      </c>
      <c r="K243" s="24" t="s">
        <v>411</v>
      </c>
      <c r="L243" s="24">
        <v>0</v>
      </c>
      <c r="M243" s="24">
        <v>40186</v>
      </c>
      <c r="N243" s="22" t="s">
        <v>1412</v>
      </c>
      <c r="O243" s="4">
        <v>9100366</v>
      </c>
      <c r="P243" s="22">
        <v>1010</v>
      </c>
      <c r="Q243" s="22" t="s">
        <v>1611</v>
      </c>
      <c r="R243" s="4" t="s">
        <v>981</v>
      </c>
      <c r="S243" s="4" t="s">
        <v>404</v>
      </c>
      <c r="T243" s="28">
        <v>40208</v>
      </c>
      <c r="U243" s="4" t="s">
        <v>404</v>
      </c>
      <c r="V243" s="28">
        <v>40252</v>
      </c>
      <c r="W243" s="74">
        <v>0</v>
      </c>
      <c r="X243" s="28">
        <v>40255</v>
      </c>
      <c r="Y243" s="28"/>
      <c r="Z243" s="24" t="s">
        <v>393</v>
      </c>
      <c r="AA243" s="16"/>
    </row>
    <row r="244" spans="1:27" s="4" customFormat="1" ht="14.25" customHeight="1" x14ac:dyDescent="0.4">
      <c r="B244" s="22">
        <v>0</v>
      </c>
      <c r="C244" s="22">
        <v>0</v>
      </c>
      <c r="D244" s="22">
        <v>0</v>
      </c>
      <c r="E244" s="24">
        <v>40225</v>
      </c>
      <c r="F244" s="24" t="s">
        <v>393</v>
      </c>
      <c r="G244" s="24">
        <v>40232</v>
      </c>
      <c r="H244" s="23">
        <v>0</v>
      </c>
      <c r="I244" s="23">
        <v>40210</v>
      </c>
      <c r="J244" s="37">
        <v>15</v>
      </c>
      <c r="K244" s="24" t="s">
        <v>411</v>
      </c>
      <c r="L244" s="24" t="s">
        <v>1724</v>
      </c>
      <c r="M244" s="24">
        <v>40212</v>
      </c>
      <c r="N244" s="22" t="s">
        <v>1412</v>
      </c>
      <c r="O244" s="4">
        <v>9100388</v>
      </c>
      <c r="P244" s="22">
        <v>1010</v>
      </c>
      <c r="Q244" s="22" t="s">
        <v>1612</v>
      </c>
      <c r="R244" s="4" t="s">
        <v>2082</v>
      </c>
      <c r="S244" s="4" t="s">
        <v>404</v>
      </c>
      <c r="T244" s="28">
        <v>40770</v>
      </c>
      <c r="U244" s="4" t="s">
        <v>404</v>
      </c>
      <c r="V244" s="9">
        <v>40770</v>
      </c>
      <c r="W244" s="74">
        <v>0</v>
      </c>
      <c r="X244" s="9">
        <v>40381</v>
      </c>
      <c r="Y244" s="9"/>
      <c r="Z244" s="24" t="s">
        <v>393</v>
      </c>
      <c r="AA244" s="16"/>
    </row>
    <row r="245" spans="1:27" s="4" customFormat="1" ht="14.25" customHeight="1" x14ac:dyDescent="0.4">
      <c r="B245" s="22">
        <v>0</v>
      </c>
      <c r="C245" s="22" t="s">
        <v>2165</v>
      </c>
      <c r="D245" s="22">
        <v>0</v>
      </c>
      <c r="E245" s="24">
        <v>40226</v>
      </c>
      <c r="F245" s="24" t="s">
        <v>393</v>
      </c>
      <c r="G245" s="24">
        <v>40232</v>
      </c>
      <c r="H245" s="23">
        <v>0</v>
      </c>
      <c r="I245" s="23">
        <v>40210</v>
      </c>
      <c r="J245" s="37">
        <v>16</v>
      </c>
      <c r="K245" s="24" t="s">
        <v>411</v>
      </c>
      <c r="L245" s="24" t="s">
        <v>1724</v>
      </c>
      <c r="M245" s="24">
        <v>40212</v>
      </c>
      <c r="N245" s="22" t="s">
        <v>1412</v>
      </c>
      <c r="O245" s="4">
        <v>9100389</v>
      </c>
      <c r="P245" s="22">
        <v>1010</v>
      </c>
      <c r="Q245" s="22" t="s">
        <v>1613</v>
      </c>
      <c r="R245" s="4" t="s">
        <v>89</v>
      </c>
      <c r="S245" s="49" t="s">
        <v>404</v>
      </c>
      <c r="T245" s="28">
        <v>41058</v>
      </c>
      <c r="U245" s="3" t="s">
        <v>404</v>
      </c>
      <c r="V245" s="28">
        <v>41058</v>
      </c>
      <c r="W245" s="74">
        <v>0</v>
      </c>
      <c r="X245" s="28">
        <v>40381</v>
      </c>
      <c r="Y245" s="28"/>
      <c r="Z245" s="24" t="s">
        <v>393</v>
      </c>
      <c r="AA245" s="16"/>
    </row>
    <row r="246" spans="1:27" s="4" customFormat="1" ht="14.25" customHeight="1" x14ac:dyDescent="0.4">
      <c r="B246" s="22">
        <v>0</v>
      </c>
      <c r="C246" s="22" t="s">
        <v>2165</v>
      </c>
      <c r="D246" s="22">
        <v>0</v>
      </c>
      <c r="E246" s="24">
        <v>40298</v>
      </c>
      <c r="F246" s="24" t="s">
        <v>393</v>
      </c>
      <c r="G246" s="24">
        <v>40298</v>
      </c>
      <c r="H246" s="23">
        <v>0</v>
      </c>
      <c r="I246" s="23">
        <v>40269</v>
      </c>
      <c r="J246" s="37">
        <v>19</v>
      </c>
      <c r="K246" s="24" t="s">
        <v>411</v>
      </c>
      <c r="L246" s="24" t="s">
        <v>1724</v>
      </c>
      <c r="M246" s="24">
        <v>40274</v>
      </c>
      <c r="N246" s="22" t="s">
        <v>1706</v>
      </c>
      <c r="O246" s="4">
        <v>9100508</v>
      </c>
      <c r="P246" s="22">
        <v>1010</v>
      </c>
      <c r="Q246" s="22" t="s">
        <v>66</v>
      </c>
      <c r="R246" s="4" t="s">
        <v>997</v>
      </c>
      <c r="S246" s="38" t="s">
        <v>404</v>
      </c>
      <c r="T246" s="9">
        <v>40276</v>
      </c>
      <c r="U246" s="38" t="s">
        <v>404</v>
      </c>
      <c r="V246" s="9">
        <v>40326</v>
      </c>
      <c r="W246" s="74">
        <v>0</v>
      </c>
      <c r="X246" s="9">
        <v>40340</v>
      </c>
      <c r="Y246" s="9"/>
      <c r="Z246" s="24" t="s">
        <v>393</v>
      </c>
      <c r="AA246" s="16"/>
    </row>
    <row r="247" spans="1:27" ht="14.25" customHeight="1" x14ac:dyDescent="0.4">
      <c r="B247" s="22">
        <v>0</v>
      </c>
      <c r="C247" s="22" t="s">
        <v>2165</v>
      </c>
      <c r="D247" s="22">
        <v>0</v>
      </c>
      <c r="E247" s="24">
        <v>40029</v>
      </c>
      <c r="F247" s="24" t="s">
        <v>393</v>
      </c>
      <c r="G247" s="24">
        <v>40032</v>
      </c>
      <c r="H247" s="23">
        <v>0</v>
      </c>
      <c r="I247" s="23">
        <v>40026</v>
      </c>
      <c r="J247" s="37">
        <v>6</v>
      </c>
      <c r="K247" s="24" t="s">
        <v>411</v>
      </c>
      <c r="L247" s="24">
        <v>0</v>
      </c>
      <c r="M247" s="24">
        <v>40008</v>
      </c>
      <c r="N247" s="22" t="s">
        <v>604</v>
      </c>
      <c r="O247" s="4">
        <v>9100057</v>
      </c>
      <c r="P247" s="22">
        <v>1010</v>
      </c>
      <c r="Q247" s="22" t="s">
        <v>1347</v>
      </c>
      <c r="R247" s="4" t="s">
        <v>604</v>
      </c>
      <c r="S247" s="4" t="s">
        <v>404</v>
      </c>
      <c r="T247" s="9">
        <v>40261</v>
      </c>
      <c r="U247" s="4" t="s">
        <v>404</v>
      </c>
      <c r="V247" s="9">
        <v>40318</v>
      </c>
      <c r="W247" s="75">
        <v>0</v>
      </c>
      <c r="X247" s="28"/>
      <c r="Y247" s="28"/>
      <c r="Z247" s="24" t="s">
        <v>393</v>
      </c>
      <c r="AA247" s="16"/>
    </row>
    <row r="248" spans="1:27" ht="14.25" customHeight="1" x14ac:dyDescent="0.4">
      <c r="B248" s="22" t="s">
        <v>2165</v>
      </c>
      <c r="C248" s="22" t="s">
        <v>2165</v>
      </c>
      <c r="D248" s="22">
        <v>0</v>
      </c>
      <c r="E248" s="24">
        <v>40030</v>
      </c>
      <c r="F248" s="24" t="s">
        <v>393</v>
      </c>
      <c r="G248" s="24">
        <v>40035</v>
      </c>
      <c r="H248" s="23">
        <v>0</v>
      </c>
      <c r="I248" s="23">
        <v>40026</v>
      </c>
      <c r="J248" s="37">
        <v>7</v>
      </c>
      <c r="K248" s="24" t="s">
        <v>411</v>
      </c>
      <c r="L248" s="24">
        <v>0</v>
      </c>
      <c r="M248" s="24">
        <v>40008</v>
      </c>
      <c r="N248" s="22" t="s">
        <v>604</v>
      </c>
      <c r="O248" s="4">
        <v>9100058</v>
      </c>
      <c r="P248" s="22">
        <v>1210</v>
      </c>
      <c r="Q248" s="22" t="s">
        <v>1344</v>
      </c>
      <c r="R248" s="4" t="s">
        <v>604</v>
      </c>
      <c r="S248" s="4" t="s">
        <v>404</v>
      </c>
      <c r="T248" s="9">
        <v>40492</v>
      </c>
      <c r="U248" s="4" t="s">
        <v>404</v>
      </c>
      <c r="V248" s="9">
        <v>40492</v>
      </c>
      <c r="W248" s="75">
        <v>65</v>
      </c>
      <c r="X248" s="9"/>
      <c r="Y248" s="9"/>
      <c r="Z248" s="24" t="s">
        <v>393</v>
      </c>
      <c r="AA248" s="16"/>
    </row>
    <row r="249" spans="1:27" ht="14.25" customHeight="1" x14ac:dyDescent="0.4">
      <c r="B249" s="22">
        <v>0</v>
      </c>
      <c r="C249" s="22" t="s">
        <v>2102</v>
      </c>
      <c r="D249" s="22">
        <v>0</v>
      </c>
      <c r="E249" s="24">
        <v>40120</v>
      </c>
      <c r="F249" s="24" t="s">
        <v>393</v>
      </c>
      <c r="G249" s="24">
        <v>40129</v>
      </c>
      <c r="H249" s="23">
        <v>0</v>
      </c>
      <c r="I249" s="23">
        <v>40118</v>
      </c>
      <c r="J249" s="37">
        <v>6</v>
      </c>
      <c r="K249" s="24" t="s">
        <v>411</v>
      </c>
      <c r="L249" s="24" t="s">
        <v>1999</v>
      </c>
      <c r="M249" s="24">
        <v>40030</v>
      </c>
      <c r="N249" s="22" t="s">
        <v>604</v>
      </c>
      <c r="O249" s="3">
        <v>9100129</v>
      </c>
      <c r="P249" s="22">
        <v>1010</v>
      </c>
      <c r="Q249" s="22" t="s">
        <v>1614</v>
      </c>
      <c r="R249" s="4" t="s">
        <v>604</v>
      </c>
      <c r="S249" s="4" t="s">
        <v>404</v>
      </c>
      <c r="T249" s="9">
        <v>40101</v>
      </c>
      <c r="U249" s="4" t="s">
        <v>404</v>
      </c>
      <c r="V249" s="9">
        <v>40255</v>
      </c>
      <c r="W249" s="74">
        <v>0</v>
      </c>
      <c r="X249" s="28"/>
      <c r="Y249" s="28"/>
      <c r="Z249" s="24" t="s">
        <v>393</v>
      </c>
      <c r="AA249" s="16"/>
    </row>
    <row r="250" spans="1:27" s="4" customFormat="1" ht="14.25" customHeight="1" x14ac:dyDescent="0.4">
      <c r="A250"/>
      <c r="B250" s="22">
        <v>0</v>
      </c>
      <c r="C250" s="22">
        <v>0</v>
      </c>
      <c r="D250" s="22">
        <v>0</v>
      </c>
      <c r="E250" s="24">
        <v>40120</v>
      </c>
      <c r="F250" s="24" t="s">
        <v>393</v>
      </c>
      <c r="G250" s="24">
        <v>40123</v>
      </c>
      <c r="H250" s="23">
        <v>0</v>
      </c>
      <c r="I250" s="23">
        <v>40118</v>
      </c>
      <c r="J250" s="37">
        <v>7</v>
      </c>
      <c r="K250" s="24" t="s">
        <v>411</v>
      </c>
      <c r="L250" s="24" t="s">
        <v>1999</v>
      </c>
      <c r="M250" s="24">
        <v>40030</v>
      </c>
      <c r="N250" s="22" t="s">
        <v>604</v>
      </c>
      <c r="O250" s="3">
        <v>9100130</v>
      </c>
      <c r="P250" s="22">
        <v>1210</v>
      </c>
      <c r="Q250" s="22" t="s">
        <v>1615</v>
      </c>
      <c r="R250" s="4" t="s">
        <v>1003</v>
      </c>
      <c r="S250" s="4" t="s">
        <v>404</v>
      </c>
      <c r="T250" s="9">
        <v>40101</v>
      </c>
      <c r="U250" s="4" t="s">
        <v>404</v>
      </c>
      <c r="V250" s="9">
        <v>40238</v>
      </c>
      <c r="W250" s="74">
        <v>0</v>
      </c>
      <c r="X250" s="9">
        <v>40241</v>
      </c>
      <c r="Y250" s="9"/>
      <c r="Z250" s="24" t="s">
        <v>393</v>
      </c>
      <c r="AA250" s="16"/>
    </row>
    <row r="251" spans="1:27" s="4" customFormat="1" ht="14.25" customHeight="1" x14ac:dyDescent="0.4">
      <c r="A251"/>
      <c r="B251" s="22">
        <v>0</v>
      </c>
      <c r="C251" s="22" t="s">
        <v>2165</v>
      </c>
      <c r="D251" s="22">
        <v>0</v>
      </c>
      <c r="E251" s="24">
        <v>40084</v>
      </c>
      <c r="F251" s="24" t="s">
        <v>393</v>
      </c>
      <c r="G251" s="24">
        <v>40092</v>
      </c>
      <c r="H251" s="23">
        <v>0</v>
      </c>
      <c r="I251" s="23">
        <v>40087</v>
      </c>
      <c r="J251" s="37">
        <v>2</v>
      </c>
      <c r="K251" s="24" t="s">
        <v>411</v>
      </c>
      <c r="L251" s="24" t="s">
        <v>1993</v>
      </c>
      <c r="M251" s="24">
        <v>40030</v>
      </c>
      <c r="N251" s="22" t="s">
        <v>604</v>
      </c>
      <c r="O251" s="3">
        <v>9100131</v>
      </c>
      <c r="P251" s="22">
        <v>1210</v>
      </c>
      <c r="Q251" s="22" t="s">
        <v>1616</v>
      </c>
      <c r="R251" s="4" t="s">
        <v>604</v>
      </c>
      <c r="S251" s="3" t="s">
        <v>404</v>
      </c>
      <c r="T251" s="28">
        <v>40077</v>
      </c>
      <c r="U251" s="3" t="s">
        <v>404</v>
      </c>
      <c r="V251" s="28">
        <v>40238</v>
      </c>
      <c r="W251" s="74">
        <v>0</v>
      </c>
      <c r="X251" s="9">
        <v>40260</v>
      </c>
      <c r="Y251" s="9"/>
      <c r="Z251" s="24" t="s">
        <v>393</v>
      </c>
      <c r="AA251" s="16"/>
    </row>
    <row r="252" spans="1:27" s="4" customFormat="1" ht="14.25" customHeight="1" x14ac:dyDescent="0.4">
      <c r="A252"/>
      <c r="B252" s="22">
        <v>0</v>
      </c>
      <c r="C252" s="22">
        <v>0</v>
      </c>
      <c r="D252" s="22">
        <v>0</v>
      </c>
      <c r="E252" s="24">
        <v>40161</v>
      </c>
      <c r="F252" s="24" t="s">
        <v>393</v>
      </c>
      <c r="G252" s="24">
        <v>40163</v>
      </c>
      <c r="H252" s="23">
        <v>0</v>
      </c>
      <c r="I252" s="23">
        <v>40148</v>
      </c>
      <c r="J252" s="37">
        <v>11</v>
      </c>
      <c r="K252" s="32" t="s">
        <v>411</v>
      </c>
      <c r="L252" s="24" t="s">
        <v>1724</v>
      </c>
      <c r="M252" s="24">
        <v>40154</v>
      </c>
      <c r="N252" s="22" t="s">
        <v>604</v>
      </c>
      <c r="O252" s="4">
        <v>9100266</v>
      </c>
      <c r="P252" s="22">
        <v>1010</v>
      </c>
      <c r="Q252" s="22" t="s">
        <v>1575</v>
      </c>
      <c r="R252" s="4" t="s">
        <v>1003</v>
      </c>
      <c r="S252" s="3" t="s">
        <v>404</v>
      </c>
      <c r="T252" s="28">
        <v>40154</v>
      </c>
      <c r="U252" s="3" t="s">
        <v>404</v>
      </c>
      <c r="V252" s="28">
        <v>40238</v>
      </c>
      <c r="W252" s="74">
        <v>0</v>
      </c>
      <c r="X252" s="9">
        <v>40241</v>
      </c>
      <c r="Y252" s="9"/>
      <c r="Z252" s="24" t="s">
        <v>393</v>
      </c>
      <c r="AA252" s="16"/>
    </row>
    <row r="253" spans="1:27" s="4" customFormat="1" ht="14.25" customHeight="1" x14ac:dyDescent="0.4">
      <c r="B253" s="22">
        <v>0</v>
      </c>
      <c r="C253" s="22" t="s">
        <v>2165</v>
      </c>
      <c r="D253" s="22" t="s">
        <v>23</v>
      </c>
      <c r="E253" s="24">
        <v>40267</v>
      </c>
      <c r="F253" s="24" t="s">
        <v>393</v>
      </c>
      <c r="G253" s="24">
        <v>40277</v>
      </c>
      <c r="H253" s="23">
        <v>0</v>
      </c>
      <c r="I253" s="23">
        <v>40269</v>
      </c>
      <c r="J253" s="37">
        <v>1</v>
      </c>
      <c r="K253" s="32" t="s">
        <v>411</v>
      </c>
      <c r="L253" s="24" t="s">
        <v>1724</v>
      </c>
      <c r="M253" s="24">
        <v>40252</v>
      </c>
      <c r="N253" s="22" t="s">
        <v>604</v>
      </c>
      <c r="O253" s="4">
        <v>9100503</v>
      </c>
      <c r="P253" s="22">
        <v>1010</v>
      </c>
      <c r="Q253" s="22" t="s">
        <v>810</v>
      </c>
      <c r="R253" s="38" t="s">
        <v>604</v>
      </c>
      <c r="S253" s="38" t="s">
        <v>404</v>
      </c>
      <c r="T253" s="9">
        <v>40252</v>
      </c>
      <c r="U253" s="38" t="s">
        <v>404</v>
      </c>
      <c r="V253" s="9">
        <v>40296</v>
      </c>
      <c r="W253" s="74">
        <v>0</v>
      </c>
      <c r="X253" s="9">
        <v>40301</v>
      </c>
      <c r="Y253" s="9"/>
      <c r="Z253" s="24" t="s">
        <v>393</v>
      </c>
      <c r="AA253" s="16"/>
    </row>
    <row r="254" spans="1:27" s="4" customFormat="1" ht="14.25" customHeight="1" x14ac:dyDescent="0.4">
      <c r="A254"/>
      <c r="B254" s="22">
        <v>0</v>
      </c>
      <c r="C254" s="22" t="s">
        <v>2165</v>
      </c>
      <c r="D254" s="22">
        <v>0</v>
      </c>
      <c r="E254" s="24">
        <v>40037</v>
      </c>
      <c r="F254" s="24" t="s">
        <v>393</v>
      </c>
      <c r="G254" s="24">
        <v>40043</v>
      </c>
      <c r="H254" s="23">
        <v>0</v>
      </c>
      <c r="I254" s="23">
        <v>40026</v>
      </c>
      <c r="J254" s="37">
        <v>16</v>
      </c>
      <c r="K254" s="32" t="s">
        <v>411</v>
      </c>
      <c r="L254" s="24">
        <v>0</v>
      </c>
      <c r="M254" s="24">
        <v>40011</v>
      </c>
      <c r="N254" s="22" t="s">
        <v>604</v>
      </c>
      <c r="O254" s="4">
        <v>9100067</v>
      </c>
      <c r="P254" s="22">
        <v>715</v>
      </c>
      <c r="Q254" s="22" t="s">
        <v>1352</v>
      </c>
      <c r="R254" s="4" t="s">
        <v>258</v>
      </c>
      <c r="S254" s="4" t="s">
        <v>404</v>
      </c>
      <c r="T254" s="9">
        <v>40681</v>
      </c>
      <c r="U254" s="4" t="s">
        <v>404</v>
      </c>
      <c r="V254" s="9">
        <v>40681</v>
      </c>
      <c r="W254" s="75">
        <v>0</v>
      </c>
      <c r="X254" s="9">
        <v>40277</v>
      </c>
      <c r="Y254" s="28"/>
      <c r="Z254" s="24" t="s">
        <v>393</v>
      </c>
      <c r="AA254" s="16"/>
    </row>
    <row r="255" spans="1:27" s="4" customFormat="1" ht="14.25" customHeight="1" x14ac:dyDescent="0.4">
      <c r="A255"/>
      <c r="B255" s="22">
        <v>0</v>
      </c>
      <c r="C255" s="22" t="s">
        <v>2165</v>
      </c>
      <c r="D255" s="22">
        <v>0</v>
      </c>
      <c r="E255" s="24">
        <v>40036</v>
      </c>
      <c r="F255" s="24" t="s">
        <v>393</v>
      </c>
      <c r="G255" s="24">
        <v>40039</v>
      </c>
      <c r="H255" s="23">
        <v>0</v>
      </c>
      <c r="I255" s="23">
        <v>40026</v>
      </c>
      <c r="J255" s="37">
        <v>14</v>
      </c>
      <c r="K255" s="32" t="s">
        <v>411</v>
      </c>
      <c r="L255" s="24">
        <v>0</v>
      </c>
      <c r="M255" s="24">
        <v>40011</v>
      </c>
      <c r="N255" s="22" t="s">
        <v>575</v>
      </c>
      <c r="O255" s="4">
        <v>9100065</v>
      </c>
      <c r="P255" s="22">
        <v>715</v>
      </c>
      <c r="Q255" s="22" t="s">
        <v>1350</v>
      </c>
      <c r="R255" s="4" t="s">
        <v>683</v>
      </c>
      <c r="S255" s="4" t="s">
        <v>404</v>
      </c>
      <c r="T255" s="9">
        <v>40697</v>
      </c>
      <c r="U255" s="4" t="s">
        <v>404</v>
      </c>
      <c r="V255" s="9">
        <v>40697</v>
      </c>
      <c r="W255" s="75">
        <v>0</v>
      </c>
      <c r="X255" s="28">
        <v>40277</v>
      </c>
      <c r="Y255" s="28"/>
      <c r="Z255" s="24" t="s">
        <v>393</v>
      </c>
      <c r="AA255" s="16"/>
    </row>
    <row r="256" spans="1:27" s="4" customFormat="1" ht="14.25" customHeight="1" x14ac:dyDescent="0.4">
      <c r="A256"/>
      <c r="B256" s="22">
        <v>0</v>
      </c>
      <c r="C256" s="22">
        <v>0</v>
      </c>
      <c r="D256" s="22">
        <v>0</v>
      </c>
      <c r="E256" s="24">
        <v>40036</v>
      </c>
      <c r="F256" s="24" t="s">
        <v>393</v>
      </c>
      <c r="G256" s="24">
        <v>40042</v>
      </c>
      <c r="H256" s="23">
        <v>0</v>
      </c>
      <c r="I256" s="23">
        <v>40026</v>
      </c>
      <c r="J256" s="37">
        <v>15</v>
      </c>
      <c r="K256" s="32" t="s">
        <v>411</v>
      </c>
      <c r="L256" s="24">
        <v>0</v>
      </c>
      <c r="M256" s="24">
        <v>40011</v>
      </c>
      <c r="N256" s="22" t="s">
        <v>575</v>
      </c>
      <c r="O256" s="4">
        <v>9100066</v>
      </c>
      <c r="P256" s="22">
        <v>715</v>
      </c>
      <c r="Q256" s="22" t="s">
        <v>1351</v>
      </c>
      <c r="R256" s="4" t="s">
        <v>683</v>
      </c>
      <c r="S256" s="4" t="s">
        <v>404</v>
      </c>
      <c r="T256" s="9">
        <v>40660</v>
      </c>
      <c r="U256" s="4" t="s">
        <v>404</v>
      </c>
      <c r="V256" s="9">
        <v>40660</v>
      </c>
      <c r="W256" s="75">
        <v>0</v>
      </c>
      <c r="X256" s="9">
        <v>40277</v>
      </c>
      <c r="Y256" s="9"/>
      <c r="Z256" s="24" t="s">
        <v>393</v>
      </c>
      <c r="AA256" s="16"/>
    </row>
    <row r="257" spans="1:27" s="4" customFormat="1" ht="14.25" customHeight="1" x14ac:dyDescent="0.4">
      <c r="A257"/>
      <c r="B257" s="22">
        <v>0</v>
      </c>
      <c r="C257" s="22" t="s">
        <v>2165</v>
      </c>
      <c r="D257" s="22">
        <v>0</v>
      </c>
      <c r="E257" s="24">
        <v>40037</v>
      </c>
      <c r="F257" s="24" t="s">
        <v>393</v>
      </c>
      <c r="G257" s="24">
        <v>40043</v>
      </c>
      <c r="H257" s="23">
        <v>0</v>
      </c>
      <c r="I257" s="23">
        <v>40026</v>
      </c>
      <c r="J257" s="37">
        <v>17</v>
      </c>
      <c r="K257" s="32" t="s">
        <v>411</v>
      </c>
      <c r="L257" s="24">
        <v>0</v>
      </c>
      <c r="M257" s="24">
        <v>40011</v>
      </c>
      <c r="N257" s="22" t="s">
        <v>575</v>
      </c>
      <c r="O257" s="4">
        <v>9100068</v>
      </c>
      <c r="P257" s="22">
        <v>1210</v>
      </c>
      <c r="Q257" s="22" t="s">
        <v>1353</v>
      </c>
      <c r="R257" s="4" t="s">
        <v>683</v>
      </c>
      <c r="S257" s="4" t="s">
        <v>404</v>
      </c>
      <c r="T257" s="9">
        <v>40163</v>
      </c>
      <c r="U257" s="4" t="s">
        <v>404</v>
      </c>
      <c r="V257" s="9">
        <v>40224</v>
      </c>
      <c r="W257" s="75">
        <v>0</v>
      </c>
      <c r="X257" s="9">
        <v>40228</v>
      </c>
      <c r="Y257" s="28"/>
      <c r="Z257" s="24" t="s">
        <v>393</v>
      </c>
      <c r="AA257" s="16"/>
    </row>
    <row r="258" spans="1:27" s="4" customFormat="1" ht="14.25" customHeight="1" x14ac:dyDescent="0.4">
      <c r="A258"/>
      <c r="B258" s="22">
        <v>0</v>
      </c>
      <c r="C258" s="22">
        <v>0</v>
      </c>
      <c r="D258" s="22">
        <v>0</v>
      </c>
      <c r="E258" s="24">
        <v>40128</v>
      </c>
      <c r="F258" s="24" t="s">
        <v>393</v>
      </c>
      <c r="G258" s="24">
        <v>40136</v>
      </c>
      <c r="H258" s="23">
        <v>0</v>
      </c>
      <c r="I258" s="23">
        <v>40118</v>
      </c>
      <c r="J258" s="37">
        <v>13</v>
      </c>
      <c r="K258" s="32" t="s">
        <v>411</v>
      </c>
      <c r="L258" s="24">
        <v>0</v>
      </c>
      <c r="M258" s="24">
        <v>40064</v>
      </c>
      <c r="N258" s="22" t="s">
        <v>575</v>
      </c>
      <c r="O258" s="4">
        <v>9100201</v>
      </c>
      <c r="P258" s="22">
        <v>1010</v>
      </c>
      <c r="Q258" s="22" t="s">
        <v>1617</v>
      </c>
      <c r="R258" s="4" t="s">
        <v>976</v>
      </c>
      <c r="S258" s="3" t="s">
        <v>404</v>
      </c>
      <c r="T258" s="28">
        <v>40101</v>
      </c>
      <c r="U258" s="3" t="s">
        <v>404</v>
      </c>
      <c r="V258" s="28">
        <v>40252</v>
      </c>
      <c r="W258" s="74">
        <v>0</v>
      </c>
      <c r="X258" s="9">
        <v>40254</v>
      </c>
      <c r="Y258" s="9"/>
      <c r="Z258" s="24" t="s">
        <v>393</v>
      </c>
      <c r="AA258" s="16"/>
    </row>
    <row r="259" spans="1:27" s="4" customFormat="1" ht="14.25" customHeight="1" x14ac:dyDescent="0.4">
      <c r="B259" s="22">
        <v>0</v>
      </c>
      <c r="C259" s="22">
        <v>0</v>
      </c>
      <c r="D259" s="22">
        <v>0</v>
      </c>
      <c r="E259" s="24" t="s">
        <v>28</v>
      </c>
      <c r="F259" s="24" t="s">
        <v>393</v>
      </c>
      <c r="G259" s="24">
        <v>40268</v>
      </c>
      <c r="H259" s="23">
        <v>0</v>
      </c>
      <c r="I259" s="23">
        <v>40238</v>
      </c>
      <c r="J259" s="37">
        <v>15</v>
      </c>
      <c r="K259" s="32" t="s">
        <v>411</v>
      </c>
      <c r="L259" s="24" t="s">
        <v>2001</v>
      </c>
      <c r="M259" s="24">
        <v>40064</v>
      </c>
      <c r="N259" s="22" t="s">
        <v>575</v>
      </c>
      <c r="O259" s="4">
        <v>9100202</v>
      </c>
      <c r="P259" s="22">
        <v>1010</v>
      </c>
      <c r="Q259" s="22" t="s">
        <v>1618</v>
      </c>
      <c r="R259" s="4" t="s">
        <v>683</v>
      </c>
      <c r="S259" s="3" t="s">
        <v>404</v>
      </c>
      <c r="T259" s="28">
        <v>40354</v>
      </c>
      <c r="U259" s="3" t="s">
        <v>404</v>
      </c>
      <c r="V259" s="28">
        <v>40354</v>
      </c>
      <c r="W259" s="74">
        <v>0</v>
      </c>
      <c r="X259" s="9">
        <v>40340</v>
      </c>
      <c r="Y259" s="9"/>
      <c r="Z259" s="24" t="s">
        <v>393</v>
      </c>
      <c r="AA259" s="16"/>
    </row>
    <row r="260" spans="1:27" s="4" customFormat="1" ht="14.25" customHeight="1" x14ac:dyDescent="0.4">
      <c r="A260"/>
      <c r="B260" s="22">
        <v>0</v>
      </c>
      <c r="C260" s="22" t="s">
        <v>2165</v>
      </c>
      <c r="D260" s="22">
        <v>0</v>
      </c>
      <c r="E260" s="24">
        <v>40256</v>
      </c>
      <c r="F260" s="24" t="s">
        <v>393</v>
      </c>
      <c r="G260" s="24">
        <v>40268</v>
      </c>
      <c r="H260" s="23">
        <v>0</v>
      </c>
      <c r="I260" s="23">
        <v>40238</v>
      </c>
      <c r="J260" s="37">
        <v>14</v>
      </c>
      <c r="K260" s="32" t="s">
        <v>411</v>
      </c>
      <c r="L260" s="24" t="s">
        <v>2001</v>
      </c>
      <c r="M260" s="24">
        <v>40064</v>
      </c>
      <c r="N260" s="22" t="s">
        <v>575</v>
      </c>
      <c r="O260" s="4">
        <v>9100244</v>
      </c>
      <c r="P260" s="22">
        <v>1010</v>
      </c>
      <c r="Q260" s="22" t="s">
        <v>1619</v>
      </c>
      <c r="R260" s="4" t="s">
        <v>976</v>
      </c>
      <c r="S260" s="3" t="s">
        <v>404</v>
      </c>
      <c r="T260" s="28">
        <v>40816</v>
      </c>
      <c r="U260" s="3"/>
      <c r="V260" s="28"/>
      <c r="W260" s="74">
        <v>0</v>
      </c>
      <c r="X260" s="28">
        <v>40344</v>
      </c>
      <c r="Y260" s="28"/>
      <c r="Z260" s="24" t="s">
        <v>393</v>
      </c>
      <c r="AA260" s="16"/>
    </row>
    <row r="261" spans="1:27" s="4" customFormat="1" ht="14.25" customHeight="1" x14ac:dyDescent="0.4">
      <c r="A261"/>
      <c r="B261" s="22">
        <v>0</v>
      </c>
      <c r="C261" s="22">
        <v>0</v>
      </c>
      <c r="D261" s="22">
        <v>0</v>
      </c>
      <c r="E261" s="24">
        <v>40031</v>
      </c>
      <c r="F261" s="24" t="s">
        <v>393</v>
      </c>
      <c r="G261" s="24">
        <v>40036</v>
      </c>
      <c r="H261" s="23">
        <v>0</v>
      </c>
      <c r="I261" s="23">
        <v>40026</v>
      </c>
      <c r="J261" s="37">
        <v>9</v>
      </c>
      <c r="K261" s="32" t="s">
        <v>411</v>
      </c>
      <c r="L261" s="24">
        <v>0</v>
      </c>
      <c r="M261" s="24">
        <v>40008</v>
      </c>
      <c r="N261" s="22" t="s">
        <v>1716</v>
      </c>
      <c r="O261" s="4">
        <v>9100060</v>
      </c>
      <c r="P261" s="22">
        <v>1210</v>
      </c>
      <c r="Q261" s="22" t="s">
        <v>1715</v>
      </c>
      <c r="R261" s="4" t="s">
        <v>1736</v>
      </c>
      <c r="S261" s="4" t="s">
        <v>404</v>
      </c>
      <c r="T261" s="9">
        <v>40282</v>
      </c>
      <c r="U261" s="4" t="s">
        <v>404</v>
      </c>
      <c r="V261" s="9">
        <v>40312</v>
      </c>
      <c r="W261" s="75">
        <v>0</v>
      </c>
      <c r="X261" s="9">
        <v>40318</v>
      </c>
      <c r="Y261" s="9"/>
      <c r="Z261" s="24" t="s">
        <v>393</v>
      </c>
      <c r="AA261" s="16"/>
    </row>
    <row r="262" spans="1:27" s="4" customFormat="1" ht="14.25" customHeight="1" x14ac:dyDescent="0.4">
      <c r="B262" s="22">
        <v>0</v>
      </c>
      <c r="C262" s="22" t="s">
        <v>2165</v>
      </c>
      <c r="D262" s="22">
        <v>0</v>
      </c>
      <c r="E262" s="24">
        <v>40322</v>
      </c>
      <c r="F262" s="24" t="s">
        <v>393</v>
      </c>
      <c r="G262" s="24">
        <v>40325</v>
      </c>
      <c r="H262" s="23">
        <v>0</v>
      </c>
      <c r="I262" s="23">
        <v>40299</v>
      </c>
      <c r="J262" s="37">
        <v>11</v>
      </c>
      <c r="K262" s="32" t="s">
        <v>411</v>
      </c>
      <c r="L262" s="24" t="s">
        <v>1724</v>
      </c>
      <c r="M262" s="24">
        <v>40303</v>
      </c>
      <c r="N262" s="22" t="s">
        <v>581</v>
      </c>
      <c r="O262" s="4">
        <v>9100809</v>
      </c>
      <c r="P262" s="22">
        <v>1210</v>
      </c>
      <c r="Q262" s="22" t="s">
        <v>67</v>
      </c>
      <c r="R262" s="4" t="s">
        <v>1027</v>
      </c>
      <c r="S262" s="38" t="s">
        <v>404</v>
      </c>
      <c r="T262" s="9">
        <v>40304</v>
      </c>
      <c r="U262" s="38" t="s">
        <v>404</v>
      </c>
      <c r="V262" s="9">
        <v>40274</v>
      </c>
      <c r="W262" s="74">
        <v>0</v>
      </c>
      <c r="X262" s="9">
        <v>40337</v>
      </c>
      <c r="Y262" s="9"/>
      <c r="Z262" s="24" t="s">
        <v>393</v>
      </c>
      <c r="AA262" s="16"/>
    </row>
    <row r="263" spans="1:27" s="4" customFormat="1" ht="14.25" customHeight="1" x14ac:dyDescent="0.4">
      <c r="B263" s="22">
        <v>0</v>
      </c>
      <c r="C263" s="22">
        <v>0</v>
      </c>
      <c r="D263" s="22">
        <v>0</v>
      </c>
      <c r="E263" s="24">
        <v>40330</v>
      </c>
      <c r="F263" s="24" t="s">
        <v>393</v>
      </c>
      <c r="G263" s="24">
        <v>40332</v>
      </c>
      <c r="H263" s="23">
        <v>0</v>
      </c>
      <c r="I263" s="23">
        <v>40330</v>
      </c>
      <c r="J263" s="37">
        <v>1</v>
      </c>
      <c r="K263" s="32" t="s">
        <v>411</v>
      </c>
      <c r="L263" s="24" t="s">
        <v>1724</v>
      </c>
      <c r="M263" s="24">
        <v>40309</v>
      </c>
      <c r="N263" s="22" t="s">
        <v>581</v>
      </c>
      <c r="O263" s="4">
        <v>9101000</v>
      </c>
      <c r="P263" s="22">
        <v>1010</v>
      </c>
      <c r="Q263" s="22" t="s">
        <v>696</v>
      </c>
      <c r="R263" s="4" t="s">
        <v>1027</v>
      </c>
      <c r="S263" s="38" t="s">
        <v>404</v>
      </c>
      <c r="T263" s="9">
        <v>40389</v>
      </c>
      <c r="U263" s="38" t="s">
        <v>404</v>
      </c>
      <c r="V263" s="9">
        <v>40389</v>
      </c>
      <c r="W263" s="74">
        <v>0</v>
      </c>
      <c r="X263" s="9">
        <v>40345</v>
      </c>
      <c r="Y263" s="9"/>
      <c r="Z263" s="24" t="s">
        <v>393</v>
      </c>
      <c r="AA263" s="16"/>
    </row>
    <row r="264" spans="1:27" s="4" customFormat="1" ht="14.25" customHeight="1" x14ac:dyDescent="0.4">
      <c r="B264" s="22">
        <v>0</v>
      </c>
      <c r="C264" s="22">
        <v>0</v>
      </c>
      <c r="D264" s="22">
        <v>0</v>
      </c>
      <c r="E264" s="24">
        <v>40331</v>
      </c>
      <c r="F264" s="24" t="s">
        <v>393</v>
      </c>
      <c r="G264" s="24">
        <v>40337</v>
      </c>
      <c r="H264" s="23">
        <v>0</v>
      </c>
      <c r="I264" s="23">
        <v>40330</v>
      </c>
      <c r="J264" s="37">
        <v>2</v>
      </c>
      <c r="K264" s="32" t="s">
        <v>411</v>
      </c>
      <c r="L264" s="24" t="s">
        <v>1724</v>
      </c>
      <c r="M264" s="24">
        <v>40309</v>
      </c>
      <c r="N264" s="22" t="s">
        <v>581</v>
      </c>
      <c r="O264" s="4">
        <v>9101001</v>
      </c>
      <c r="P264" s="22">
        <v>1010</v>
      </c>
      <c r="Q264" s="22" t="s">
        <v>698</v>
      </c>
      <c r="R264" s="4" t="s">
        <v>1026</v>
      </c>
      <c r="S264" s="38" t="s">
        <v>404</v>
      </c>
      <c r="T264" s="9">
        <v>40695</v>
      </c>
      <c r="U264" s="38" t="s">
        <v>404</v>
      </c>
      <c r="V264" s="9">
        <v>40695</v>
      </c>
      <c r="W264" s="74">
        <v>0</v>
      </c>
      <c r="X264" s="9">
        <v>40347</v>
      </c>
      <c r="Y264" s="9"/>
      <c r="Z264" s="24" t="s">
        <v>393</v>
      </c>
      <c r="AA264" s="16"/>
    </row>
    <row r="265" spans="1:27" s="4" customFormat="1" ht="14.25" customHeight="1" x14ac:dyDescent="0.4">
      <c r="A265"/>
      <c r="B265" s="22">
        <v>0</v>
      </c>
      <c r="C265" s="22" t="s">
        <v>2165</v>
      </c>
      <c r="D265" s="22">
        <v>0</v>
      </c>
      <c r="E265" s="24">
        <v>40035</v>
      </c>
      <c r="F265" s="24" t="s">
        <v>393</v>
      </c>
      <c r="G265" s="24">
        <v>40042</v>
      </c>
      <c r="H265" s="23">
        <v>0</v>
      </c>
      <c r="I265" s="23">
        <v>40026</v>
      </c>
      <c r="J265" s="37">
        <v>12</v>
      </c>
      <c r="K265" s="32" t="s">
        <v>411</v>
      </c>
      <c r="L265" s="24">
        <v>0</v>
      </c>
      <c r="M265" s="24">
        <v>40009</v>
      </c>
      <c r="N265" s="22" t="s">
        <v>584</v>
      </c>
      <c r="O265" s="4">
        <v>9100063</v>
      </c>
      <c r="P265" s="22">
        <v>1010</v>
      </c>
      <c r="Q265" s="22" t="s">
        <v>1347</v>
      </c>
      <c r="R265" s="4" t="s">
        <v>678</v>
      </c>
      <c r="S265" s="4" t="s">
        <v>404</v>
      </c>
      <c r="T265" s="9">
        <v>40312</v>
      </c>
      <c r="U265" s="4" t="s">
        <v>404</v>
      </c>
      <c r="V265" s="9">
        <v>40312</v>
      </c>
      <c r="W265" s="75">
        <v>0</v>
      </c>
      <c r="X265" s="28">
        <v>40133</v>
      </c>
      <c r="Y265" s="28"/>
      <c r="Z265" s="24" t="s">
        <v>393</v>
      </c>
      <c r="AA265" s="16"/>
    </row>
    <row r="266" spans="1:27" s="4" customFormat="1" ht="14.25" customHeight="1" x14ac:dyDescent="0.4">
      <c r="A266"/>
      <c r="B266" s="22">
        <v>0</v>
      </c>
      <c r="C266" s="22">
        <v>0</v>
      </c>
      <c r="D266" s="22">
        <v>0</v>
      </c>
      <c r="E266" s="24">
        <v>40035</v>
      </c>
      <c r="F266" s="24" t="s">
        <v>393</v>
      </c>
      <c r="G266" s="24">
        <v>40042</v>
      </c>
      <c r="H266" s="23">
        <v>0</v>
      </c>
      <c r="I266" s="23">
        <v>40026</v>
      </c>
      <c r="J266" s="37">
        <v>13</v>
      </c>
      <c r="K266" s="32" t="s">
        <v>411</v>
      </c>
      <c r="L266" s="24">
        <v>0</v>
      </c>
      <c r="M266" s="24">
        <v>40009</v>
      </c>
      <c r="N266" s="22" t="s">
        <v>584</v>
      </c>
      <c r="O266" s="4">
        <v>9100064</v>
      </c>
      <c r="P266" s="22">
        <v>1210</v>
      </c>
      <c r="Q266" s="22" t="s">
        <v>1344</v>
      </c>
      <c r="R266" s="4" t="s">
        <v>678</v>
      </c>
      <c r="S266" s="4" t="s">
        <v>404</v>
      </c>
      <c r="T266" s="9">
        <v>40504</v>
      </c>
      <c r="U266" s="4" t="s">
        <v>404</v>
      </c>
      <c r="V266" s="9" t="s">
        <v>2078</v>
      </c>
      <c r="W266" s="75">
        <v>0</v>
      </c>
      <c r="X266" s="9">
        <v>40133</v>
      </c>
      <c r="Y266" s="9"/>
      <c r="Z266" s="24" t="s">
        <v>393</v>
      </c>
      <c r="AA266" s="16"/>
    </row>
    <row r="267" spans="1:27" ht="14.25" customHeight="1" x14ac:dyDescent="0.4">
      <c r="B267" s="22">
        <v>0</v>
      </c>
      <c r="C267" s="22" t="s">
        <v>2165</v>
      </c>
      <c r="D267" s="22">
        <v>0</v>
      </c>
      <c r="E267" s="24">
        <v>40136</v>
      </c>
      <c r="F267" s="24" t="s">
        <v>393</v>
      </c>
      <c r="G267" s="24">
        <v>40147</v>
      </c>
      <c r="H267" s="23">
        <v>0</v>
      </c>
      <c r="I267" s="23">
        <v>40118</v>
      </c>
      <c r="J267" s="37">
        <v>22</v>
      </c>
      <c r="K267" s="32" t="s">
        <v>411</v>
      </c>
      <c r="L267" s="24" t="s">
        <v>1999</v>
      </c>
      <c r="M267" s="24">
        <v>40030</v>
      </c>
      <c r="N267" s="22" t="s">
        <v>584</v>
      </c>
      <c r="O267" s="3">
        <v>9100106</v>
      </c>
      <c r="P267" s="22">
        <v>1010</v>
      </c>
      <c r="Q267" s="22" t="s">
        <v>698</v>
      </c>
      <c r="R267" s="4" t="s">
        <v>678</v>
      </c>
      <c r="S267" s="4" t="s">
        <v>404</v>
      </c>
      <c r="T267" s="9">
        <v>40129</v>
      </c>
      <c r="U267" s="4" t="s">
        <v>404</v>
      </c>
      <c r="V267" s="9">
        <v>40224</v>
      </c>
      <c r="W267" s="74">
        <v>0</v>
      </c>
      <c r="X267" s="28">
        <v>40219</v>
      </c>
      <c r="Y267" s="28"/>
      <c r="Z267" s="24" t="s">
        <v>393</v>
      </c>
      <c r="AA267" s="16"/>
    </row>
    <row r="268" spans="1:27" s="5" customFormat="1" ht="14.25" customHeight="1" x14ac:dyDescent="0.4">
      <c r="A268"/>
      <c r="B268" s="22">
        <v>0</v>
      </c>
      <c r="C268" s="22">
        <v>0</v>
      </c>
      <c r="D268" s="22">
        <v>0</v>
      </c>
      <c r="E268" s="24">
        <v>40032</v>
      </c>
      <c r="F268" s="24" t="s">
        <v>393</v>
      </c>
      <c r="G268" s="24">
        <v>40037</v>
      </c>
      <c r="H268" s="23">
        <v>0</v>
      </c>
      <c r="I268" s="23">
        <v>40026</v>
      </c>
      <c r="J268" s="37">
        <v>10</v>
      </c>
      <c r="K268" s="32" t="s">
        <v>411</v>
      </c>
      <c r="L268" s="24">
        <v>0</v>
      </c>
      <c r="M268" s="24">
        <v>40008</v>
      </c>
      <c r="N268" s="22" t="s">
        <v>587</v>
      </c>
      <c r="O268" s="4">
        <v>9100061</v>
      </c>
      <c r="P268" s="22">
        <v>1010</v>
      </c>
      <c r="Q268" s="22" t="s">
        <v>1347</v>
      </c>
      <c r="R268" s="4" t="s">
        <v>679</v>
      </c>
      <c r="S268" s="4" t="s">
        <v>404</v>
      </c>
      <c r="T268" s="9">
        <v>40249</v>
      </c>
      <c r="U268" s="4" t="s">
        <v>404</v>
      </c>
      <c r="V268" s="9">
        <v>40252</v>
      </c>
      <c r="W268" s="75">
        <v>0</v>
      </c>
      <c r="X268" s="28">
        <v>40171</v>
      </c>
      <c r="Y268" s="28"/>
      <c r="Z268" s="24" t="s">
        <v>393</v>
      </c>
      <c r="AA268" s="16"/>
    </row>
    <row r="269" spans="1:27" ht="14.25" customHeight="1" x14ac:dyDescent="0.4">
      <c r="B269" s="22">
        <v>0</v>
      </c>
      <c r="C269" s="22" t="s">
        <v>2165</v>
      </c>
      <c r="D269" s="22">
        <v>0</v>
      </c>
      <c r="E269" s="24">
        <v>40032</v>
      </c>
      <c r="F269" s="24" t="s">
        <v>393</v>
      </c>
      <c r="G269" s="24">
        <v>40038</v>
      </c>
      <c r="H269" s="23">
        <v>0</v>
      </c>
      <c r="I269" s="23">
        <v>40026</v>
      </c>
      <c r="J269" s="37">
        <v>11</v>
      </c>
      <c r="K269" s="32" t="s">
        <v>411</v>
      </c>
      <c r="L269" s="24">
        <v>0</v>
      </c>
      <c r="M269" s="24">
        <v>40008</v>
      </c>
      <c r="N269" s="22" t="s">
        <v>587</v>
      </c>
      <c r="O269" s="4">
        <v>9100062</v>
      </c>
      <c r="P269" s="22">
        <v>1010</v>
      </c>
      <c r="Q269" s="22" t="s">
        <v>1344</v>
      </c>
      <c r="R269" s="4" t="s">
        <v>679</v>
      </c>
      <c r="S269" s="4" t="s">
        <v>404</v>
      </c>
      <c r="T269" s="9">
        <v>40180</v>
      </c>
      <c r="U269" s="4" t="s">
        <v>404</v>
      </c>
      <c r="V269" s="9">
        <v>40206</v>
      </c>
      <c r="W269" s="75">
        <v>0</v>
      </c>
      <c r="X269" s="28">
        <v>40171</v>
      </c>
      <c r="Y269" s="28"/>
      <c r="Z269" s="24" t="s">
        <v>393</v>
      </c>
      <c r="AA269" s="16"/>
    </row>
    <row r="270" spans="1:27" ht="14.25" customHeight="1" x14ac:dyDescent="0.4">
      <c r="B270" s="22">
        <v>0</v>
      </c>
      <c r="C270" s="22" t="s">
        <v>2165</v>
      </c>
      <c r="D270" s="22">
        <v>0</v>
      </c>
      <c r="E270" s="24">
        <v>0</v>
      </c>
      <c r="F270" s="24" t="s">
        <v>393</v>
      </c>
      <c r="G270" s="24">
        <v>40078</v>
      </c>
      <c r="H270" s="23">
        <v>0</v>
      </c>
      <c r="I270" s="23">
        <v>40057</v>
      </c>
      <c r="J270" s="37">
        <v>17</v>
      </c>
      <c r="K270" s="32" t="s">
        <v>411</v>
      </c>
      <c r="L270" s="24">
        <v>0</v>
      </c>
      <c r="M270" s="24">
        <v>40030</v>
      </c>
      <c r="N270" s="22" t="s">
        <v>587</v>
      </c>
      <c r="O270" s="3">
        <v>9100105</v>
      </c>
      <c r="P270" s="22">
        <v>1210</v>
      </c>
      <c r="Q270" s="22" t="s">
        <v>698</v>
      </c>
      <c r="R270" s="4" t="s">
        <v>679</v>
      </c>
      <c r="S270" s="4" t="s">
        <v>404</v>
      </c>
      <c r="T270" s="9">
        <v>40648</v>
      </c>
      <c r="U270" s="4" t="s">
        <v>404</v>
      </c>
      <c r="V270" s="9">
        <v>40648</v>
      </c>
      <c r="W270" s="74">
        <v>0</v>
      </c>
      <c r="X270" s="28">
        <v>40171</v>
      </c>
      <c r="Y270" s="28"/>
      <c r="Z270" s="24" t="s">
        <v>393</v>
      </c>
      <c r="AA270" s="16"/>
    </row>
    <row r="271" spans="1:27" ht="14.25" customHeight="1" x14ac:dyDescent="0.4">
      <c r="B271" s="22">
        <v>0</v>
      </c>
      <c r="C271" s="22" t="s">
        <v>2165</v>
      </c>
      <c r="D271" s="22">
        <v>0</v>
      </c>
      <c r="E271" s="24">
        <v>40304</v>
      </c>
      <c r="F271" s="24" t="s">
        <v>393</v>
      </c>
      <c r="G271" s="24">
        <v>40305</v>
      </c>
      <c r="H271" s="23">
        <v>0</v>
      </c>
      <c r="I271" s="23">
        <v>40299</v>
      </c>
      <c r="J271" s="37">
        <v>1</v>
      </c>
      <c r="K271" s="32" t="s">
        <v>411</v>
      </c>
      <c r="L271" s="24" t="s">
        <v>1724</v>
      </c>
      <c r="M271" s="24">
        <v>40285</v>
      </c>
      <c r="N271" s="22" t="s">
        <v>587</v>
      </c>
      <c r="O271" s="4">
        <v>9100605</v>
      </c>
      <c r="P271" s="22">
        <v>1010</v>
      </c>
      <c r="Q271" s="22" t="s">
        <v>699</v>
      </c>
      <c r="R271" s="4" t="s">
        <v>679</v>
      </c>
      <c r="S271" s="38" t="s">
        <v>404</v>
      </c>
      <c r="T271" s="9">
        <v>40252</v>
      </c>
      <c r="U271" s="38" t="s">
        <v>404</v>
      </c>
      <c r="V271" s="9">
        <v>40283</v>
      </c>
      <c r="W271" s="74">
        <v>0</v>
      </c>
      <c r="X271" s="9">
        <v>40324</v>
      </c>
      <c r="Y271" s="9"/>
      <c r="Z271" s="24" t="s">
        <v>393</v>
      </c>
      <c r="AA271" s="16"/>
    </row>
    <row r="272" spans="1:27" s="4" customFormat="1" ht="14.25" customHeight="1" x14ac:dyDescent="0.4">
      <c r="A272"/>
      <c r="B272" s="22">
        <v>0</v>
      </c>
      <c r="C272" s="22" t="s">
        <v>2102</v>
      </c>
      <c r="D272" s="22">
        <v>0</v>
      </c>
      <c r="E272" s="24">
        <v>40030</v>
      </c>
      <c r="F272" s="24" t="s">
        <v>393</v>
      </c>
      <c r="G272" s="24">
        <v>40036</v>
      </c>
      <c r="H272" s="23">
        <v>0</v>
      </c>
      <c r="I272" s="23">
        <v>40026</v>
      </c>
      <c r="J272" s="37">
        <v>8</v>
      </c>
      <c r="K272" s="32" t="s">
        <v>411</v>
      </c>
      <c r="L272" s="24">
        <v>0</v>
      </c>
      <c r="M272" s="24">
        <v>40008</v>
      </c>
      <c r="N272" s="90" t="s">
        <v>673</v>
      </c>
      <c r="O272" s="4">
        <v>9100059</v>
      </c>
      <c r="P272" s="22">
        <v>1010</v>
      </c>
      <c r="Q272" s="22" t="s">
        <v>1347</v>
      </c>
      <c r="R272" s="4" t="s">
        <v>605</v>
      </c>
      <c r="S272" s="4" t="s">
        <v>404</v>
      </c>
      <c r="T272" s="9">
        <v>40262</v>
      </c>
      <c r="U272" s="4" t="s">
        <v>404</v>
      </c>
      <c r="V272" s="9">
        <v>40266</v>
      </c>
      <c r="W272" s="75">
        <v>0</v>
      </c>
      <c r="X272" s="9">
        <v>40266</v>
      </c>
      <c r="Y272" s="28"/>
      <c r="Z272" s="24" t="s">
        <v>393</v>
      </c>
      <c r="AA272" s="16"/>
    </row>
    <row r="273" spans="1:27" s="4" customFormat="1" ht="14.25" customHeight="1" x14ac:dyDescent="0.4">
      <c r="A273"/>
      <c r="B273" s="22">
        <v>0</v>
      </c>
      <c r="C273" s="22" t="s">
        <v>2165</v>
      </c>
      <c r="D273" s="22">
        <v>0</v>
      </c>
      <c r="E273" s="24">
        <v>40045</v>
      </c>
      <c r="F273" s="24" t="s">
        <v>393</v>
      </c>
      <c r="G273" s="24">
        <v>40051</v>
      </c>
      <c r="H273" s="23">
        <v>0</v>
      </c>
      <c r="I273" s="23">
        <v>40026</v>
      </c>
      <c r="J273" s="37">
        <v>29</v>
      </c>
      <c r="K273" s="32" t="s">
        <v>411</v>
      </c>
      <c r="L273" s="24" t="s">
        <v>1724</v>
      </c>
      <c r="M273" s="24">
        <v>40031</v>
      </c>
      <c r="N273" s="22" t="s">
        <v>673</v>
      </c>
      <c r="O273" s="4">
        <v>9100160</v>
      </c>
      <c r="P273" s="22">
        <v>715</v>
      </c>
      <c r="Q273" s="22" t="s">
        <v>1348</v>
      </c>
      <c r="R273" s="4" t="s">
        <v>605</v>
      </c>
      <c r="S273" s="3" t="s">
        <v>404</v>
      </c>
      <c r="T273" s="28">
        <v>40142</v>
      </c>
      <c r="U273" s="3" t="s">
        <v>404</v>
      </c>
      <c r="V273" s="28">
        <v>40142</v>
      </c>
      <c r="W273" s="75">
        <v>0</v>
      </c>
      <c r="X273" s="28">
        <v>40130</v>
      </c>
      <c r="Y273" s="28"/>
      <c r="Z273" s="24" t="s">
        <v>393</v>
      </c>
      <c r="AA273" s="16"/>
    </row>
    <row r="274" spans="1:27" s="4" customFormat="1" ht="14.25" customHeight="1" x14ac:dyDescent="0.4">
      <c r="A274" s="64"/>
      <c r="B274" s="65">
        <v>0</v>
      </c>
      <c r="C274" s="65" t="s">
        <v>2165</v>
      </c>
      <c r="D274" s="65">
        <v>0</v>
      </c>
      <c r="E274" s="66">
        <v>40045</v>
      </c>
      <c r="F274" s="24" t="s">
        <v>393</v>
      </c>
      <c r="G274" s="66">
        <v>40051</v>
      </c>
      <c r="H274" s="67">
        <v>0</v>
      </c>
      <c r="I274" s="67">
        <v>40026</v>
      </c>
      <c r="J274" s="68">
        <v>30</v>
      </c>
      <c r="K274" s="112" t="s">
        <v>411</v>
      </c>
      <c r="L274" s="66" t="s">
        <v>1724</v>
      </c>
      <c r="M274" s="66">
        <v>40031</v>
      </c>
      <c r="N274" s="65" t="s">
        <v>673</v>
      </c>
      <c r="O274" s="4">
        <v>9100161</v>
      </c>
      <c r="P274" s="65">
        <v>1010</v>
      </c>
      <c r="Q274" s="65" t="s">
        <v>1349</v>
      </c>
      <c r="R274" s="4" t="s">
        <v>605</v>
      </c>
      <c r="S274" s="4" t="s">
        <v>404</v>
      </c>
      <c r="T274" s="28">
        <v>40095</v>
      </c>
      <c r="U274" s="4" t="s">
        <v>404</v>
      </c>
      <c r="V274" s="28">
        <v>40142</v>
      </c>
      <c r="W274" s="75">
        <v>0</v>
      </c>
      <c r="X274" s="28">
        <v>40130</v>
      </c>
      <c r="Y274" s="28"/>
      <c r="Z274" s="24" t="s">
        <v>393</v>
      </c>
      <c r="AA274" s="16"/>
    </row>
    <row r="275" spans="1:27" s="4" customFormat="1" ht="14.25" customHeight="1" x14ac:dyDescent="0.4">
      <c r="A275"/>
      <c r="B275" s="22">
        <v>0</v>
      </c>
      <c r="C275" s="22">
        <v>0</v>
      </c>
      <c r="D275" s="22">
        <v>0</v>
      </c>
      <c r="E275" s="24">
        <v>40056</v>
      </c>
      <c r="F275" s="24" t="s">
        <v>393</v>
      </c>
      <c r="G275" s="24">
        <v>40059</v>
      </c>
      <c r="H275" s="23">
        <v>0</v>
      </c>
      <c r="I275" s="23">
        <v>40057</v>
      </c>
      <c r="J275" s="37">
        <v>3</v>
      </c>
      <c r="K275" s="32" t="s">
        <v>411</v>
      </c>
      <c r="L275" s="24" t="s">
        <v>1724</v>
      </c>
      <c r="M275" s="24">
        <v>40031</v>
      </c>
      <c r="N275" s="22" t="s">
        <v>673</v>
      </c>
      <c r="O275" s="4">
        <v>9100162</v>
      </c>
      <c r="P275" s="22">
        <v>715</v>
      </c>
      <c r="Q275" s="22" t="s">
        <v>698</v>
      </c>
      <c r="R275" s="4" t="s">
        <v>605</v>
      </c>
      <c r="S275" s="3" t="s">
        <v>404</v>
      </c>
      <c r="T275" s="28">
        <v>40101</v>
      </c>
      <c r="U275" s="3" t="s">
        <v>404</v>
      </c>
      <c r="V275" s="28">
        <v>40127</v>
      </c>
      <c r="W275" s="74">
        <v>0</v>
      </c>
      <c r="X275" s="9">
        <v>40070</v>
      </c>
      <c r="Y275" s="9"/>
      <c r="Z275" s="24" t="s">
        <v>393</v>
      </c>
      <c r="AA275" s="16"/>
    </row>
    <row r="276" spans="1:27" ht="14.25" customHeight="1" x14ac:dyDescent="0.4">
      <c r="B276" s="22">
        <v>0</v>
      </c>
      <c r="C276" s="22" t="s">
        <v>2165</v>
      </c>
      <c r="D276" s="22">
        <v>0</v>
      </c>
      <c r="E276" s="24">
        <v>40052</v>
      </c>
      <c r="F276" s="24" t="s">
        <v>393</v>
      </c>
      <c r="G276" s="24">
        <v>40056</v>
      </c>
      <c r="H276" s="23">
        <v>0</v>
      </c>
      <c r="I276" s="23">
        <v>40026</v>
      </c>
      <c r="J276" s="37">
        <v>39</v>
      </c>
      <c r="K276" s="32" t="s">
        <v>411</v>
      </c>
      <c r="L276" s="24" t="s">
        <v>1724</v>
      </c>
      <c r="M276" s="24">
        <v>40031</v>
      </c>
      <c r="N276" s="22" t="s">
        <v>673</v>
      </c>
      <c r="O276" s="4">
        <v>9100163</v>
      </c>
      <c r="P276" s="22">
        <v>1010</v>
      </c>
      <c r="Q276" s="22" t="s">
        <v>699</v>
      </c>
      <c r="R276" s="4" t="s">
        <v>605</v>
      </c>
      <c r="S276" s="3" t="s">
        <v>404</v>
      </c>
      <c r="T276" s="28">
        <v>40095</v>
      </c>
      <c r="U276" s="3" t="s">
        <v>404</v>
      </c>
      <c r="V276" s="28">
        <v>40132</v>
      </c>
      <c r="W276" s="74">
        <v>0</v>
      </c>
      <c r="X276" s="9">
        <v>40070</v>
      </c>
      <c r="Y276" s="9"/>
      <c r="Z276" s="24" t="s">
        <v>393</v>
      </c>
      <c r="AA276" s="16"/>
    </row>
    <row r="277" spans="1:27" s="4" customFormat="1" ht="14.25" customHeight="1" x14ac:dyDescent="0.4">
      <c r="A277"/>
      <c r="B277" s="22">
        <v>0</v>
      </c>
      <c r="C277" s="22">
        <v>0</v>
      </c>
      <c r="D277" s="22">
        <v>0</v>
      </c>
      <c r="E277" s="24">
        <v>40053</v>
      </c>
      <c r="F277" s="24" t="s">
        <v>393</v>
      </c>
      <c r="G277" s="24">
        <v>40056</v>
      </c>
      <c r="H277" s="23">
        <v>0</v>
      </c>
      <c r="I277" s="23">
        <v>40057</v>
      </c>
      <c r="J277" s="37">
        <v>2</v>
      </c>
      <c r="K277" s="32" t="s">
        <v>411</v>
      </c>
      <c r="L277" s="24" t="s">
        <v>1724</v>
      </c>
      <c r="M277" s="24">
        <v>40031</v>
      </c>
      <c r="N277" s="22" t="s">
        <v>673</v>
      </c>
      <c r="O277" s="4">
        <v>9100166</v>
      </c>
      <c r="P277" s="22">
        <v>715</v>
      </c>
      <c r="Q277" s="22" t="s">
        <v>846</v>
      </c>
      <c r="R277" s="4" t="s">
        <v>605</v>
      </c>
      <c r="S277" s="3" t="s">
        <v>404</v>
      </c>
      <c r="T277" s="28">
        <v>40155</v>
      </c>
      <c r="U277" s="3" t="s">
        <v>404</v>
      </c>
      <c r="V277" s="28">
        <v>40157</v>
      </c>
      <c r="W277" s="74">
        <v>0</v>
      </c>
      <c r="X277" s="9">
        <v>40070</v>
      </c>
      <c r="Y277" s="9"/>
      <c r="Z277" s="24" t="s">
        <v>393</v>
      </c>
      <c r="AA277" s="16"/>
    </row>
    <row r="278" spans="1:27" s="4" customFormat="1" ht="14.25" customHeight="1" x14ac:dyDescent="0.4">
      <c r="A278"/>
      <c r="B278" s="22">
        <v>0</v>
      </c>
      <c r="C278" s="22" t="s">
        <v>2165</v>
      </c>
      <c r="D278" s="22">
        <v>0</v>
      </c>
      <c r="E278" s="24">
        <v>40051</v>
      </c>
      <c r="F278" s="24" t="s">
        <v>393</v>
      </c>
      <c r="G278" s="24">
        <v>40053</v>
      </c>
      <c r="H278" s="23">
        <v>0</v>
      </c>
      <c r="I278" s="23">
        <v>40026</v>
      </c>
      <c r="J278" s="37">
        <v>38</v>
      </c>
      <c r="K278" s="32" t="s">
        <v>411</v>
      </c>
      <c r="L278" s="24" t="s">
        <v>1724</v>
      </c>
      <c r="M278" s="24">
        <v>40031</v>
      </c>
      <c r="N278" s="22" t="s">
        <v>673</v>
      </c>
      <c r="O278" s="4">
        <v>9100167</v>
      </c>
      <c r="P278" s="22">
        <v>1010</v>
      </c>
      <c r="Q278" s="22" t="s">
        <v>1575</v>
      </c>
      <c r="R278" s="4" t="s">
        <v>605</v>
      </c>
      <c r="S278" s="3" t="s">
        <v>404</v>
      </c>
      <c r="T278" s="28">
        <v>40133</v>
      </c>
      <c r="U278" s="3" t="s">
        <v>404</v>
      </c>
      <c r="V278" s="9">
        <v>40147</v>
      </c>
      <c r="W278" s="74">
        <v>0</v>
      </c>
      <c r="X278" s="9">
        <v>40070</v>
      </c>
      <c r="Y278" s="28"/>
      <c r="Z278" s="24" t="s">
        <v>393</v>
      </c>
      <c r="AA278" s="16"/>
    </row>
    <row r="279" spans="1:27" s="4" customFormat="1" ht="14.25" customHeight="1" x14ac:dyDescent="0.4">
      <c r="A279"/>
      <c r="B279" s="22">
        <v>0</v>
      </c>
      <c r="C279" s="22" t="s">
        <v>2165</v>
      </c>
      <c r="D279" s="22">
        <v>0</v>
      </c>
      <c r="E279" s="24">
        <v>40056</v>
      </c>
      <c r="F279" s="24" t="s">
        <v>393</v>
      </c>
      <c r="G279" s="24">
        <v>40059</v>
      </c>
      <c r="H279" s="23">
        <v>0</v>
      </c>
      <c r="I279" s="23">
        <v>40057</v>
      </c>
      <c r="J279" s="37">
        <v>5</v>
      </c>
      <c r="K279" s="32" t="s">
        <v>411</v>
      </c>
      <c r="L279" s="24" t="s">
        <v>1724</v>
      </c>
      <c r="M279" s="24">
        <v>40031</v>
      </c>
      <c r="N279" s="22" t="s">
        <v>673</v>
      </c>
      <c r="O279" s="4">
        <v>9100168</v>
      </c>
      <c r="P279" s="22">
        <v>1010</v>
      </c>
      <c r="Q279" s="22" t="s">
        <v>810</v>
      </c>
      <c r="R279" s="4" t="s">
        <v>605</v>
      </c>
      <c r="S279" s="3" t="s">
        <v>404</v>
      </c>
      <c r="T279" s="28">
        <v>40219</v>
      </c>
      <c r="U279" s="3" t="s">
        <v>404</v>
      </c>
      <c r="V279" s="28">
        <v>40224</v>
      </c>
      <c r="W279" s="74">
        <v>0</v>
      </c>
      <c r="X279" s="9">
        <v>40070</v>
      </c>
      <c r="Y279" s="28"/>
      <c r="Z279" s="24" t="s">
        <v>393</v>
      </c>
      <c r="AA279" s="16"/>
    </row>
    <row r="280" spans="1:27" s="4" customFormat="1" ht="14.25" customHeight="1" x14ac:dyDescent="0.4">
      <c r="A280"/>
      <c r="B280" s="22">
        <v>0</v>
      </c>
      <c r="C280" s="22">
        <v>0</v>
      </c>
      <c r="D280" s="22">
        <v>0</v>
      </c>
      <c r="E280" s="32">
        <v>40057</v>
      </c>
      <c r="F280" s="24" t="s">
        <v>393</v>
      </c>
      <c r="G280" s="24">
        <v>40060</v>
      </c>
      <c r="H280" s="23">
        <v>0</v>
      </c>
      <c r="I280" s="23">
        <v>40057</v>
      </c>
      <c r="J280" s="37">
        <v>6</v>
      </c>
      <c r="K280" s="32" t="s">
        <v>411</v>
      </c>
      <c r="L280" s="32" t="s">
        <v>1724</v>
      </c>
      <c r="M280" s="32">
        <v>40031</v>
      </c>
      <c r="N280" s="22" t="s">
        <v>673</v>
      </c>
      <c r="O280" s="4">
        <v>9100169</v>
      </c>
      <c r="P280" s="22">
        <v>1010</v>
      </c>
      <c r="Q280" s="22" t="s">
        <v>826</v>
      </c>
      <c r="R280" s="4" t="s">
        <v>605</v>
      </c>
      <c r="S280" s="3" t="s">
        <v>404</v>
      </c>
      <c r="T280" s="28">
        <v>40144</v>
      </c>
      <c r="U280" s="3" t="s">
        <v>404</v>
      </c>
      <c r="V280" s="28">
        <v>40193</v>
      </c>
      <c r="W280" s="74">
        <v>0</v>
      </c>
      <c r="X280" s="9">
        <v>40070</v>
      </c>
      <c r="Y280" s="9"/>
      <c r="Z280" s="24" t="s">
        <v>393</v>
      </c>
      <c r="AA280" s="16"/>
    </row>
    <row r="281" spans="1:27" ht="14.25" customHeight="1" x14ac:dyDescent="0.4">
      <c r="B281" s="22">
        <v>0</v>
      </c>
      <c r="C281" s="22" t="s">
        <v>2165</v>
      </c>
      <c r="D281" s="22">
        <v>0</v>
      </c>
      <c r="E281" s="24">
        <v>40141</v>
      </c>
      <c r="F281" s="24" t="s">
        <v>393</v>
      </c>
      <c r="G281" s="24">
        <v>40148</v>
      </c>
      <c r="H281" s="23">
        <v>0</v>
      </c>
      <c r="I281" s="23">
        <v>40118</v>
      </c>
      <c r="J281" s="37">
        <v>24</v>
      </c>
      <c r="K281" s="32" t="s">
        <v>411</v>
      </c>
      <c r="L281" s="24" t="s">
        <v>1999</v>
      </c>
      <c r="M281" s="24">
        <v>40031</v>
      </c>
      <c r="N281" s="22" t="s">
        <v>673</v>
      </c>
      <c r="O281" s="4">
        <v>9100170</v>
      </c>
      <c r="P281" s="22">
        <v>1010</v>
      </c>
      <c r="Q281" s="22" t="s">
        <v>822</v>
      </c>
      <c r="R281" s="4" t="s">
        <v>605</v>
      </c>
      <c r="S281" s="3" t="s">
        <v>404</v>
      </c>
      <c r="T281" s="28">
        <v>40137</v>
      </c>
      <c r="U281" s="3" t="s">
        <v>404</v>
      </c>
      <c r="V281" s="28">
        <v>40188</v>
      </c>
      <c r="W281" s="74">
        <v>0</v>
      </c>
      <c r="X281" s="9">
        <v>40070</v>
      </c>
      <c r="Y281" s="28"/>
      <c r="Z281" s="24" t="s">
        <v>393</v>
      </c>
      <c r="AA281" s="16"/>
    </row>
    <row r="282" spans="1:27" ht="14.25" customHeight="1" x14ac:dyDescent="0.4">
      <c r="B282" s="22">
        <v>0</v>
      </c>
      <c r="C282" s="22" t="s">
        <v>2165</v>
      </c>
      <c r="D282" s="22">
        <v>0</v>
      </c>
      <c r="E282" s="24">
        <v>40141</v>
      </c>
      <c r="F282" s="24" t="s">
        <v>393</v>
      </c>
      <c r="G282" s="24">
        <v>40148</v>
      </c>
      <c r="H282" s="23">
        <v>0</v>
      </c>
      <c r="I282" s="23">
        <v>40118</v>
      </c>
      <c r="J282" s="37">
        <v>25</v>
      </c>
      <c r="K282" s="32" t="s">
        <v>411</v>
      </c>
      <c r="L282" s="24" t="s">
        <v>1999</v>
      </c>
      <c r="M282" s="24">
        <v>40031</v>
      </c>
      <c r="N282" s="22" t="s">
        <v>673</v>
      </c>
      <c r="O282" s="4">
        <v>9100171</v>
      </c>
      <c r="P282" s="22">
        <v>1010</v>
      </c>
      <c r="Q282" s="22" t="s">
        <v>815</v>
      </c>
      <c r="R282" s="4" t="s">
        <v>605</v>
      </c>
      <c r="S282" s="3" t="s">
        <v>404</v>
      </c>
      <c r="T282" s="28">
        <v>40122</v>
      </c>
      <c r="U282" s="3" t="s">
        <v>404</v>
      </c>
      <c r="V282" s="28">
        <v>40181</v>
      </c>
      <c r="W282" s="74">
        <v>0</v>
      </c>
      <c r="X282" s="9">
        <v>40070</v>
      </c>
      <c r="Y282" s="9"/>
      <c r="Z282" s="24" t="s">
        <v>393</v>
      </c>
      <c r="AA282" s="16"/>
    </row>
    <row r="283" spans="1:27" ht="14.25" customHeight="1" x14ac:dyDescent="0.4">
      <c r="B283" s="22">
        <v>0</v>
      </c>
      <c r="C283" s="22" t="s">
        <v>2165</v>
      </c>
      <c r="D283" s="22">
        <v>0</v>
      </c>
      <c r="E283" s="24">
        <v>40142</v>
      </c>
      <c r="F283" s="24" t="s">
        <v>393</v>
      </c>
      <c r="G283" s="24">
        <v>40154</v>
      </c>
      <c r="H283" s="23">
        <v>0</v>
      </c>
      <c r="I283" s="23">
        <v>40118</v>
      </c>
      <c r="J283" s="37">
        <v>26</v>
      </c>
      <c r="K283" s="32" t="s">
        <v>411</v>
      </c>
      <c r="L283" s="24" t="s">
        <v>1999</v>
      </c>
      <c r="M283" s="24">
        <v>40031</v>
      </c>
      <c r="N283" s="22" t="s">
        <v>673</v>
      </c>
      <c r="O283" s="4">
        <v>9100172</v>
      </c>
      <c r="P283" s="22">
        <v>1010</v>
      </c>
      <c r="Q283" s="22" t="s">
        <v>1620</v>
      </c>
      <c r="R283" s="4" t="s">
        <v>605</v>
      </c>
      <c r="S283" s="3" t="s">
        <v>404</v>
      </c>
      <c r="T283" s="28">
        <v>40130</v>
      </c>
      <c r="U283" s="3" t="s">
        <v>404</v>
      </c>
      <c r="V283" s="28">
        <v>40182</v>
      </c>
      <c r="W283" s="74">
        <v>0</v>
      </c>
      <c r="X283" s="9">
        <v>40070</v>
      </c>
      <c r="Y283" s="28"/>
      <c r="Z283" s="24" t="s">
        <v>393</v>
      </c>
      <c r="AA283" s="16"/>
    </row>
    <row r="284" spans="1:27" ht="14.25" customHeight="1" x14ac:dyDescent="0.4">
      <c r="B284" s="22">
        <v>0</v>
      </c>
      <c r="C284" s="22" t="s">
        <v>2165</v>
      </c>
      <c r="D284" s="22">
        <v>0</v>
      </c>
      <c r="E284" s="24">
        <v>40045</v>
      </c>
      <c r="F284" s="24" t="s">
        <v>393</v>
      </c>
      <c r="G284" s="24">
        <v>40050</v>
      </c>
      <c r="H284" s="23">
        <v>0</v>
      </c>
      <c r="I284" s="23">
        <v>40026</v>
      </c>
      <c r="J284" s="37">
        <v>28</v>
      </c>
      <c r="K284" s="109" t="s">
        <v>524</v>
      </c>
      <c r="L284" s="24">
        <v>0</v>
      </c>
      <c r="M284" s="24">
        <v>40477</v>
      </c>
      <c r="N284" s="22" t="s">
        <v>1953</v>
      </c>
      <c r="O284" s="4">
        <v>9100078</v>
      </c>
      <c r="P284" s="22">
        <v>1010</v>
      </c>
      <c r="Q284" s="22"/>
      <c r="R284" s="4" t="s">
        <v>620</v>
      </c>
      <c r="S284" s="4" t="s">
        <v>404</v>
      </c>
      <c r="T284" s="46">
        <v>40613</v>
      </c>
      <c r="U284" s="4" t="s">
        <v>404</v>
      </c>
      <c r="V284" s="4"/>
      <c r="W284" s="75">
        <v>0</v>
      </c>
      <c r="X284" s="28">
        <v>40162</v>
      </c>
      <c r="Y284" s="28"/>
      <c r="Z284" s="24" t="s">
        <v>393</v>
      </c>
      <c r="AA284" s="16"/>
    </row>
    <row r="285" spans="1:27" ht="14.25" customHeight="1" x14ac:dyDescent="0.4">
      <c r="B285" s="22">
        <v>0</v>
      </c>
      <c r="C285" s="22" t="s">
        <v>2165</v>
      </c>
      <c r="D285" s="22">
        <v>0</v>
      </c>
      <c r="E285" s="24">
        <v>40046</v>
      </c>
      <c r="F285" s="24" t="s">
        <v>393</v>
      </c>
      <c r="G285" s="24">
        <v>40056</v>
      </c>
      <c r="H285" s="23">
        <v>0</v>
      </c>
      <c r="I285" s="23">
        <v>40026</v>
      </c>
      <c r="J285" s="37">
        <v>32</v>
      </c>
      <c r="K285" s="109" t="s">
        <v>524</v>
      </c>
      <c r="L285" s="24" t="s">
        <v>41</v>
      </c>
      <c r="M285" s="24">
        <v>40477</v>
      </c>
      <c r="N285" s="22" t="s">
        <v>1953</v>
      </c>
      <c r="O285" s="4">
        <v>9100080</v>
      </c>
      <c r="P285" s="22">
        <v>715</v>
      </c>
      <c r="Q285" s="22"/>
      <c r="R285" s="4" t="s">
        <v>1538</v>
      </c>
      <c r="S285" s="4" t="s">
        <v>404</v>
      </c>
      <c r="T285" s="57">
        <v>40792</v>
      </c>
      <c r="U285" s="4" t="s">
        <v>404</v>
      </c>
      <c r="V285" s="4"/>
      <c r="W285" s="74">
        <v>0</v>
      </c>
      <c r="X285" s="9">
        <v>40065</v>
      </c>
      <c r="Y285" s="28"/>
      <c r="Z285" s="24" t="s">
        <v>393</v>
      </c>
      <c r="AA285" s="16"/>
    </row>
    <row r="286" spans="1:27" ht="14.25" customHeight="1" x14ac:dyDescent="0.4">
      <c r="B286" s="22">
        <v>0</v>
      </c>
      <c r="C286" s="22">
        <v>0</v>
      </c>
      <c r="D286" s="22">
        <v>0</v>
      </c>
      <c r="E286" s="24">
        <v>40161</v>
      </c>
      <c r="F286" s="24" t="s">
        <v>393</v>
      </c>
      <c r="G286" s="24">
        <v>40164</v>
      </c>
      <c r="H286" s="23">
        <v>0</v>
      </c>
      <c r="I286" s="23">
        <v>40148</v>
      </c>
      <c r="J286" s="37">
        <v>12</v>
      </c>
      <c r="K286" s="109" t="s">
        <v>524</v>
      </c>
      <c r="L286" s="24" t="s">
        <v>1724</v>
      </c>
      <c r="M286" s="24">
        <v>40157</v>
      </c>
      <c r="N286" s="22" t="s">
        <v>1377</v>
      </c>
      <c r="O286" s="4">
        <v>9100267</v>
      </c>
      <c r="P286" s="22">
        <v>1010</v>
      </c>
      <c r="Q286" s="22" t="s">
        <v>1623</v>
      </c>
      <c r="R286" s="4" t="s">
        <v>621</v>
      </c>
      <c r="S286" s="1" t="s">
        <v>404</v>
      </c>
      <c r="T286" s="28">
        <v>40520</v>
      </c>
      <c r="U286" s="1" t="s">
        <v>404</v>
      </c>
      <c r="V286" s="28"/>
      <c r="W286" s="74">
        <v>0</v>
      </c>
      <c r="X286" s="9">
        <v>40192</v>
      </c>
      <c r="Y286" s="9"/>
      <c r="Z286" s="24" t="s">
        <v>393</v>
      </c>
      <c r="AA286" s="16"/>
    </row>
    <row r="287" spans="1:27" s="4" customFormat="1" ht="14.25" customHeight="1" x14ac:dyDescent="0.4">
      <c r="A287"/>
      <c r="B287" s="22">
        <v>0</v>
      </c>
      <c r="C287" s="22" t="s">
        <v>2165</v>
      </c>
      <c r="D287" s="22">
        <v>0</v>
      </c>
      <c r="E287" s="24">
        <v>40162</v>
      </c>
      <c r="F287" s="24" t="s">
        <v>393</v>
      </c>
      <c r="G287" s="24">
        <v>40164</v>
      </c>
      <c r="H287" s="23">
        <v>0</v>
      </c>
      <c r="I287" s="23">
        <v>40148</v>
      </c>
      <c r="J287" s="37">
        <v>13</v>
      </c>
      <c r="K287" s="109" t="s">
        <v>524</v>
      </c>
      <c r="L287" s="24" t="s">
        <v>1724</v>
      </c>
      <c r="M287" s="24">
        <v>40157</v>
      </c>
      <c r="N287" s="22" t="s">
        <v>1377</v>
      </c>
      <c r="O287" s="4">
        <v>9100268</v>
      </c>
      <c r="P287" s="22">
        <v>1010</v>
      </c>
      <c r="Q287" s="22" t="s">
        <v>1624</v>
      </c>
      <c r="R287" s="4" t="s">
        <v>622</v>
      </c>
      <c r="S287" s="1" t="s">
        <v>404</v>
      </c>
      <c r="T287" s="44">
        <v>40520</v>
      </c>
      <c r="U287" s="4" t="s">
        <v>404</v>
      </c>
      <c r="V287" s="9"/>
      <c r="W287" s="74">
        <v>0</v>
      </c>
      <c r="X287" s="9">
        <v>40192</v>
      </c>
      <c r="Y287" s="9"/>
      <c r="Z287" s="24" t="s">
        <v>393</v>
      </c>
      <c r="AA287" s="16"/>
    </row>
    <row r="288" spans="1:27" ht="14.25" customHeight="1" x14ac:dyDescent="0.4">
      <c r="B288" s="22">
        <v>0</v>
      </c>
      <c r="C288" s="22">
        <v>0</v>
      </c>
      <c r="D288" s="22">
        <v>0</v>
      </c>
      <c r="E288" s="24">
        <v>40169</v>
      </c>
      <c r="F288" s="24" t="s">
        <v>393</v>
      </c>
      <c r="G288" s="24">
        <v>40176</v>
      </c>
      <c r="H288" s="23">
        <v>0</v>
      </c>
      <c r="I288" s="23">
        <v>40148</v>
      </c>
      <c r="J288" s="37">
        <v>16</v>
      </c>
      <c r="K288" s="113" t="s">
        <v>524</v>
      </c>
      <c r="L288" s="24" t="s">
        <v>1724</v>
      </c>
      <c r="M288" s="24">
        <v>40163</v>
      </c>
      <c r="N288" s="22" t="s">
        <v>1380</v>
      </c>
      <c r="O288" s="4">
        <v>9100271</v>
      </c>
      <c r="P288" s="22">
        <v>715</v>
      </c>
      <c r="Q288" s="22" t="s">
        <v>1637</v>
      </c>
      <c r="R288" s="4" t="s">
        <v>623</v>
      </c>
      <c r="S288" s="38" t="s">
        <v>404</v>
      </c>
      <c r="T288" s="44">
        <v>40574</v>
      </c>
      <c r="U288" s="38" t="s">
        <v>404</v>
      </c>
      <c r="V288" s="9"/>
      <c r="W288" s="74">
        <v>0</v>
      </c>
      <c r="X288" s="9"/>
      <c r="Y288" s="9"/>
      <c r="Z288" s="24" t="s">
        <v>393</v>
      </c>
      <c r="AA288" s="16"/>
    </row>
    <row r="289" spans="1:27" s="4" customFormat="1" ht="14.25" customHeight="1" x14ac:dyDescent="0.4">
      <c r="A289"/>
      <c r="B289" s="22">
        <v>0</v>
      </c>
      <c r="C289" s="22" t="s">
        <v>2165</v>
      </c>
      <c r="D289" s="22">
        <v>0</v>
      </c>
      <c r="E289" s="24">
        <v>40197</v>
      </c>
      <c r="F289" s="24" t="s">
        <v>393</v>
      </c>
      <c r="G289" s="24">
        <v>40220</v>
      </c>
      <c r="H289" s="23">
        <v>0</v>
      </c>
      <c r="I289" s="23">
        <v>40179</v>
      </c>
      <c r="J289" s="37">
        <v>14</v>
      </c>
      <c r="K289" s="113" t="s">
        <v>524</v>
      </c>
      <c r="L289" s="24">
        <v>0</v>
      </c>
      <c r="M289" s="24">
        <v>40177</v>
      </c>
      <c r="N289" s="22" t="s">
        <v>1380</v>
      </c>
      <c r="O289" s="4">
        <v>9100360</v>
      </c>
      <c r="P289" s="22">
        <v>715</v>
      </c>
      <c r="Q289" s="22">
        <v>0</v>
      </c>
      <c r="R289" s="4" t="s">
        <v>1712</v>
      </c>
      <c r="S289" s="4" t="s">
        <v>404</v>
      </c>
      <c r="T289" s="43">
        <v>40257</v>
      </c>
      <c r="U289" s="4" t="s">
        <v>404</v>
      </c>
      <c r="W289" s="74">
        <v>0</v>
      </c>
      <c r="X289" s="9"/>
      <c r="Y289" s="9"/>
      <c r="Z289" s="24" t="s">
        <v>393</v>
      </c>
      <c r="AA289" s="16"/>
    </row>
    <row r="290" spans="1:27" ht="14.25" customHeight="1" x14ac:dyDescent="0.4">
      <c r="B290" s="22">
        <v>0</v>
      </c>
      <c r="C290" s="22" t="s">
        <v>2165</v>
      </c>
      <c r="D290" s="22">
        <v>0</v>
      </c>
      <c r="E290" s="24">
        <v>40211</v>
      </c>
      <c r="F290" s="24" t="s">
        <v>393</v>
      </c>
      <c r="G290" s="24">
        <v>40232</v>
      </c>
      <c r="H290" s="23">
        <v>0</v>
      </c>
      <c r="I290" s="23">
        <v>40210</v>
      </c>
      <c r="J290" s="37">
        <v>4</v>
      </c>
      <c r="K290" s="113" t="s">
        <v>524</v>
      </c>
      <c r="L290" s="24" t="s">
        <v>2000</v>
      </c>
      <c r="M290" s="24">
        <v>40203</v>
      </c>
      <c r="N290" s="22" t="s">
        <v>1380</v>
      </c>
      <c r="O290" s="4">
        <v>9100381</v>
      </c>
      <c r="P290" s="22">
        <v>1010</v>
      </c>
      <c r="Q290" s="22">
        <v>0</v>
      </c>
      <c r="R290" s="4" t="s">
        <v>1745</v>
      </c>
      <c r="S290" s="4" t="s">
        <v>404</v>
      </c>
      <c r="T290" s="43">
        <v>40340</v>
      </c>
      <c r="U290" s="4" t="s">
        <v>404</v>
      </c>
      <c r="V290" s="4"/>
      <c r="W290" s="74">
        <v>0</v>
      </c>
      <c r="X290" s="9"/>
      <c r="Y290" s="9"/>
      <c r="Z290" s="24" t="s">
        <v>393</v>
      </c>
      <c r="AA290" s="16"/>
    </row>
    <row r="291" spans="1:27" ht="14.25" customHeight="1" x14ac:dyDescent="0.4">
      <c r="A291" s="4"/>
      <c r="B291" s="22">
        <v>0</v>
      </c>
      <c r="C291" s="22">
        <v>0</v>
      </c>
      <c r="D291" s="22">
        <v>0</v>
      </c>
      <c r="E291" s="24">
        <v>40217</v>
      </c>
      <c r="F291" s="24" t="s">
        <v>393</v>
      </c>
      <c r="G291" s="24">
        <v>40234</v>
      </c>
      <c r="H291" s="23">
        <v>0</v>
      </c>
      <c r="I291" s="23">
        <v>40210</v>
      </c>
      <c r="J291" s="37">
        <v>9</v>
      </c>
      <c r="K291" s="113" t="s">
        <v>524</v>
      </c>
      <c r="L291" s="24" t="s">
        <v>2000</v>
      </c>
      <c r="M291" s="24">
        <v>40203</v>
      </c>
      <c r="N291" s="22" t="s">
        <v>1380</v>
      </c>
      <c r="O291" s="4">
        <v>9100382</v>
      </c>
      <c r="P291" s="22">
        <v>1010</v>
      </c>
      <c r="Q291" s="22">
        <v>0</v>
      </c>
      <c r="R291" s="4" t="s">
        <v>1416</v>
      </c>
      <c r="S291" s="4"/>
      <c r="T291" s="43"/>
      <c r="U291" s="4"/>
      <c r="V291" s="4"/>
      <c r="W291" s="74">
        <v>0</v>
      </c>
      <c r="X291" s="9"/>
      <c r="Y291" s="9"/>
      <c r="Z291" s="24" t="s">
        <v>393</v>
      </c>
      <c r="AA291" s="16"/>
    </row>
    <row r="292" spans="1:27" ht="14.25" customHeight="1" x14ac:dyDescent="0.4">
      <c r="A292" s="4"/>
      <c r="B292" s="22">
        <v>0</v>
      </c>
      <c r="C292" s="22" t="s">
        <v>2165</v>
      </c>
      <c r="D292" s="22">
        <v>0</v>
      </c>
      <c r="E292" s="24">
        <v>40358</v>
      </c>
      <c r="F292" s="24" t="s">
        <v>393</v>
      </c>
      <c r="G292" s="24">
        <v>40365</v>
      </c>
      <c r="H292" s="23">
        <v>0</v>
      </c>
      <c r="I292" s="23">
        <v>40360</v>
      </c>
      <c r="J292" s="37">
        <v>1</v>
      </c>
      <c r="K292" s="113" t="s">
        <v>524</v>
      </c>
      <c r="L292" s="24">
        <v>0</v>
      </c>
      <c r="M292" s="24">
        <v>40344</v>
      </c>
      <c r="N292" s="22" t="s">
        <v>1380</v>
      </c>
      <c r="O292" s="4">
        <v>9101022</v>
      </c>
      <c r="P292" s="22">
        <v>715</v>
      </c>
      <c r="Q292" s="22" t="s">
        <v>1725</v>
      </c>
      <c r="R292" s="4" t="s">
        <v>624</v>
      </c>
      <c r="S292" s="38" t="s">
        <v>404</v>
      </c>
      <c r="T292" s="44">
        <v>40547</v>
      </c>
      <c r="U292" s="38" t="s">
        <v>404</v>
      </c>
      <c r="V292" s="9">
        <v>40550</v>
      </c>
      <c r="W292" s="74">
        <v>0</v>
      </c>
      <c r="X292" s="9"/>
      <c r="Y292" s="9"/>
      <c r="Z292" s="24" t="s">
        <v>393</v>
      </c>
      <c r="AA292" s="16"/>
    </row>
    <row r="293" spans="1:27" ht="14.25" customHeight="1" x14ac:dyDescent="0.4">
      <c r="A293" s="4"/>
      <c r="B293" s="22"/>
      <c r="C293" s="22"/>
      <c r="D293" s="22"/>
      <c r="E293" s="97">
        <v>39962</v>
      </c>
      <c r="F293" s="24" t="s">
        <v>393</v>
      </c>
      <c r="G293" s="24">
        <v>40327</v>
      </c>
      <c r="H293" s="23"/>
      <c r="I293" s="23">
        <v>39965</v>
      </c>
      <c r="J293" s="37">
        <v>3</v>
      </c>
      <c r="K293" s="113" t="s">
        <v>524</v>
      </c>
      <c r="L293" s="36"/>
      <c r="M293" s="36">
        <v>40185</v>
      </c>
      <c r="N293" s="22" t="s">
        <v>1380</v>
      </c>
      <c r="O293" s="11">
        <v>9104262</v>
      </c>
      <c r="P293" s="22">
        <v>1010</v>
      </c>
      <c r="Q293" s="22"/>
      <c r="R293" s="4" t="s">
        <v>1747</v>
      </c>
      <c r="S293" s="38" t="s">
        <v>404</v>
      </c>
      <c r="T293" s="44">
        <v>40203</v>
      </c>
      <c r="U293" s="38" t="s">
        <v>404</v>
      </c>
      <c r="V293" s="9"/>
      <c r="W293" s="74"/>
      <c r="X293" s="9"/>
      <c r="Y293" s="9"/>
      <c r="Z293" s="24"/>
      <c r="AA293" s="16"/>
    </row>
    <row r="294" spans="1:27" ht="14.25" customHeight="1" x14ac:dyDescent="0.4">
      <c r="A294" s="4"/>
      <c r="B294" s="22">
        <v>0</v>
      </c>
      <c r="C294" s="22" t="s">
        <v>2165</v>
      </c>
      <c r="D294" s="22">
        <v>0</v>
      </c>
      <c r="E294" s="24">
        <v>40301</v>
      </c>
      <c r="F294" s="24" t="s">
        <v>393</v>
      </c>
      <c r="G294" s="24">
        <v>40301</v>
      </c>
      <c r="H294" s="23">
        <v>0</v>
      </c>
      <c r="I294" s="23">
        <v>40269</v>
      </c>
      <c r="J294" s="37">
        <v>20</v>
      </c>
      <c r="K294" s="24" t="s">
        <v>1369</v>
      </c>
      <c r="L294" s="24" t="s">
        <v>1724</v>
      </c>
      <c r="M294" s="24">
        <v>40275</v>
      </c>
      <c r="N294" s="22" t="s">
        <v>1705</v>
      </c>
      <c r="O294" s="4">
        <v>9100600</v>
      </c>
      <c r="P294" s="22">
        <v>1210</v>
      </c>
      <c r="Q294" s="22" t="s">
        <v>68</v>
      </c>
      <c r="R294" s="4" t="s">
        <v>797</v>
      </c>
      <c r="S294" s="38" t="s">
        <v>404</v>
      </c>
      <c r="T294" s="44">
        <v>40836</v>
      </c>
      <c r="U294" s="38"/>
      <c r="V294" s="9"/>
      <c r="W294" s="74">
        <v>0</v>
      </c>
      <c r="X294" s="9"/>
      <c r="Y294" s="9"/>
      <c r="Z294" s="24" t="s">
        <v>393</v>
      </c>
      <c r="AA294" s="16"/>
    </row>
    <row r="295" spans="1:27" ht="14.25" customHeight="1" x14ac:dyDescent="0.4">
      <c r="B295" s="22">
        <v>0</v>
      </c>
      <c r="C295" s="22" t="s">
        <v>2165</v>
      </c>
      <c r="D295" s="22">
        <v>0</v>
      </c>
      <c r="E295" s="24">
        <v>40302</v>
      </c>
      <c r="F295" s="24" t="s">
        <v>393</v>
      </c>
      <c r="G295" s="24">
        <v>40305</v>
      </c>
      <c r="H295" s="23">
        <v>0</v>
      </c>
      <c r="I295" s="23">
        <v>40269</v>
      </c>
      <c r="J295" s="37">
        <v>21</v>
      </c>
      <c r="K295" s="24" t="s">
        <v>1369</v>
      </c>
      <c r="L295" s="24" t="s">
        <v>1724</v>
      </c>
      <c r="M295" s="24">
        <v>40275</v>
      </c>
      <c r="N295" s="22" t="s">
        <v>1705</v>
      </c>
      <c r="O295" s="4">
        <v>9100601</v>
      </c>
      <c r="P295" s="22">
        <v>1010</v>
      </c>
      <c r="Q295" s="22" t="s">
        <v>69</v>
      </c>
      <c r="R295" s="4" t="s">
        <v>796</v>
      </c>
      <c r="S295" s="38" t="s">
        <v>404</v>
      </c>
      <c r="T295" s="44">
        <v>40569</v>
      </c>
      <c r="U295" s="38"/>
      <c r="V295" s="9"/>
      <c r="W295" s="74">
        <v>0</v>
      </c>
      <c r="X295" s="9"/>
      <c r="Y295" s="9"/>
      <c r="Z295" s="24" t="s">
        <v>393</v>
      </c>
      <c r="AA295" s="16"/>
    </row>
    <row r="296" spans="1:27" s="4" customFormat="1" ht="14.25" customHeight="1" x14ac:dyDescent="0.4">
      <c r="B296" s="22">
        <v>0</v>
      </c>
      <c r="C296" s="22" t="s">
        <v>2102</v>
      </c>
      <c r="D296" s="22">
        <v>0</v>
      </c>
      <c r="E296" s="24">
        <v>0</v>
      </c>
      <c r="F296" s="24" t="s">
        <v>393</v>
      </c>
      <c r="G296" s="24">
        <v>40381</v>
      </c>
      <c r="H296" s="23">
        <v>0</v>
      </c>
      <c r="I296" s="23">
        <v>40360</v>
      </c>
      <c r="J296" s="37">
        <v>11</v>
      </c>
      <c r="K296" s="24" t="s">
        <v>1760</v>
      </c>
      <c r="L296" s="24" t="s">
        <v>1724</v>
      </c>
      <c r="M296" s="24">
        <v>40365</v>
      </c>
      <c r="N296" s="22" t="s">
        <v>1751</v>
      </c>
      <c r="O296" s="4">
        <v>9101026</v>
      </c>
      <c r="P296" s="22">
        <v>1010</v>
      </c>
      <c r="Q296" s="22" t="s">
        <v>1761</v>
      </c>
      <c r="S296" s="38"/>
      <c r="T296" s="44"/>
      <c r="U296" s="38"/>
      <c r="V296" s="9"/>
      <c r="W296" s="74">
        <v>0</v>
      </c>
      <c r="X296" s="9"/>
      <c r="Y296" s="9"/>
      <c r="Z296" s="24" t="s">
        <v>393</v>
      </c>
      <c r="AA296" s="16"/>
    </row>
    <row r="297" spans="1:27" ht="14.25" customHeight="1" x14ac:dyDescent="0.4">
      <c r="A297" s="4"/>
      <c r="B297" s="22">
        <v>0</v>
      </c>
      <c r="C297" s="22" t="s">
        <v>2165</v>
      </c>
      <c r="D297" s="22">
        <v>0</v>
      </c>
      <c r="E297" s="24">
        <v>0</v>
      </c>
      <c r="F297" s="24" t="s">
        <v>393</v>
      </c>
      <c r="G297" s="24">
        <v>40388</v>
      </c>
      <c r="H297" s="23">
        <v>0</v>
      </c>
      <c r="I297" s="23">
        <v>40360</v>
      </c>
      <c r="J297" s="37">
        <v>12</v>
      </c>
      <c r="K297" s="24" t="s">
        <v>1760</v>
      </c>
      <c r="L297" s="24" t="s">
        <v>1724</v>
      </c>
      <c r="M297" s="24">
        <v>40365</v>
      </c>
      <c r="N297" s="22" t="s">
        <v>1751</v>
      </c>
      <c r="O297" s="4">
        <v>9101027</v>
      </c>
      <c r="P297" s="22">
        <v>1010</v>
      </c>
      <c r="Q297" s="22" t="s">
        <v>1762</v>
      </c>
      <c r="R297" s="4" t="s">
        <v>259</v>
      </c>
      <c r="S297" s="38" t="s">
        <v>404</v>
      </c>
      <c r="T297" s="44">
        <v>40690</v>
      </c>
      <c r="U297" s="38" t="s">
        <v>404</v>
      </c>
      <c r="V297" s="9"/>
      <c r="W297" s="74">
        <v>0</v>
      </c>
      <c r="X297" s="9"/>
      <c r="Y297" s="9"/>
      <c r="Z297" s="24" t="s">
        <v>393</v>
      </c>
      <c r="AA297" s="16"/>
    </row>
    <row r="298" spans="1:27" ht="14.25" customHeight="1" x14ac:dyDescent="0.4">
      <c r="B298" s="22">
        <v>0</v>
      </c>
      <c r="C298" s="22" t="s">
        <v>2165</v>
      </c>
      <c r="D298" s="22">
        <v>0</v>
      </c>
      <c r="E298" s="24">
        <v>0</v>
      </c>
      <c r="F298" s="24" t="s">
        <v>393</v>
      </c>
      <c r="G298" s="24">
        <v>40407</v>
      </c>
      <c r="H298" s="23">
        <v>0</v>
      </c>
      <c r="I298" s="23">
        <v>40360</v>
      </c>
      <c r="J298" s="37">
        <v>16</v>
      </c>
      <c r="K298" s="24" t="s">
        <v>1760</v>
      </c>
      <c r="L298" s="24" t="s">
        <v>1724</v>
      </c>
      <c r="M298" s="24">
        <v>40365</v>
      </c>
      <c r="N298" s="22" t="s">
        <v>1751</v>
      </c>
      <c r="O298" s="4">
        <v>9101028</v>
      </c>
      <c r="P298" s="22">
        <v>1010</v>
      </c>
      <c r="Q298" s="22" t="s">
        <v>1763</v>
      </c>
      <c r="R298" s="4"/>
      <c r="S298" s="38" t="s">
        <v>404</v>
      </c>
      <c r="T298" s="44">
        <v>40371</v>
      </c>
      <c r="U298" s="38" t="s">
        <v>404</v>
      </c>
      <c r="V298" s="9"/>
      <c r="W298" s="74">
        <v>0</v>
      </c>
      <c r="X298" s="9"/>
      <c r="Y298" s="9"/>
      <c r="Z298" s="24" t="s">
        <v>393</v>
      </c>
      <c r="AA298" s="16"/>
    </row>
    <row r="299" spans="1:27" ht="14.25" customHeight="1" x14ac:dyDescent="0.4">
      <c r="A299" s="4"/>
      <c r="B299" s="22">
        <v>0</v>
      </c>
      <c r="C299" s="22" t="s">
        <v>2165</v>
      </c>
      <c r="D299" s="22">
        <v>0</v>
      </c>
      <c r="E299" s="24">
        <v>0</v>
      </c>
      <c r="F299" s="24" t="s">
        <v>393</v>
      </c>
      <c r="G299" s="24">
        <v>40396</v>
      </c>
      <c r="H299" s="23">
        <v>0</v>
      </c>
      <c r="I299" s="23">
        <v>40360</v>
      </c>
      <c r="J299" s="37">
        <v>15</v>
      </c>
      <c r="K299" s="24" t="s">
        <v>1760</v>
      </c>
      <c r="L299" s="24" t="s">
        <v>1724</v>
      </c>
      <c r="M299" s="24">
        <v>40365</v>
      </c>
      <c r="N299" s="22" t="s">
        <v>1751</v>
      </c>
      <c r="O299" s="4">
        <v>9101029</v>
      </c>
      <c r="P299" s="22">
        <v>715</v>
      </c>
      <c r="Q299" s="22" t="s">
        <v>1764</v>
      </c>
      <c r="R299" s="4" t="s">
        <v>2060</v>
      </c>
      <c r="S299" s="38" t="s">
        <v>2102</v>
      </c>
      <c r="T299" s="44">
        <v>40885</v>
      </c>
      <c r="U299" s="38"/>
      <c r="V299" s="9"/>
      <c r="W299" s="74">
        <v>0</v>
      </c>
      <c r="X299" s="9"/>
      <c r="Y299" s="9"/>
      <c r="Z299" s="24" t="s">
        <v>393</v>
      </c>
      <c r="AA299" s="16"/>
    </row>
    <row r="300" spans="1:27" ht="14.25" customHeight="1" x14ac:dyDescent="0.4">
      <c r="A300" s="4"/>
      <c r="B300" s="22">
        <v>0</v>
      </c>
      <c r="C300" s="22">
        <v>0</v>
      </c>
      <c r="D300" s="22">
        <v>0</v>
      </c>
      <c r="E300" s="24">
        <v>40359</v>
      </c>
      <c r="F300" s="24" t="s">
        <v>393</v>
      </c>
      <c r="G300" s="24">
        <v>40365</v>
      </c>
      <c r="H300" s="23">
        <v>0</v>
      </c>
      <c r="I300" s="23">
        <v>40360</v>
      </c>
      <c r="J300" s="37">
        <v>2</v>
      </c>
      <c r="K300" s="113" t="s">
        <v>1760</v>
      </c>
      <c r="L300" s="24">
        <v>0</v>
      </c>
      <c r="M300" s="24">
        <v>40344</v>
      </c>
      <c r="N300" s="22" t="s">
        <v>1380</v>
      </c>
      <c r="O300" s="110">
        <v>9101023</v>
      </c>
      <c r="P300" s="22">
        <v>715</v>
      </c>
      <c r="Q300" s="22" t="s">
        <v>1726</v>
      </c>
      <c r="R300" s="4" t="s">
        <v>2103</v>
      </c>
      <c r="S300" s="38" t="s">
        <v>404</v>
      </c>
      <c r="T300" s="44">
        <v>40534</v>
      </c>
      <c r="U300" s="38" t="s">
        <v>404</v>
      </c>
      <c r="V300" s="9"/>
      <c r="W300" s="74">
        <v>0</v>
      </c>
      <c r="X300" s="9"/>
      <c r="Y300" s="9"/>
      <c r="Z300" s="24" t="s">
        <v>393</v>
      </c>
      <c r="AA300" s="16"/>
    </row>
    <row r="301" spans="1:27" ht="14.25" customHeight="1" x14ac:dyDescent="0.4">
      <c r="B301" s="22">
        <v>0</v>
      </c>
      <c r="C301" s="22" t="s">
        <v>2165</v>
      </c>
      <c r="D301" s="22">
        <v>0</v>
      </c>
      <c r="E301" s="24">
        <v>40004</v>
      </c>
      <c r="F301" s="24" t="s">
        <v>393</v>
      </c>
      <c r="G301" s="24">
        <v>40016</v>
      </c>
      <c r="H301" s="23">
        <v>0</v>
      </c>
      <c r="I301" s="23">
        <v>39995</v>
      </c>
      <c r="J301" s="37">
        <v>7</v>
      </c>
      <c r="K301" s="24" t="s">
        <v>549</v>
      </c>
      <c r="L301" s="24">
        <v>40011</v>
      </c>
      <c r="M301" s="24">
        <v>39995</v>
      </c>
      <c r="N301" s="22" t="s">
        <v>567</v>
      </c>
      <c r="O301" s="4">
        <v>9100047</v>
      </c>
      <c r="P301" s="22">
        <v>715</v>
      </c>
      <c r="Q301" s="22" t="s">
        <v>1356</v>
      </c>
      <c r="R301" s="4" t="s">
        <v>672</v>
      </c>
      <c r="S301" s="4" t="s">
        <v>404</v>
      </c>
      <c r="T301" s="57">
        <v>40310</v>
      </c>
      <c r="U301" s="4" t="s">
        <v>404</v>
      </c>
      <c r="V301" s="57">
        <v>40319</v>
      </c>
      <c r="W301" s="75">
        <v>0</v>
      </c>
      <c r="X301" s="28"/>
      <c r="Y301" s="28"/>
      <c r="Z301" s="24" t="s">
        <v>393</v>
      </c>
      <c r="AA301" s="16"/>
    </row>
    <row r="302" spans="1:27" ht="14.25" customHeight="1" x14ac:dyDescent="0.4">
      <c r="B302" s="22">
        <v>0</v>
      </c>
      <c r="C302" s="22" t="s">
        <v>2165</v>
      </c>
      <c r="D302" s="22">
        <v>0</v>
      </c>
      <c r="E302" s="24">
        <v>40007</v>
      </c>
      <c r="F302" s="24" t="s">
        <v>393</v>
      </c>
      <c r="G302" s="24">
        <v>40010</v>
      </c>
      <c r="H302" s="23">
        <v>0</v>
      </c>
      <c r="I302" s="23">
        <v>39995</v>
      </c>
      <c r="J302" s="37">
        <v>8</v>
      </c>
      <c r="K302" s="24" t="s">
        <v>549</v>
      </c>
      <c r="L302" s="24">
        <v>40011</v>
      </c>
      <c r="M302" s="24">
        <v>39995</v>
      </c>
      <c r="N302" s="22" t="s">
        <v>567</v>
      </c>
      <c r="O302" s="4">
        <v>9100048</v>
      </c>
      <c r="P302" s="22">
        <v>1010</v>
      </c>
      <c r="Q302" s="22" t="s">
        <v>1357</v>
      </c>
      <c r="R302" s="4" t="s">
        <v>1378</v>
      </c>
      <c r="S302" s="4" t="s">
        <v>404</v>
      </c>
      <c r="T302" s="57">
        <v>40529</v>
      </c>
      <c r="U302" s="4" t="s">
        <v>404</v>
      </c>
      <c r="V302" s="57">
        <v>40570</v>
      </c>
      <c r="W302" s="75">
        <v>68</v>
      </c>
      <c r="X302" s="28"/>
      <c r="Y302" s="28"/>
      <c r="Z302" s="24" t="s">
        <v>393</v>
      </c>
      <c r="AA302" s="16"/>
    </row>
    <row r="303" spans="1:27" s="4" customFormat="1" ht="14.25" customHeight="1" x14ac:dyDescent="0.4">
      <c r="A303"/>
      <c r="B303" s="22">
        <v>0</v>
      </c>
      <c r="C303" s="22" t="s">
        <v>2165</v>
      </c>
      <c r="D303" s="22">
        <v>0</v>
      </c>
      <c r="E303" s="24">
        <v>40008</v>
      </c>
      <c r="F303" s="24" t="s">
        <v>393</v>
      </c>
      <c r="G303" s="24">
        <v>40017</v>
      </c>
      <c r="H303" s="23">
        <v>0</v>
      </c>
      <c r="I303" s="23">
        <v>39995</v>
      </c>
      <c r="J303" s="37">
        <v>11</v>
      </c>
      <c r="K303" s="24" t="s">
        <v>549</v>
      </c>
      <c r="L303" s="24">
        <v>40028</v>
      </c>
      <c r="M303" s="24">
        <v>39995</v>
      </c>
      <c r="N303" s="22" t="s">
        <v>567</v>
      </c>
      <c r="O303" s="4">
        <v>9100045</v>
      </c>
      <c r="P303" s="22">
        <v>715</v>
      </c>
      <c r="Q303" s="22" t="s">
        <v>1638</v>
      </c>
      <c r="R303" s="4" t="s">
        <v>873</v>
      </c>
      <c r="S303" s="4" t="s">
        <v>404</v>
      </c>
      <c r="T303" s="57">
        <v>40060</v>
      </c>
      <c r="U303" s="4" t="s">
        <v>404</v>
      </c>
      <c r="V303" s="57">
        <v>40087</v>
      </c>
      <c r="W303" s="74">
        <v>0</v>
      </c>
      <c r="X303" s="28"/>
      <c r="Y303" s="28"/>
      <c r="Z303" s="24" t="s">
        <v>393</v>
      </c>
      <c r="AA303" s="16"/>
    </row>
    <row r="304" spans="1:27" s="4" customFormat="1" ht="14.25" customHeight="1" x14ac:dyDescent="0.4">
      <c r="A304"/>
      <c r="B304" s="22">
        <v>0</v>
      </c>
      <c r="C304" s="22" t="s">
        <v>2165</v>
      </c>
      <c r="D304" s="22">
        <v>0</v>
      </c>
      <c r="E304" s="24">
        <v>40009</v>
      </c>
      <c r="F304" s="24" t="s">
        <v>393</v>
      </c>
      <c r="G304" s="24">
        <v>40018</v>
      </c>
      <c r="H304" s="23">
        <v>0</v>
      </c>
      <c r="I304" s="23">
        <v>39995</v>
      </c>
      <c r="J304" s="37">
        <v>12</v>
      </c>
      <c r="K304" s="24" t="s">
        <v>549</v>
      </c>
      <c r="L304" s="24">
        <v>40028</v>
      </c>
      <c r="M304" s="24">
        <v>39995</v>
      </c>
      <c r="N304" s="22" t="s">
        <v>567</v>
      </c>
      <c r="O304" s="4">
        <v>9100046</v>
      </c>
      <c r="P304" s="22">
        <v>1010</v>
      </c>
      <c r="Q304" s="22" t="s">
        <v>1639</v>
      </c>
      <c r="R304" s="4" t="s">
        <v>672</v>
      </c>
      <c r="S304" s="4" t="s">
        <v>404</v>
      </c>
      <c r="T304" s="57">
        <v>40315</v>
      </c>
      <c r="U304" s="4" t="s">
        <v>404</v>
      </c>
      <c r="V304" s="57">
        <v>40336</v>
      </c>
      <c r="W304" s="74">
        <v>0</v>
      </c>
      <c r="X304" s="28"/>
      <c r="Y304" s="28"/>
      <c r="Z304" s="24" t="s">
        <v>393</v>
      </c>
      <c r="AA304" s="16"/>
    </row>
    <row r="305" spans="1:27" ht="14.25" customHeight="1" x14ac:dyDescent="0.4">
      <c r="A305" s="16"/>
      <c r="B305" s="22">
        <v>0</v>
      </c>
      <c r="C305" s="22" t="s">
        <v>2165</v>
      </c>
      <c r="D305" s="22">
        <v>0</v>
      </c>
      <c r="E305" s="24">
        <v>40112</v>
      </c>
      <c r="F305" s="24" t="s">
        <v>393</v>
      </c>
      <c r="G305" s="24">
        <v>40116</v>
      </c>
      <c r="H305" s="23">
        <v>0</v>
      </c>
      <c r="I305" s="23">
        <v>40087</v>
      </c>
      <c r="J305" s="37">
        <v>39</v>
      </c>
      <c r="K305" s="24" t="s">
        <v>549</v>
      </c>
      <c r="L305" s="24" t="s">
        <v>1998</v>
      </c>
      <c r="M305" s="24">
        <v>40028</v>
      </c>
      <c r="N305" s="22" t="s">
        <v>567</v>
      </c>
      <c r="O305" s="3">
        <v>9100107</v>
      </c>
      <c r="P305" s="22">
        <v>1010</v>
      </c>
      <c r="Q305" s="22" t="s">
        <v>1640</v>
      </c>
      <c r="R305" s="4" t="s">
        <v>873</v>
      </c>
      <c r="S305" s="4" t="s">
        <v>404</v>
      </c>
      <c r="T305" s="57">
        <v>40029</v>
      </c>
      <c r="U305" s="4" t="s">
        <v>404</v>
      </c>
      <c r="V305" s="57">
        <v>40162</v>
      </c>
      <c r="W305" s="74">
        <v>0</v>
      </c>
      <c r="X305" s="28"/>
      <c r="Y305" s="28"/>
      <c r="Z305" s="24" t="s">
        <v>393</v>
      </c>
      <c r="AA305" s="16"/>
    </row>
    <row r="306" spans="1:27" ht="14.25" customHeight="1" x14ac:dyDescent="0.4">
      <c r="B306" s="22">
        <v>0</v>
      </c>
      <c r="C306" s="22" t="s">
        <v>2165</v>
      </c>
      <c r="D306" s="22">
        <v>0</v>
      </c>
      <c r="E306" s="24">
        <v>40107</v>
      </c>
      <c r="F306" s="24" t="s">
        <v>393</v>
      </c>
      <c r="G306" s="24">
        <v>40113</v>
      </c>
      <c r="H306" s="23">
        <v>0</v>
      </c>
      <c r="I306" s="23">
        <v>40087</v>
      </c>
      <c r="J306" s="37">
        <v>33</v>
      </c>
      <c r="K306" s="24" t="s">
        <v>549</v>
      </c>
      <c r="L306" s="24" t="s">
        <v>32</v>
      </c>
      <c r="M306" s="24">
        <v>40028</v>
      </c>
      <c r="N306" s="22" t="s">
        <v>567</v>
      </c>
      <c r="O306" s="3">
        <v>9100132</v>
      </c>
      <c r="P306" s="22">
        <v>1010</v>
      </c>
      <c r="Q306" s="22" t="s">
        <v>1641</v>
      </c>
      <c r="R306" s="4" t="s">
        <v>873</v>
      </c>
      <c r="S306" s="38" t="s">
        <v>404</v>
      </c>
      <c r="T306" s="44">
        <v>40018</v>
      </c>
      <c r="U306" s="38" t="s">
        <v>404</v>
      </c>
      <c r="V306" s="9">
        <v>40129</v>
      </c>
      <c r="W306" s="74">
        <v>0</v>
      </c>
      <c r="X306" s="9"/>
      <c r="Y306" s="9"/>
      <c r="Z306" s="24" t="s">
        <v>393</v>
      </c>
      <c r="AA306" s="16"/>
    </row>
    <row r="307" spans="1:27" ht="14.25" customHeight="1" x14ac:dyDescent="0.4">
      <c r="B307" s="22">
        <v>0</v>
      </c>
      <c r="C307" s="22" t="s">
        <v>2165</v>
      </c>
      <c r="D307" s="22">
        <v>0</v>
      </c>
      <c r="E307" s="24">
        <v>40206</v>
      </c>
      <c r="F307" s="24" t="s">
        <v>393</v>
      </c>
      <c r="G307" s="24">
        <v>40211</v>
      </c>
      <c r="H307" s="23">
        <v>0</v>
      </c>
      <c r="I307" s="23">
        <v>40210</v>
      </c>
      <c r="J307" s="37">
        <v>1</v>
      </c>
      <c r="K307" s="24" t="s">
        <v>549</v>
      </c>
      <c r="L307" s="24" t="s">
        <v>33</v>
      </c>
      <c r="M307" s="24">
        <v>40028</v>
      </c>
      <c r="N307" s="22" t="s">
        <v>567</v>
      </c>
      <c r="O307" s="3">
        <v>9100133</v>
      </c>
      <c r="P307" s="22">
        <v>1010</v>
      </c>
      <c r="Q307" s="22" t="s">
        <v>1642</v>
      </c>
      <c r="R307" s="4"/>
      <c r="S307" s="3" t="s">
        <v>404</v>
      </c>
      <c r="T307" s="43">
        <v>40169</v>
      </c>
      <c r="U307" s="3" t="s">
        <v>404</v>
      </c>
      <c r="V307" s="43">
        <v>40238</v>
      </c>
      <c r="W307" s="74">
        <v>0</v>
      </c>
      <c r="X307" s="9"/>
      <c r="Y307" s="9"/>
      <c r="Z307" s="24" t="s">
        <v>393</v>
      </c>
      <c r="AA307" s="16"/>
    </row>
    <row r="308" spans="1:27" s="4" customFormat="1" ht="14.25" customHeight="1" x14ac:dyDescent="0.4">
      <c r="A308"/>
      <c r="B308" s="22">
        <v>0</v>
      </c>
      <c r="C308" s="22">
        <v>0</v>
      </c>
      <c r="D308" s="22">
        <v>0</v>
      </c>
      <c r="E308" s="24">
        <v>40128</v>
      </c>
      <c r="F308" s="24" t="s">
        <v>393</v>
      </c>
      <c r="G308" s="24">
        <v>40141</v>
      </c>
      <c r="H308" s="23">
        <v>0</v>
      </c>
      <c r="I308" s="23">
        <v>40118</v>
      </c>
      <c r="J308" s="37">
        <v>14</v>
      </c>
      <c r="K308" s="24" t="s">
        <v>549</v>
      </c>
      <c r="L308" s="24">
        <v>40183</v>
      </c>
      <c r="M308" s="24">
        <v>40028</v>
      </c>
      <c r="N308" s="22" t="s">
        <v>567</v>
      </c>
      <c r="O308" s="3">
        <v>9100134</v>
      </c>
      <c r="P308" s="22">
        <v>1010</v>
      </c>
      <c r="Q308" s="22" t="s">
        <v>1643</v>
      </c>
      <c r="R308" s="4" t="s">
        <v>672</v>
      </c>
      <c r="S308" s="38" t="s">
        <v>404</v>
      </c>
      <c r="T308" s="44">
        <v>40002</v>
      </c>
      <c r="U308" s="38" t="s">
        <v>404</v>
      </c>
      <c r="V308" s="9">
        <v>40183</v>
      </c>
      <c r="W308" s="74">
        <v>0</v>
      </c>
      <c r="X308" s="9"/>
      <c r="Y308" s="9"/>
      <c r="Z308" s="24" t="s">
        <v>393</v>
      </c>
      <c r="AA308" s="16"/>
    </row>
    <row r="309" spans="1:27" s="4" customFormat="1" ht="14.25" customHeight="1" x14ac:dyDescent="0.4">
      <c r="A309"/>
      <c r="B309" s="22">
        <v>0</v>
      </c>
      <c r="C309" s="22" t="s">
        <v>2165</v>
      </c>
      <c r="D309" s="22">
        <v>0</v>
      </c>
      <c r="E309" s="24">
        <v>40129</v>
      </c>
      <c r="F309" s="24" t="s">
        <v>393</v>
      </c>
      <c r="G309" s="24">
        <v>40140</v>
      </c>
      <c r="H309" s="23">
        <v>0</v>
      </c>
      <c r="I309" s="23">
        <v>40118</v>
      </c>
      <c r="J309" s="37">
        <v>15</v>
      </c>
      <c r="K309" s="24" t="s">
        <v>549</v>
      </c>
      <c r="L309" s="24">
        <v>40184</v>
      </c>
      <c r="M309" s="24">
        <v>40028</v>
      </c>
      <c r="N309" s="22" t="s">
        <v>567</v>
      </c>
      <c r="O309" s="3">
        <v>9100135</v>
      </c>
      <c r="P309" s="22">
        <v>1010</v>
      </c>
      <c r="Q309" s="22" t="s">
        <v>1644</v>
      </c>
      <c r="R309" s="4" t="s">
        <v>873</v>
      </c>
      <c r="S309" s="38" t="s">
        <v>404</v>
      </c>
      <c r="T309" s="44">
        <v>40018</v>
      </c>
      <c r="U309" s="38" t="s">
        <v>404</v>
      </c>
      <c r="V309" s="9">
        <v>40227</v>
      </c>
      <c r="W309" s="74">
        <v>0</v>
      </c>
      <c r="X309" s="9"/>
      <c r="Y309" s="9"/>
      <c r="Z309" s="24" t="s">
        <v>393</v>
      </c>
      <c r="AA309" s="16"/>
    </row>
    <row r="310" spans="1:27" s="4" customFormat="1" ht="14.25" customHeight="1" x14ac:dyDescent="0.4">
      <c r="A310"/>
      <c r="B310" s="22">
        <v>0</v>
      </c>
      <c r="C310" s="22" t="s">
        <v>2165</v>
      </c>
      <c r="D310" s="22">
        <v>0</v>
      </c>
      <c r="E310" s="24">
        <v>40129</v>
      </c>
      <c r="F310" s="24" t="s">
        <v>393</v>
      </c>
      <c r="G310" s="24">
        <v>40147</v>
      </c>
      <c r="H310" s="23">
        <v>0</v>
      </c>
      <c r="I310" s="23">
        <v>40118</v>
      </c>
      <c r="J310" s="37">
        <v>16</v>
      </c>
      <c r="K310" s="24" t="s">
        <v>549</v>
      </c>
      <c r="L310" s="24">
        <v>40185</v>
      </c>
      <c r="M310" s="24">
        <v>40028</v>
      </c>
      <c r="N310" s="22" t="s">
        <v>567</v>
      </c>
      <c r="O310" s="3">
        <v>9100136</v>
      </c>
      <c r="P310" s="22">
        <v>715</v>
      </c>
      <c r="Q310" s="22" t="s">
        <v>1645</v>
      </c>
      <c r="S310" s="38" t="s">
        <v>404</v>
      </c>
      <c r="T310" s="44">
        <v>40037</v>
      </c>
      <c r="U310" s="38" t="s">
        <v>404</v>
      </c>
      <c r="V310" s="9">
        <v>40212</v>
      </c>
      <c r="W310" s="74">
        <v>0</v>
      </c>
      <c r="X310" s="9"/>
      <c r="Y310" s="9"/>
      <c r="Z310" s="24" t="s">
        <v>393</v>
      </c>
      <c r="AA310" s="16"/>
    </row>
    <row r="311" spans="1:27" s="4" customFormat="1" ht="14.25" customHeight="1" x14ac:dyDescent="0.4">
      <c r="A311"/>
      <c r="B311" s="22">
        <v>0</v>
      </c>
      <c r="C311" s="22">
        <v>0</v>
      </c>
      <c r="D311" s="22">
        <v>0</v>
      </c>
      <c r="E311" s="24">
        <v>40147</v>
      </c>
      <c r="F311" s="24" t="s">
        <v>393</v>
      </c>
      <c r="G311" s="24">
        <v>40169</v>
      </c>
      <c r="H311" s="23">
        <v>0</v>
      </c>
      <c r="I311" s="23">
        <v>40118</v>
      </c>
      <c r="J311" s="37">
        <v>27</v>
      </c>
      <c r="K311" s="24" t="s">
        <v>549</v>
      </c>
      <c r="L311" s="24" t="s">
        <v>34</v>
      </c>
      <c r="M311" s="24">
        <v>40028</v>
      </c>
      <c r="N311" s="22" t="s">
        <v>567</v>
      </c>
      <c r="O311" s="3">
        <v>9100137</v>
      </c>
      <c r="P311" s="22">
        <v>715</v>
      </c>
      <c r="Q311" s="22" t="s">
        <v>1653</v>
      </c>
      <c r="S311" s="38" t="s">
        <v>404</v>
      </c>
      <c r="T311" s="44">
        <v>40040</v>
      </c>
      <c r="U311" s="38" t="s">
        <v>404</v>
      </c>
      <c r="V311" s="9">
        <v>40200</v>
      </c>
      <c r="W311" s="74">
        <v>0</v>
      </c>
      <c r="X311" s="9"/>
      <c r="Y311" s="9"/>
      <c r="Z311" s="24" t="s">
        <v>393</v>
      </c>
      <c r="AA311" s="16"/>
    </row>
    <row r="312" spans="1:27" s="4" customFormat="1" ht="14.25" customHeight="1" x14ac:dyDescent="0.4">
      <c r="A312"/>
      <c r="B312" s="22">
        <v>0</v>
      </c>
      <c r="C312" s="22" t="s">
        <v>2102</v>
      </c>
      <c r="D312" s="22">
        <v>0</v>
      </c>
      <c r="E312" s="24">
        <v>40109</v>
      </c>
      <c r="F312" s="24" t="s">
        <v>393</v>
      </c>
      <c r="G312" s="24">
        <v>40113</v>
      </c>
      <c r="H312" s="23">
        <v>0</v>
      </c>
      <c r="I312" s="23">
        <v>40087</v>
      </c>
      <c r="J312" s="37">
        <v>37</v>
      </c>
      <c r="K312" s="24" t="s">
        <v>549</v>
      </c>
      <c r="L312" s="24" t="s">
        <v>35</v>
      </c>
      <c r="M312" s="24">
        <v>40028</v>
      </c>
      <c r="N312" s="22" t="s">
        <v>567</v>
      </c>
      <c r="O312" s="3">
        <v>9100138</v>
      </c>
      <c r="P312" s="22">
        <v>1010</v>
      </c>
      <c r="Q312" s="22" t="s">
        <v>1654</v>
      </c>
      <c r="S312" s="38" t="s">
        <v>404</v>
      </c>
      <c r="T312" s="44">
        <v>40030</v>
      </c>
      <c r="U312" s="38" t="s">
        <v>404</v>
      </c>
      <c r="V312" s="9">
        <v>40205</v>
      </c>
      <c r="W312" s="74">
        <v>0</v>
      </c>
      <c r="X312" s="9"/>
      <c r="Y312" s="9"/>
      <c r="Z312" s="24" t="s">
        <v>393</v>
      </c>
      <c r="AA312" s="16"/>
    </row>
    <row r="313" spans="1:27" s="4" customFormat="1" ht="14.25" customHeight="1" x14ac:dyDescent="0.4">
      <c r="A313"/>
      <c r="B313" s="22">
        <v>0</v>
      </c>
      <c r="C313" s="22" t="s">
        <v>2165</v>
      </c>
      <c r="D313" s="22">
        <v>0</v>
      </c>
      <c r="E313" s="24">
        <v>40109</v>
      </c>
      <c r="F313" s="24" t="s">
        <v>393</v>
      </c>
      <c r="G313" s="24">
        <v>40116</v>
      </c>
      <c r="H313" s="23">
        <v>0</v>
      </c>
      <c r="I313" s="23">
        <v>40087</v>
      </c>
      <c r="J313" s="37">
        <v>36</v>
      </c>
      <c r="K313" s="24" t="s">
        <v>549</v>
      </c>
      <c r="L313" s="24" t="s">
        <v>36</v>
      </c>
      <c r="M313" s="24">
        <v>40028</v>
      </c>
      <c r="N313" s="22" t="s">
        <v>567</v>
      </c>
      <c r="O313" s="3">
        <v>9100139</v>
      </c>
      <c r="P313" s="22">
        <v>1010</v>
      </c>
      <c r="Q313" s="22" t="s">
        <v>1655</v>
      </c>
      <c r="R313" s="4" t="s">
        <v>873</v>
      </c>
      <c r="S313" s="38" t="s">
        <v>404</v>
      </c>
      <c r="T313" s="44">
        <v>40056</v>
      </c>
      <c r="U313" s="38" t="s">
        <v>404</v>
      </c>
      <c r="V313" s="9">
        <v>40164</v>
      </c>
      <c r="W313" s="74">
        <v>0</v>
      </c>
      <c r="X313" s="9"/>
      <c r="Y313" s="9"/>
      <c r="Z313" s="24" t="s">
        <v>393</v>
      </c>
      <c r="AA313" s="16"/>
    </row>
    <row r="314" spans="1:27" s="4" customFormat="1" ht="14.25" customHeight="1" x14ac:dyDescent="0.4">
      <c r="A314"/>
      <c r="B314" s="22">
        <v>0</v>
      </c>
      <c r="C314" s="22">
        <v>0</v>
      </c>
      <c r="D314" s="22">
        <v>0</v>
      </c>
      <c r="E314" s="24">
        <v>40091</v>
      </c>
      <c r="F314" s="24" t="s">
        <v>393</v>
      </c>
      <c r="G314" s="24">
        <v>40094</v>
      </c>
      <c r="H314" s="23">
        <v>0</v>
      </c>
      <c r="I314" s="23">
        <v>40087</v>
      </c>
      <c r="J314" s="37">
        <v>8</v>
      </c>
      <c r="K314" s="24" t="s">
        <v>549</v>
      </c>
      <c r="L314" s="24" t="s">
        <v>1992</v>
      </c>
      <c r="M314" s="24">
        <v>40028</v>
      </c>
      <c r="N314" s="22" t="s">
        <v>567</v>
      </c>
      <c r="O314" s="3">
        <v>9100141</v>
      </c>
      <c r="P314" s="22">
        <v>715</v>
      </c>
      <c r="Q314" s="22" t="s">
        <v>1656</v>
      </c>
      <c r="R314" s="4" t="s">
        <v>873</v>
      </c>
      <c r="S314" s="38" t="s">
        <v>404</v>
      </c>
      <c r="T314" s="44">
        <v>40071</v>
      </c>
      <c r="U314" s="38" t="s">
        <v>404</v>
      </c>
      <c r="V314" s="9">
        <v>40101</v>
      </c>
      <c r="W314" s="74">
        <v>0</v>
      </c>
      <c r="X314" s="9"/>
      <c r="Y314" s="9"/>
      <c r="Z314" s="24" t="s">
        <v>393</v>
      </c>
      <c r="AA314" s="16"/>
    </row>
    <row r="315" spans="1:27" s="4" customFormat="1" ht="14.25" customHeight="1" x14ac:dyDescent="0.4">
      <c r="A315"/>
      <c r="B315" s="22">
        <v>0</v>
      </c>
      <c r="C315" s="22" t="s">
        <v>2165</v>
      </c>
      <c r="D315" s="22">
        <v>0</v>
      </c>
      <c r="E315" s="24">
        <v>40102</v>
      </c>
      <c r="F315" s="24" t="s">
        <v>393</v>
      </c>
      <c r="G315" s="24">
        <v>40107</v>
      </c>
      <c r="H315" s="23">
        <v>0</v>
      </c>
      <c r="I315" s="23">
        <v>40087</v>
      </c>
      <c r="J315" s="37">
        <v>25</v>
      </c>
      <c r="K315" s="24" t="s">
        <v>549</v>
      </c>
      <c r="L315" s="24" t="s">
        <v>1724</v>
      </c>
      <c r="M315" s="24">
        <v>40028</v>
      </c>
      <c r="N315" s="22" t="s">
        <v>567</v>
      </c>
      <c r="O315" s="3">
        <v>9100142</v>
      </c>
      <c r="P315" s="22">
        <v>715</v>
      </c>
      <c r="Q315" s="22" t="s">
        <v>1658</v>
      </c>
      <c r="R315" s="4" t="s">
        <v>873</v>
      </c>
      <c r="S315" s="38" t="s">
        <v>404</v>
      </c>
      <c r="T315" s="44">
        <v>40070</v>
      </c>
      <c r="U315" s="38" t="s">
        <v>404</v>
      </c>
      <c r="V315" s="9">
        <v>40116</v>
      </c>
      <c r="W315" s="74">
        <v>0</v>
      </c>
      <c r="X315" s="9"/>
      <c r="Y315" s="9"/>
      <c r="Z315" s="24" t="s">
        <v>393</v>
      </c>
      <c r="AA315" s="16"/>
    </row>
    <row r="316" spans="1:27" s="4" customFormat="1" ht="14.25" customHeight="1" x14ac:dyDescent="0.4">
      <c r="A316"/>
      <c r="B316" s="22">
        <v>0</v>
      </c>
      <c r="C316" s="22" t="s">
        <v>2102</v>
      </c>
      <c r="D316" s="22">
        <v>0</v>
      </c>
      <c r="E316" s="24">
        <v>40147</v>
      </c>
      <c r="F316" s="24" t="s">
        <v>393</v>
      </c>
      <c r="G316" s="24">
        <v>40162</v>
      </c>
      <c r="H316" s="23">
        <v>0</v>
      </c>
      <c r="I316" s="23">
        <v>40118</v>
      </c>
      <c r="J316" s="37">
        <v>28</v>
      </c>
      <c r="K316" s="24" t="s">
        <v>549</v>
      </c>
      <c r="L316" s="24" t="s">
        <v>34</v>
      </c>
      <c r="M316" s="24">
        <v>40028</v>
      </c>
      <c r="N316" s="22" t="s">
        <v>567</v>
      </c>
      <c r="O316" s="3">
        <v>9100143</v>
      </c>
      <c r="P316" s="22">
        <v>1010</v>
      </c>
      <c r="Q316" s="22" t="s">
        <v>1659</v>
      </c>
      <c r="S316" s="38" t="s">
        <v>404</v>
      </c>
      <c r="T316" s="44">
        <v>40065</v>
      </c>
      <c r="U316" s="38" t="s">
        <v>404</v>
      </c>
      <c r="V316" s="9">
        <v>40234</v>
      </c>
      <c r="W316" s="74">
        <v>0</v>
      </c>
      <c r="X316" s="9"/>
      <c r="Y316" s="9"/>
      <c r="Z316" s="24" t="s">
        <v>393</v>
      </c>
      <c r="AA316" s="16"/>
    </row>
    <row r="317" spans="1:27" s="4" customFormat="1" ht="14.25" customHeight="1" x14ac:dyDescent="0.4">
      <c r="A317"/>
      <c r="B317" s="22">
        <v>0</v>
      </c>
      <c r="C317" s="22" t="s">
        <v>2102</v>
      </c>
      <c r="D317" s="22">
        <v>0</v>
      </c>
      <c r="E317" s="24">
        <v>40210</v>
      </c>
      <c r="F317" s="24" t="s">
        <v>393</v>
      </c>
      <c r="G317" s="24">
        <v>40226</v>
      </c>
      <c r="H317" s="23">
        <v>0</v>
      </c>
      <c r="I317" s="23">
        <v>40210</v>
      </c>
      <c r="J317" s="37">
        <v>2</v>
      </c>
      <c r="K317" s="24" t="s">
        <v>549</v>
      </c>
      <c r="L317" s="24" t="s">
        <v>37</v>
      </c>
      <c r="M317" s="24">
        <v>40028</v>
      </c>
      <c r="N317" s="22" t="s">
        <v>567</v>
      </c>
      <c r="O317" s="3">
        <v>9100144</v>
      </c>
      <c r="P317" s="22">
        <v>1010</v>
      </c>
      <c r="Q317" s="22" t="s">
        <v>1660</v>
      </c>
      <c r="S317" s="38" t="s">
        <v>404</v>
      </c>
      <c r="T317" s="44">
        <v>40175</v>
      </c>
      <c r="U317" s="38" t="s">
        <v>404</v>
      </c>
      <c r="V317" s="9">
        <v>40249</v>
      </c>
      <c r="W317" s="74">
        <v>0</v>
      </c>
      <c r="X317" s="9"/>
      <c r="Y317" s="9"/>
      <c r="Z317" s="24" t="s">
        <v>393</v>
      </c>
      <c r="AA317" s="16"/>
    </row>
    <row r="318" spans="1:27" ht="14.25" customHeight="1" x14ac:dyDescent="0.4">
      <c r="B318" s="22">
        <v>0</v>
      </c>
      <c r="C318" s="22" t="s">
        <v>2102</v>
      </c>
      <c r="D318" s="22">
        <v>0</v>
      </c>
      <c r="E318" s="24">
        <v>40217</v>
      </c>
      <c r="F318" s="24" t="s">
        <v>393</v>
      </c>
      <c r="G318" s="24">
        <v>40226</v>
      </c>
      <c r="H318" s="23">
        <v>0</v>
      </c>
      <c r="I318" s="23">
        <v>40210</v>
      </c>
      <c r="J318" s="37">
        <v>8</v>
      </c>
      <c r="K318" s="24" t="s">
        <v>549</v>
      </c>
      <c r="L318" s="24" t="s">
        <v>37</v>
      </c>
      <c r="M318" s="24">
        <v>40028</v>
      </c>
      <c r="N318" s="22" t="s">
        <v>567</v>
      </c>
      <c r="O318" s="3">
        <v>9100145</v>
      </c>
      <c r="P318" s="22">
        <v>1010</v>
      </c>
      <c r="Q318" s="22" t="s">
        <v>1661</v>
      </c>
      <c r="R318" s="4"/>
      <c r="S318" s="38" t="s">
        <v>404</v>
      </c>
      <c r="T318" s="44">
        <v>40182</v>
      </c>
      <c r="U318" s="38" t="s">
        <v>404</v>
      </c>
      <c r="V318" s="9">
        <v>40248</v>
      </c>
      <c r="W318" s="74">
        <v>0</v>
      </c>
      <c r="X318" s="9"/>
      <c r="Y318" s="9"/>
      <c r="Z318" s="24" t="s">
        <v>393</v>
      </c>
      <c r="AA318" s="16"/>
    </row>
    <row r="319" spans="1:27" ht="14.25" customHeight="1" x14ac:dyDescent="0.4">
      <c r="B319" s="22">
        <v>0</v>
      </c>
      <c r="C319" s="22">
        <v>0</v>
      </c>
      <c r="D319" s="22">
        <v>0</v>
      </c>
      <c r="E319" s="24">
        <v>40255</v>
      </c>
      <c r="F319" s="24" t="s">
        <v>393</v>
      </c>
      <c r="G319" s="24">
        <v>40263</v>
      </c>
      <c r="H319" s="23">
        <v>0</v>
      </c>
      <c r="I319" s="23">
        <v>40238</v>
      </c>
      <c r="J319" s="37">
        <v>13</v>
      </c>
      <c r="K319" s="24" t="s">
        <v>549</v>
      </c>
      <c r="L319" s="24" t="s">
        <v>38</v>
      </c>
      <c r="M319" s="24">
        <v>40028</v>
      </c>
      <c r="N319" s="22" t="s">
        <v>567</v>
      </c>
      <c r="O319" s="3">
        <v>9100146</v>
      </c>
      <c r="P319" s="22">
        <v>715</v>
      </c>
      <c r="Q319" s="22" t="s">
        <v>1662</v>
      </c>
      <c r="R319" s="4"/>
      <c r="S319" s="38" t="s">
        <v>404</v>
      </c>
      <c r="T319" s="44">
        <v>40242</v>
      </c>
      <c r="U319" s="38" t="s">
        <v>404</v>
      </c>
      <c r="V319" s="9">
        <v>40280</v>
      </c>
      <c r="W319" s="74">
        <v>0</v>
      </c>
      <c r="X319" s="9"/>
      <c r="Y319" s="9"/>
      <c r="Z319" s="24" t="s">
        <v>393</v>
      </c>
      <c r="AA319" s="16"/>
    </row>
    <row r="320" spans="1:27" ht="14.25" customHeight="1" x14ac:dyDescent="0.4">
      <c r="B320" s="22">
        <v>0</v>
      </c>
      <c r="C320" s="22" t="s">
        <v>2165</v>
      </c>
      <c r="D320" s="22">
        <v>0</v>
      </c>
      <c r="E320" s="24">
        <v>40056</v>
      </c>
      <c r="F320" s="24" t="s">
        <v>393</v>
      </c>
      <c r="G320" s="24">
        <v>40058</v>
      </c>
      <c r="H320" s="23">
        <v>0</v>
      </c>
      <c r="I320" s="23">
        <v>40057</v>
      </c>
      <c r="J320" s="37">
        <v>4</v>
      </c>
      <c r="K320" s="24" t="s">
        <v>549</v>
      </c>
      <c r="L320" s="24" t="s">
        <v>1992</v>
      </c>
      <c r="M320" s="24">
        <v>40037</v>
      </c>
      <c r="N320" s="22" t="s">
        <v>567</v>
      </c>
      <c r="O320" s="4">
        <v>9100199</v>
      </c>
      <c r="P320" s="22">
        <v>1010</v>
      </c>
      <c r="Q320" s="22" t="s">
        <v>1663</v>
      </c>
      <c r="R320" s="3" t="s">
        <v>873</v>
      </c>
      <c r="S320" s="3" t="s">
        <v>404</v>
      </c>
      <c r="T320" s="28">
        <v>40077</v>
      </c>
      <c r="U320" s="3" t="s">
        <v>404</v>
      </c>
      <c r="V320" s="28">
        <v>40077</v>
      </c>
      <c r="W320" s="74">
        <v>0</v>
      </c>
      <c r="X320" s="28"/>
      <c r="Y320" s="28"/>
      <c r="Z320" s="24" t="s">
        <v>393</v>
      </c>
      <c r="AA320" s="16"/>
    </row>
    <row r="321" spans="1:27" ht="14.25" customHeight="1" x14ac:dyDescent="0.4">
      <c r="B321" s="22">
        <v>0</v>
      </c>
      <c r="C321" s="22" t="s">
        <v>2102</v>
      </c>
      <c r="D321" s="22">
        <v>0</v>
      </c>
      <c r="E321" s="24">
        <v>40080</v>
      </c>
      <c r="F321" s="24" t="s">
        <v>393</v>
      </c>
      <c r="G321" s="24">
        <v>40086</v>
      </c>
      <c r="H321" s="23">
        <v>0</v>
      </c>
      <c r="I321" s="23">
        <v>40057</v>
      </c>
      <c r="J321" s="37">
        <v>38</v>
      </c>
      <c r="K321" s="24" t="s">
        <v>549</v>
      </c>
      <c r="L321" s="24">
        <v>0</v>
      </c>
      <c r="M321" s="24">
        <v>40037</v>
      </c>
      <c r="N321" s="22" t="s">
        <v>567</v>
      </c>
      <c r="O321" s="4">
        <v>9100200</v>
      </c>
      <c r="P321" s="22">
        <v>1010</v>
      </c>
      <c r="Q321" s="22" t="s">
        <v>1664</v>
      </c>
      <c r="R321" s="3" t="s">
        <v>672</v>
      </c>
      <c r="S321" s="3" t="s">
        <v>404</v>
      </c>
      <c r="T321" s="28">
        <v>40410</v>
      </c>
      <c r="U321" s="3" t="s">
        <v>404</v>
      </c>
      <c r="V321" s="28">
        <v>40436</v>
      </c>
      <c r="W321" s="74">
        <v>0</v>
      </c>
      <c r="X321" s="28"/>
      <c r="Y321" s="28"/>
      <c r="Z321" s="24" t="s">
        <v>393</v>
      </c>
      <c r="AA321" s="16"/>
    </row>
    <row r="322" spans="1:27" ht="14.25" customHeight="1" x14ac:dyDescent="0.4">
      <c r="B322" s="22">
        <v>0</v>
      </c>
      <c r="C322" s="22">
        <v>0</v>
      </c>
      <c r="D322" s="22">
        <v>0</v>
      </c>
      <c r="E322" s="24">
        <v>40252</v>
      </c>
      <c r="F322" s="24" t="s">
        <v>393</v>
      </c>
      <c r="G322" s="24">
        <v>40255</v>
      </c>
      <c r="H322" s="23">
        <v>0</v>
      </c>
      <c r="I322" s="23">
        <v>40238</v>
      </c>
      <c r="J322" s="37">
        <v>9</v>
      </c>
      <c r="K322" s="24" t="s">
        <v>549</v>
      </c>
      <c r="L322" s="24" t="s">
        <v>38</v>
      </c>
      <c r="M322" s="24">
        <v>40070</v>
      </c>
      <c r="N322" s="22" t="s">
        <v>567</v>
      </c>
      <c r="O322" s="4">
        <v>9100203</v>
      </c>
      <c r="P322" s="22">
        <v>1010</v>
      </c>
      <c r="Q322" s="22" t="s">
        <v>1665</v>
      </c>
      <c r="R322" s="4"/>
      <c r="S322" s="38" t="s">
        <v>404</v>
      </c>
      <c r="T322" s="28">
        <v>40232</v>
      </c>
      <c r="U322" s="3" t="s">
        <v>404</v>
      </c>
      <c r="V322" s="28">
        <v>40280</v>
      </c>
      <c r="W322" s="74">
        <v>0</v>
      </c>
      <c r="X322" s="9"/>
      <c r="Y322" s="9"/>
      <c r="Z322" s="24" t="s">
        <v>393</v>
      </c>
      <c r="AA322" s="16"/>
    </row>
    <row r="323" spans="1:27" s="4" customFormat="1" ht="14.25" customHeight="1" x14ac:dyDescent="0.4">
      <c r="A323"/>
      <c r="B323" s="22">
        <v>0</v>
      </c>
      <c r="C323" s="22" t="s">
        <v>2165</v>
      </c>
      <c r="D323" s="22">
        <v>0</v>
      </c>
      <c r="E323" s="24">
        <v>40325</v>
      </c>
      <c r="F323" s="24" t="s">
        <v>393</v>
      </c>
      <c r="G323" s="24">
        <v>40330</v>
      </c>
      <c r="H323" s="23">
        <v>0</v>
      </c>
      <c r="I323" s="23">
        <v>40299</v>
      </c>
      <c r="J323" s="37">
        <v>13</v>
      </c>
      <c r="K323" s="24" t="s">
        <v>549</v>
      </c>
      <c r="L323" s="24" t="s">
        <v>38</v>
      </c>
      <c r="M323" s="24">
        <v>40070</v>
      </c>
      <c r="N323" s="22" t="s">
        <v>567</v>
      </c>
      <c r="O323" s="4">
        <v>9100245</v>
      </c>
      <c r="P323" s="22">
        <v>715</v>
      </c>
      <c r="Q323" s="22" t="s">
        <v>1666</v>
      </c>
      <c r="S323" s="4" t="s">
        <v>404</v>
      </c>
      <c r="T323" s="28">
        <v>40536</v>
      </c>
      <c r="U323" s="3" t="s">
        <v>404</v>
      </c>
      <c r="V323" s="28">
        <v>40591</v>
      </c>
      <c r="W323" s="74">
        <v>0</v>
      </c>
      <c r="X323" s="28"/>
      <c r="Y323" s="28"/>
      <c r="Z323" s="24" t="s">
        <v>393</v>
      </c>
      <c r="AA323" s="16"/>
    </row>
    <row r="324" spans="1:27" ht="14.25" customHeight="1" x14ac:dyDescent="0.4">
      <c r="B324" s="22">
        <v>0</v>
      </c>
      <c r="C324" s="22" t="s">
        <v>2165</v>
      </c>
      <c r="D324" s="22">
        <v>0</v>
      </c>
      <c r="E324" s="24">
        <v>40336</v>
      </c>
      <c r="F324" s="24" t="s">
        <v>393</v>
      </c>
      <c r="G324" s="24">
        <v>40338</v>
      </c>
      <c r="H324" s="23">
        <v>0</v>
      </c>
      <c r="I324" s="23">
        <v>40330</v>
      </c>
      <c r="J324" s="37">
        <v>4</v>
      </c>
      <c r="K324" s="24" t="s">
        <v>549</v>
      </c>
      <c r="L324" s="24" t="s">
        <v>38</v>
      </c>
      <c r="M324" s="24">
        <v>40070</v>
      </c>
      <c r="N324" s="22" t="s">
        <v>567</v>
      </c>
      <c r="O324" s="4">
        <v>9100246</v>
      </c>
      <c r="P324" s="22">
        <v>715</v>
      </c>
      <c r="Q324" s="22" t="s">
        <v>1667</v>
      </c>
      <c r="R324" s="4"/>
      <c r="S324" s="38" t="s">
        <v>404</v>
      </c>
      <c r="T324" s="28">
        <v>40493</v>
      </c>
      <c r="U324" s="3" t="s">
        <v>404</v>
      </c>
      <c r="V324" s="28">
        <v>40515</v>
      </c>
      <c r="W324" s="74">
        <v>0</v>
      </c>
      <c r="X324" s="28"/>
      <c r="Y324" s="28"/>
      <c r="Z324" s="24" t="s">
        <v>393</v>
      </c>
      <c r="AA324" s="16"/>
    </row>
    <row r="325" spans="1:27" s="4" customFormat="1" ht="14.25" customHeight="1" x14ac:dyDescent="0.4">
      <c r="A325"/>
      <c r="B325" s="22">
        <v>0</v>
      </c>
      <c r="C325" s="22">
        <v>0</v>
      </c>
      <c r="D325" s="22">
        <v>0</v>
      </c>
      <c r="E325" s="24">
        <v>40259</v>
      </c>
      <c r="F325" s="24" t="s">
        <v>393</v>
      </c>
      <c r="G325" s="24">
        <v>40263</v>
      </c>
      <c r="H325" s="23">
        <v>0</v>
      </c>
      <c r="I325" s="23">
        <v>40238</v>
      </c>
      <c r="J325" s="37">
        <v>16</v>
      </c>
      <c r="K325" s="24" t="s">
        <v>549</v>
      </c>
      <c r="L325" s="24" t="s">
        <v>38</v>
      </c>
      <c r="M325" s="24">
        <v>40070</v>
      </c>
      <c r="N325" s="22" t="s">
        <v>567</v>
      </c>
      <c r="O325" s="4">
        <v>9100247</v>
      </c>
      <c r="P325" s="22">
        <v>1010</v>
      </c>
      <c r="Q325" s="22" t="s">
        <v>1668</v>
      </c>
      <c r="R325" s="4" t="s">
        <v>873</v>
      </c>
      <c r="S325" s="38" t="s">
        <v>404</v>
      </c>
      <c r="T325" s="28">
        <v>40035</v>
      </c>
      <c r="U325" s="3" t="s">
        <v>404</v>
      </c>
      <c r="V325" s="28">
        <v>40276</v>
      </c>
      <c r="W325" s="74">
        <v>0</v>
      </c>
      <c r="X325" s="9"/>
      <c r="Y325" s="9"/>
      <c r="Z325" s="24" t="s">
        <v>393</v>
      </c>
      <c r="AA325" s="16"/>
    </row>
    <row r="326" spans="1:27" s="4" customFormat="1" ht="14.25" customHeight="1" x14ac:dyDescent="0.4">
      <c r="A326"/>
      <c r="B326" s="22">
        <v>0</v>
      </c>
      <c r="C326" s="22">
        <v>0</v>
      </c>
      <c r="D326" s="22">
        <v>0</v>
      </c>
      <c r="E326" s="24">
        <v>40280</v>
      </c>
      <c r="F326" s="24" t="s">
        <v>393</v>
      </c>
      <c r="G326" s="24">
        <v>40282</v>
      </c>
      <c r="H326" s="23">
        <v>0</v>
      </c>
      <c r="I326" s="23">
        <v>40269</v>
      </c>
      <c r="J326" s="37">
        <v>9</v>
      </c>
      <c r="K326" s="24" t="s">
        <v>549</v>
      </c>
      <c r="L326" s="24" t="s">
        <v>39</v>
      </c>
      <c r="M326" s="24">
        <v>40070</v>
      </c>
      <c r="N326" s="22" t="s">
        <v>567</v>
      </c>
      <c r="O326" s="4">
        <v>9100248</v>
      </c>
      <c r="P326" s="22">
        <v>1010</v>
      </c>
      <c r="Q326" s="22" t="s">
        <v>1669</v>
      </c>
      <c r="S326" s="38" t="s">
        <v>404</v>
      </c>
      <c r="T326" s="28">
        <v>40261</v>
      </c>
      <c r="U326" s="3" t="s">
        <v>404</v>
      </c>
      <c r="V326" s="28">
        <v>40288</v>
      </c>
      <c r="W326" s="74">
        <v>0</v>
      </c>
      <c r="X326" s="9"/>
      <c r="Y326" s="9"/>
      <c r="Z326" s="24" t="s">
        <v>393</v>
      </c>
      <c r="AA326" s="16"/>
    </row>
    <row r="327" spans="1:27" ht="14.25" customHeight="1" x14ac:dyDescent="0.4">
      <c r="B327" s="22">
        <v>0</v>
      </c>
      <c r="C327" s="22" t="s">
        <v>2165</v>
      </c>
      <c r="D327" s="22">
        <v>0</v>
      </c>
      <c r="E327" s="24">
        <v>40332</v>
      </c>
      <c r="F327" s="24" t="s">
        <v>393</v>
      </c>
      <c r="G327" s="24">
        <v>40337</v>
      </c>
      <c r="H327" s="23">
        <v>0</v>
      </c>
      <c r="I327" s="23">
        <v>40330</v>
      </c>
      <c r="J327" s="37">
        <v>3</v>
      </c>
      <c r="K327" s="24" t="s">
        <v>549</v>
      </c>
      <c r="L327" s="24" t="s">
        <v>38</v>
      </c>
      <c r="M327" s="24">
        <v>40070</v>
      </c>
      <c r="N327" s="22" t="s">
        <v>567</v>
      </c>
      <c r="O327" s="4">
        <v>9100249</v>
      </c>
      <c r="P327" s="22">
        <v>1010</v>
      </c>
      <c r="Q327" s="22" t="s">
        <v>1670</v>
      </c>
      <c r="R327" s="4"/>
      <c r="S327" s="38" t="s">
        <v>404</v>
      </c>
      <c r="T327" s="28">
        <v>40493</v>
      </c>
      <c r="U327" s="3" t="s">
        <v>404</v>
      </c>
      <c r="V327" s="28">
        <v>40521</v>
      </c>
      <c r="W327" s="74">
        <v>0</v>
      </c>
      <c r="X327" s="28"/>
      <c r="Y327" s="28"/>
      <c r="Z327" s="24" t="s">
        <v>393</v>
      </c>
      <c r="AA327" s="16"/>
    </row>
    <row r="328" spans="1:27" ht="14.25" customHeight="1" x14ac:dyDescent="0.4">
      <c r="B328" s="22">
        <v>0</v>
      </c>
      <c r="C328" s="22" t="s">
        <v>2165</v>
      </c>
      <c r="D328" s="22">
        <v>0</v>
      </c>
      <c r="E328" s="24">
        <v>40343</v>
      </c>
      <c r="F328" s="24" t="s">
        <v>393</v>
      </c>
      <c r="G328" s="24">
        <v>40347</v>
      </c>
      <c r="H328" s="23">
        <v>0</v>
      </c>
      <c r="I328" s="23">
        <v>40330</v>
      </c>
      <c r="J328" s="37">
        <v>9</v>
      </c>
      <c r="K328" s="24" t="s">
        <v>549</v>
      </c>
      <c r="L328" s="24" t="s">
        <v>38</v>
      </c>
      <c r="M328" s="24">
        <v>40070</v>
      </c>
      <c r="N328" s="22" t="s">
        <v>567</v>
      </c>
      <c r="O328" s="4">
        <v>9100250</v>
      </c>
      <c r="P328" s="22">
        <v>1010</v>
      </c>
      <c r="Q328" s="22" t="s">
        <v>1671</v>
      </c>
      <c r="R328" s="4" t="s">
        <v>567</v>
      </c>
      <c r="S328" s="38" t="s">
        <v>404</v>
      </c>
      <c r="T328" s="28">
        <v>40400</v>
      </c>
      <c r="U328" s="3" t="s">
        <v>404</v>
      </c>
      <c r="V328" s="28">
        <v>40417</v>
      </c>
      <c r="W328" s="74">
        <v>0</v>
      </c>
      <c r="X328" s="28"/>
      <c r="Y328" s="28"/>
      <c r="Z328" s="24" t="s">
        <v>393</v>
      </c>
      <c r="AA328" s="16"/>
    </row>
    <row r="329" spans="1:27" ht="14.25" customHeight="1" x14ac:dyDescent="0.4">
      <c r="B329" s="22">
        <v>0</v>
      </c>
      <c r="C329" s="22">
        <v>0</v>
      </c>
      <c r="D329" s="22">
        <v>0</v>
      </c>
      <c r="E329" s="24">
        <v>40339</v>
      </c>
      <c r="F329" s="24" t="s">
        <v>393</v>
      </c>
      <c r="G329" s="24">
        <v>40344</v>
      </c>
      <c r="H329" s="23">
        <v>0</v>
      </c>
      <c r="I329" s="23">
        <v>40330</v>
      </c>
      <c r="J329" s="37">
        <v>8</v>
      </c>
      <c r="K329" s="24" t="s">
        <v>549</v>
      </c>
      <c r="L329" s="24" t="s">
        <v>38</v>
      </c>
      <c r="M329" s="24">
        <v>40070</v>
      </c>
      <c r="N329" s="22" t="s">
        <v>567</v>
      </c>
      <c r="O329" s="4">
        <v>9100251</v>
      </c>
      <c r="P329" s="22">
        <v>1010</v>
      </c>
      <c r="Q329" s="22" t="s">
        <v>1672</v>
      </c>
      <c r="R329" s="4"/>
      <c r="S329" s="38" t="s">
        <v>404</v>
      </c>
      <c r="T329" s="28">
        <v>40318</v>
      </c>
      <c r="U329" s="3" t="s">
        <v>404</v>
      </c>
      <c r="V329" s="28">
        <v>40358</v>
      </c>
      <c r="W329" s="74">
        <v>0</v>
      </c>
      <c r="X329" s="9"/>
      <c r="Y329" s="9"/>
      <c r="Z329" s="24" t="s">
        <v>393</v>
      </c>
      <c r="AA329" s="16"/>
    </row>
    <row r="330" spans="1:27" s="4" customFormat="1" ht="14.25" customHeight="1" x14ac:dyDescent="0.4">
      <c r="A330"/>
      <c r="B330" s="22">
        <v>0</v>
      </c>
      <c r="C330" s="22">
        <v>0</v>
      </c>
      <c r="D330" s="22">
        <v>0</v>
      </c>
      <c r="E330" s="24">
        <v>0</v>
      </c>
      <c r="F330" s="24" t="s">
        <v>392</v>
      </c>
      <c r="G330" s="24">
        <v>40410</v>
      </c>
      <c r="H330" s="23">
        <v>0</v>
      </c>
      <c r="I330" s="23">
        <v>40391</v>
      </c>
      <c r="J330" s="37">
        <v>12</v>
      </c>
      <c r="K330" s="24" t="s">
        <v>549</v>
      </c>
      <c r="L330" s="24" t="s">
        <v>40</v>
      </c>
      <c r="M330" s="24">
        <v>40070</v>
      </c>
      <c r="N330" s="22" t="s">
        <v>567</v>
      </c>
      <c r="O330" s="4">
        <v>9100252</v>
      </c>
      <c r="P330" s="22">
        <v>1010</v>
      </c>
      <c r="Q330" s="22" t="s">
        <v>1673</v>
      </c>
      <c r="S330" s="38" t="s">
        <v>404</v>
      </c>
      <c r="T330" s="28">
        <v>40557</v>
      </c>
      <c r="U330" s="3" t="s">
        <v>404</v>
      </c>
      <c r="V330" s="28">
        <v>40587</v>
      </c>
      <c r="W330" s="74">
        <v>0</v>
      </c>
      <c r="X330" s="9"/>
      <c r="Y330" s="9"/>
      <c r="Z330" s="24" t="s">
        <v>392</v>
      </c>
      <c r="AA330" s="16"/>
    </row>
    <row r="331" spans="1:27" s="4" customFormat="1" ht="14.25" customHeight="1" x14ac:dyDescent="0.4">
      <c r="B331" s="22">
        <v>0</v>
      </c>
      <c r="C331" s="22">
        <v>0</v>
      </c>
      <c r="D331" s="22">
        <v>0</v>
      </c>
      <c r="E331" s="24">
        <v>40344</v>
      </c>
      <c r="F331" s="24" t="s">
        <v>393</v>
      </c>
      <c r="G331" s="24">
        <v>40350</v>
      </c>
      <c r="H331" s="23">
        <v>0</v>
      </c>
      <c r="I331" s="23">
        <v>40330</v>
      </c>
      <c r="J331" s="37">
        <v>10</v>
      </c>
      <c r="K331" s="24" t="s">
        <v>549</v>
      </c>
      <c r="L331" s="24" t="s">
        <v>1724</v>
      </c>
      <c r="M331" s="24">
        <v>40319</v>
      </c>
      <c r="N331" s="22" t="s">
        <v>567</v>
      </c>
      <c r="O331" s="4">
        <v>9101005</v>
      </c>
      <c r="P331" s="22">
        <v>1010</v>
      </c>
      <c r="Q331" s="22" t="s">
        <v>1738</v>
      </c>
      <c r="R331" s="4" t="s">
        <v>1415</v>
      </c>
      <c r="S331" s="38" t="s">
        <v>404</v>
      </c>
      <c r="T331" s="44">
        <v>40402</v>
      </c>
      <c r="U331" s="38" t="s">
        <v>404</v>
      </c>
      <c r="V331" s="9">
        <v>40438</v>
      </c>
      <c r="W331" s="74">
        <v>0</v>
      </c>
      <c r="X331" s="9"/>
      <c r="Y331" s="9"/>
      <c r="Z331" s="24" t="s">
        <v>393</v>
      </c>
      <c r="AA331" s="16"/>
    </row>
    <row r="332" spans="1:27" s="4" customFormat="1" ht="14.25" customHeight="1" x14ac:dyDescent="0.4">
      <c r="A332"/>
      <c r="B332" s="22">
        <v>0</v>
      </c>
      <c r="C332" s="22">
        <v>0</v>
      </c>
      <c r="D332" s="22">
        <v>0</v>
      </c>
      <c r="E332" s="24">
        <v>40345</v>
      </c>
      <c r="F332" s="24" t="s">
        <v>393</v>
      </c>
      <c r="G332" s="24">
        <v>40351</v>
      </c>
      <c r="H332" s="23">
        <v>0</v>
      </c>
      <c r="I332" s="23">
        <v>40330</v>
      </c>
      <c r="J332" s="37">
        <v>11</v>
      </c>
      <c r="K332" s="24" t="s">
        <v>549</v>
      </c>
      <c r="L332" s="24" t="s">
        <v>1724</v>
      </c>
      <c r="M332" s="24">
        <v>40319</v>
      </c>
      <c r="N332" s="22" t="s">
        <v>567</v>
      </c>
      <c r="O332" s="4">
        <v>9101006</v>
      </c>
      <c r="P332" s="22">
        <v>1010</v>
      </c>
      <c r="Q332" s="22" t="s">
        <v>1739</v>
      </c>
      <c r="R332" s="4" t="s">
        <v>1415</v>
      </c>
      <c r="S332" s="38" t="s">
        <v>404</v>
      </c>
      <c r="T332" s="44">
        <v>40485</v>
      </c>
      <c r="U332" s="38" t="s">
        <v>404</v>
      </c>
      <c r="V332" s="9">
        <v>40519</v>
      </c>
      <c r="W332" s="74">
        <v>0</v>
      </c>
      <c r="X332" s="9"/>
      <c r="Y332" s="9"/>
      <c r="Z332" s="24" t="s">
        <v>393</v>
      </c>
      <c r="AA332" s="16"/>
    </row>
    <row r="333" spans="1:27" s="4" customFormat="1" ht="14.25" customHeight="1" x14ac:dyDescent="0.4">
      <c r="B333" s="22">
        <v>0</v>
      </c>
      <c r="C333" s="22">
        <v>0</v>
      </c>
      <c r="D333" s="22">
        <v>0</v>
      </c>
      <c r="E333" s="24">
        <v>40185</v>
      </c>
      <c r="F333" s="24" t="s">
        <v>393</v>
      </c>
      <c r="G333" s="24">
        <v>40192</v>
      </c>
      <c r="H333" s="23">
        <v>0</v>
      </c>
      <c r="I333" s="23">
        <v>40179</v>
      </c>
      <c r="J333" s="37">
        <v>4</v>
      </c>
      <c r="K333" s="24" t="s">
        <v>410</v>
      </c>
      <c r="L333" s="24" t="s">
        <v>1724</v>
      </c>
      <c r="M333" s="24">
        <v>40170</v>
      </c>
      <c r="N333" s="22" t="s">
        <v>1397</v>
      </c>
      <c r="O333" s="5">
        <v>9100326</v>
      </c>
      <c r="P333" s="22">
        <v>1010</v>
      </c>
      <c r="Q333" s="22" t="s">
        <v>1674</v>
      </c>
      <c r="S333" s="38" t="s">
        <v>404</v>
      </c>
      <c r="T333" s="44">
        <v>40193</v>
      </c>
      <c r="U333" s="38" t="s">
        <v>404</v>
      </c>
      <c r="V333" s="9"/>
      <c r="W333" s="74">
        <v>0</v>
      </c>
      <c r="X333" s="9">
        <v>40211</v>
      </c>
      <c r="Y333" s="9"/>
      <c r="Z333" s="24" t="s">
        <v>393</v>
      </c>
      <c r="AA333" s="16"/>
    </row>
    <row r="334" spans="1:27" s="4" customFormat="1" ht="14.25" customHeight="1" x14ac:dyDescent="0.4">
      <c r="B334" s="22">
        <v>0</v>
      </c>
      <c r="C334" s="22" t="s">
        <v>2165</v>
      </c>
      <c r="D334" s="22">
        <v>0</v>
      </c>
      <c r="E334" s="24">
        <v>40189</v>
      </c>
      <c r="F334" s="24" t="s">
        <v>393</v>
      </c>
      <c r="G334" s="24">
        <v>40193</v>
      </c>
      <c r="H334" s="23">
        <v>0</v>
      </c>
      <c r="I334" s="23">
        <v>40179</v>
      </c>
      <c r="J334" s="37">
        <v>6</v>
      </c>
      <c r="K334" s="24" t="s">
        <v>410</v>
      </c>
      <c r="L334" s="24" t="s">
        <v>1724</v>
      </c>
      <c r="M334" s="24">
        <v>40170</v>
      </c>
      <c r="N334" s="22" t="s">
        <v>1397</v>
      </c>
      <c r="O334" s="5">
        <v>9100327</v>
      </c>
      <c r="P334" s="22">
        <v>1010</v>
      </c>
      <c r="Q334" s="22" t="s">
        <v>1674</v>
      </c>
      <c r="S334" s="3" t="s">
        <v>404</v>
      </c>
      <c r="T334" s="43">
        <v>40193</v>
      </c>
      <c r="U334" s="3" t="s">
        <v>404</v>
      </c>
      <c r="V334" s="1"/>
      <c r="W334" s="74">
        <v>0</v>
      </c>
      <c r="X334" s="28">
        <v>40211</v>
      </c>
      <c r="Y334" s="28"/>
      <c r="Z334" s="24" t="s">
        <v>393</v>
      </c>
      <c r="AA334" s="16"/>
    </row>
    <row r="335" spans="1:27" s="4" customFormat="1" ht="14.25" customHeight="1" x14ac:dyDescent="0.4">
      <c r="B335" s="22">
        <v>0</v>
      </c>
      <c r="C335" s="22">
        <v>0</v>
      </c>
      <c r="D335" s="22">
        <v>0</v>
      </c>
      <c r="E335" s="24">
        <v>40190</v>
      </c>
      <c r="F335" s="24" t="s">
        <v>393</v>
      </c>
      <c r="G335" s="24">
        <v>40193</v>
      </c>
      <c r="H335" s="23">
        <v>0</v>
      </c>
      <c r="I335" s="23">
        <v>40179</v>
      </c>
      <c r="J335" s="37">
        <v>7</v>
      </c>
      <c r="K335" s="24" t="s">
        <v>410</v>
      </c>
      <c r="L335" s="24" t="s">
        <v>1724</v>
      </c>
      <c r="M335" s="24">
        <v>40170</v>
      </c>
      <c r="N335" s="22" t="s">
        <v>1397</v>
      </c>
      <c r="O335" s="5">
        <v>9100328</v>
      </c>
      <c r="P335" s="22">
        <v>1010</v>
      </c>
      <c r="Q335" s="22" t="s">
        <v>1674</v>
      </c>
      <c r="R335" s="48"/>
      <c r="S335" s="49" t="s">
        <v>404</v>
      </c>
      <c r="T335" s="43">
        <v>40193</v>
      </c>
      <c r="U335" s="49" t="s">
        <v>404</v>
      </c>
      <c r="V335" s="56"/>
      <c r="W335" s="74">
        <v>0</v>
      </c>
      <c r="X335" s="9">
        <v>40211</v>
      </c>
      <c r="Y335" s="28"/>
      <c r="Z335" s="24" t="s">
        <v>393</v>
      </c>
      <c r="AA335" s="16"/>
    </row>
    <row r="336" spans="1:27" s="4" customFormat="1" ht="14.25" customHeight="1" x14ac:dyDescent="0.4">
      <c r="A336"/>
      <c r="B336" s="22">
        <v>0</v>
      </c>
      <c r="C336" s="22">
        <v>0</v>
      </c>
      <c r="D336" s="22">
        <v>0</v>
      </c>
      <c r="E336" s="24">
        <v>40071</v>
      </c>
      <c r="F336" s="24" t="s">
        <v>393</v>
      </c>
      <c r="G336" s="24">
        <v>40073</v>
      </c>
      <c r="H336" s="23">
        <v>0</v>
      </c>
      <c r="I336" s="23">
        <v>40057</v>
      </c>
      <c r="J336" s="37">
        <v>21</v>
      </c>
      <c r="K336" s="24" t="s">
        <v>410</v>
      </c>
      <c r="L336" s="24" t="s">
        <v>1992</v>
      </c>
      <c r="M336" s="24">
        <v>40026</v>
      </c>
      <c r="N336" s="22" t="s">
        <v>555</v>
      </c>
      <c r="O336" s="4">
        <v>9100104</v>
      </c>
      <c r="P336" s="22">
        <v>1010</v>
      </c>
      <c r="Q336" s="22" t="s">
        <v>1675</v>
      </c>
      <c r="R336" s="4" t="s">
        <v>1364</v>
      </c>
      <c r="S336" s="47" t="s">
        <v>404</v>
      </c>
      <c r="T336" s="57">
        <v>40026</v>
      </c>
      <c r="U336" s="4" t="s">
        <v>404</v>
      </c>
      <c r="V336" s="57">
        <v>40094</v>
      </c>
      <c r="W336" s="74">
        <v>0</v>
      </c>
      <c r="X336" s="9">
        <v>40081</v>
      </c>
      <c r="Y336" s="9"/>
      <c r="Z336" s="24" t="s">
        <v>393</v>
      </c>
      <c r="AA336" s="16"/>
    </row>
    <row r="337" spans="1:27" s="4" customFormat="1" ht="14.25" customHeight="1" x14ac:dyDescent="0.4">
      <c r="A337"/>
      <c r="B337" s="22">
        <v>0</v>
      </c>
      <c r="C337" s="22" t="s">
        <v>2165</v>
      </c>
      <c r="D337" s="22">
        <v>0</v>
      </c>
      <c r="E337" s="24">
        <v>40024</v>
      </c>
      <c r="F337" s="24" t="s">
        <v>393</v>
      </c>
      <c r="G337" s="24">
        <v>40030</v>
      </c>
      <c r="H337" s="23">
        <v>0</v>
      </c>
      <c r="I337" s="23">
        <v>39995</v>
      </c>
      <c r="J337" s="37">
        <v>26</v>
      </c>
      <c r="K337" s="24" t="s">
        <v>410</v>
      </c>
      <c r="L337" s="24">
        <v>40026</v>
      </c>
      <c r="M337" s="24">
        <v>39996</v>
      </c>
      <c r="N337" s="22" t="s">
        <v>558</v>
      </c>
      <c r="O337" s="4">
        <v>9100049</v>
      </c>
      <c r="P337" s="22">
        <v>715</v>
      </c>
      <c r="Q337" s="22" t="s">
        <v>1347</v>
      </c>
      <c r="T337" s="57"/>
      <c r="V337" s="57"/>
      <c r="W337" s="75">
        <v>12</v>
      </c>
      <c r="X337" s="28"/>
      <c r="Y337" s="28"/>
      <c r="Z337" s="24" t="s">
        <v>393</v>
      </c>
      <c r="AA337" s="16"/>
    </row>
    <row r="338" spans="1:27" s="4" customFormat="1" ht="14.25" customHeight="1" x14ac:dyDescent="0.4">
      <c r="A338"/>
      <c r="B338" s="22">
        <v>0</v>
      </c>
      <c r="C338" s="22">
        <v>0</v>
      </c>
      <c r="D338" s="22">
        <v>0</v>
      </c>
      <c r="E338" s="24">
        <v>40043</v>
      </c>
      <c r="F338" s="24" t="s">
        <v>393</v>
      </c>
      <c r="G338" s="24">
        <v>40045</v>
      </c>
      <c r="H338" s="23">
        <v>0</v>
      </c>
      <c r="I338" s="23">
        <v>40026</v>
      </c>
      <c r="J338" s="37">
        <v>25</v>
      </c>
      <c r="K338" s="24" t="s">
        <v>410</v>
      </c>
      <c r="L338" s="24">
        <v>0</v>
      </c>
      <c r="M338" s="24">
        <v>40011</v>
      </c>
      <c r="N338" s="22" t="s">
        <v>558</v>
      </c>
      <c r="O338" s="4">
        <v>9100076</v>
      </c>
      <c r="P338" s="22">
        <v>715</v>
      </c>
      <c r="Q338" s="22" t="s">
        <v>1344</v>
      </c>
      <c r="R338" s="4" t="s">
        <v>1876</v>
      </c>
      <c r="S338" s="4" t="s">
        <v>404</v>
      </c>
      <c r="T338" s="59">
        <v>40410</v>
      </c>
      <c r="U338" s="4" t="s">
        <v>404</v>
      </c>
      <c r="V338" s="59">
        <v>40431</v>
      </c>
      <c r="W338" s="75">
        <v>0</v>
      </c>
      <c r="X338" s="28"/>
      <c r="Y338" s="28"/>
      <c r="Z338" s="24" t="s">
        <v>393</v>
      </c>
      <c r="AA338" s="16"/>
    </row>
    <row r="339" spans="1:27" ht="14.25" customHeight="1" x14ac:dyDescent="0.4">
      <c r="B339" s="22">
        <v>0</v>
      </c>
      <c r="C339" s="22" t="s">
        <v>2102</v>
      </c>
      <c r="D339" s="22">
        <v>0</v>
      </c>
      <c r="E339" s="24">
        <v>40135</v>
      </c>
      <c r="F339" s="24" t="s">
        <v>393</v>
      </c>
      <c r="G339" s="24">
        <v>40156</v>
      </c>
      <c r="H339" s="23">
        <v>0</v>
      </c>
      <c r="I339" s="23">
        <v>40118</v>
      </c>
      <c r="J339" s="37">
        <v>21</v>
      </c>
      <c r="K339" s="32" t="s">
        <v>410</v>
      </c>
      <c r="L339" s="24">
        <v>0</v>
      </c>
      <c r="M339" s="24">
        <v>40100</v>
      </c>
      <c r="N339" s="22" t="s">
        <v>558</v>
      </c>
      <c r="O339" s="4">
        <v>9100258</v>
      </c>
      <c r="P339" s="22">
        <v>1210</v>
      </c>
      <c r="Q339" s="22" t="s">
        <v>1676</v>
      </c>
      <c r="R339" s="4"/>
      <c r="S339" s="3" t="s">
        <v>404</v>
      </c>
      <c r="T339" s="28">
        <v>40151</v>
      </c>
      <c r="U339" s="3" t="s">
        <v>404</v>
      </c>
      <c r="V339" s="9">
        <v>40268</v>
      </c>
      <c r="W339" s="74">
        <v>0</v>
      </c>
      <c r="X339" s="9">
        <v>40273</v>
      </c>
      <c r="Y339" s="9"/>
      <c r="Z339" s="24" t="s">
        <v>393</v>
      </c>
      <c r="AA339" s="16"/>
    </row>
    <row r="340" spans="1:27" ht="14.25" customHeight="1" x14ac:dyDescent="0.4">
      <c r="B340" s="22">
        <v>0</v>
      </c>
      <c r="C340" s="22">
        <v>0</v>
      </c>
      <c r="D340" s="22">
        <v>0</v>
      </c>
      <c r="E340" s="24">
        <v>40044</v>
      </c>
      <c r="F340" s="24" t="s">
        <v>393</v>
      </c>
      <c r="G340" s="24">
        <v>40050</v>
      </c>
      <c r="H340" s="23">
        <v>0</v>
      </c>
      <c r="I340" s="23">
        <v>40026</v>
      </c>
      <c r="J340" s="37">
        <v>26</v>
      </c>
      <c r="K340" s="32" t="s">
        <v>410</v>
      </c>
      <c r="L340" s="24">
        <v>0</v>
      </c>
      <c r="M340" s="24">
        <v>40011</v>
      </c>
      <c r="N340" s="22" t="s">
        <v>559</v>
      </c>
      <c r="O340" s="4">
        <v>9100077</v>
      </c>
      <c r="P340" s="22">
        <v>1010</v>
      </c>
      <c r="Q340" s="22" t="s">
        <v>1343</v>
      </c>
      <c r="R340" s="4"/>
      <c r="S340" s="4" t="s">
        <v>404</v>
      </c>
      <c r="T340" s="57">
        <v>40333</v>
      </c>
      <c r="U340" s="4"/>
      <c r="V340" s="58"/>
      <c r="W340" s="75">
        <v>0</v>
      </c>
      <c r="X340" s="28">
        <v>40162</v>
      </c>
      <c r="Y340" s="28"/>
      <c r="Z340" s="24" t="s">
        <v>393</v>
      </c>
      <c r="AA340" s="16"/>
    </row>
    <row r="341" spans="1:27" s="4" customFormat="1" ht="14.25" customHeight="1" x14ac:dyDescent="0.4">
      <c r="A341"/>
      <c r="B341" s="22">
        <v>0</v>
      </c>
      <c r="C341" s="22">
        <v>0</v>
      </c>
      <c r="D341" s="22">
        <v>0</v>
      </c>
      <c r="E341" s="24">
        <v>40046</v>
      </c>
      <c r="F341" s="24" t="s">
        <v>393</v>
      </c>
      <c r="G341" s="24">
        <v>40053</v>
      </c>
      <c r="H341" s="23">
        <v>0</v>
      </c>
      <c r="I341" s="23">
        <v>40026</v>
      </c>
      <c r="J341" s="37">
        <v>31</v>
      </c>
      <c r="K341" s="32" t="s">
        <v>410</v>
      </c>
      <c r="L341" s="24" t="s">
        <v>41</v>
      </c>
      <c r="M341" s="24">
        <v>40011</v>
      </c>
      <c r="N341" s="22" t="s">
        <v>559</v>
      </c>
      <c r="O341" s="4">
        <v>9100079</v>
      </c>
      <c r="P341" s="22">
        <v>715</v>
      </c>
      <c r="Q341" s="22" t="s">
        <v>698</v>
      </c>
      <c r="S341" s="4" t="s">
        <v>404</v>
      </c>
      <c r="T341" s="57">
        <v>40351</v>
      </c>
      <c r="V341" s="57"/>
      <c r="W341" s="74">
        <v>0</v>
      </c>
      <c r="X341" s="9">
        <v>40065</v>
      </c>
      <c r="Y341" s="28"/>
      <c r="Z341" s="24" t="s">
        <v>393</v>
      </c>
      <c r="AA341" s="16"/>
    </row>
    <row r="342" spans="1:27" s="4" customFormat="1" ht="14.25" customHeight="1" x14ac:dyDescent="0.4">
      <c r="B342" s="22">
        <v>0</v>
      </c>
      <c r="C342" s="22" t="s">
        <v>2165</v>
      </c>
      <c r="D342" s="22">
        <v>0</v>
      </c>
      <c r="E342" s="24">
        <v>40191</v>
      </c>
      <c r="F342" s="24" t="s">
        <v>393</v>
      </c>
      <c r="G342" s="24">
        <v>40197</v>
      </c>
      <c r="H342" s="23">
        <v>0</v>
      </c>
      <c r="I342" s="23">
        <v>40179</v>
      </c>
      <c r="J342" s="37">
        <v>9</v>
      </c>
      <c r="K342" s="32" t="s">
        <v>410</v>
      </c>
      <c r="L342" s="24" t="s">
        <v>1724</v>
      </c>
      <c r="M342" s="24">
        <v>40171</v>
      </c>
      <c r="N342" s="22" t="s">
        <v>1802</v>
      </c>
      <c r="O342" s="5">
        <v>9100352</v>
      </c>
      <c r="P342" s="22">
        <v>715</v>
      </c>
      <c r="Q342" s="22" t="s">
        <v>2117</v>
      </c>
      <c r="R342" s="45"/>
      <c r="S342" s="45" t="s">
        <v>404</v>
      </c>
      <c r="T342" s="46">
        <v>40563</v>
      </c>
      <c r="U342" s="45" t="s">
        <v>404</v>
      </c>
      <c r="V342" s="46">
        <v>40599</v>
      </c>
      <c r="W342" s="74">
        <v>0</v>
      </c>
      <c r="X342" s="28">
        <v>40196</v>
      </c>
      <c r="Y342" s="28"/>
      <c r="Z342" s="24" t="s">
        <v>393</v>
      </c>
      <c r="AA342" s="16"/>
    </row>
    <row r="343" spans="1:27" s="4" customFormat="1" ht="14.25" customHeight="1" x14ac:dyDescent="0.4">
      <c r="B343" s="22">
        <v>0</v>
      </c>
      <c r="C343" s="22">
        <v>0</v>
      </c>
      <c r="D343" s="22">
        <v>0</v>
      </c>
      <c r="E343" s="24">
        <v>40184</v>
      </c>
      <c r="F343" s="24" t="s">
        <v>393</v>
      </c>
      <c r="G343" s="24">
        <v>40192</v>
      </c>
      <c r="H343" s="23">
        <v>0</v>
      </c>
      <c r="I343" s="23">
        <v>40179</v>
      </c>
      <c r="J343" s="37">
        <v>3</v>
      </c>
      <c r="K343" s="24" t="s">
        <v>410</v>
      </c>
      <c r="L343" s="24" t="s">
        <v>1724</v>
      </c>
      <c r="M343" s="24">
        <v>40170</v>
      </c>
      <c r="N343" s="22" t="s">
        <v>568</v>
      </c>
      <c r="O343" s="5">
        <v>9100325</v>
      </c>
      <c r="P343" s="22">
        <v>715</v>
      </c>
      <c r="Q343" s="22" t="s">
        <v>1677</v>
      </c>
      <c r="S343" s="38" t="s">
        <v>404</v>
      </c>
      <c r="T343" s="44">
        <v>40213</v>
      </c>
      <c r="U343" s="38" t="s">
        <v>404</v>
      </c>
      <c r="V343" s="9">
        <v>40235</v>
      </c>
      <c r="W343" s="74">
        <v>0</v>
      </c>
      <c r="X343" s="9">
        <v>40197</v>
      </c>
      <c r="Y343" s="9"/>
      <c r="Z343" s="24" t="s">
        <v>393</v>
      </c>
      <c r="AA343" s="16"/>
    </row>
    <row r="344" spans="1:27" s="4" customFormat="1" ht="14.25" customHeight="1" x14ac:dyDescent="0.4">
      <c r="B344" s="22">
        <v>0</v>
      </c>
      <c r="C344" s="22" t="s">
        <v>2165</v>
      </c>
      <c r="D344" s="22">
        <v>0</v>
      </c>
      <c r="E344" s="24">
        <v>40219</v>
      </c>
      <c r="F344" s="24" t="s">
        <v>393</v>
      </c>
      <c r="G344" s="24">
        <v>40232</v>
      </c>
      <c r="H344" s="23">
        <v>0</v>
      </c>
      <c r="I344" s="23">
        <v>40210</v>
      </c>
      <c r="J344" s="37">
        <v>12</v>
      </c>
      <c r="K344" s="24" t="s">
        <v>410</v>
      </c>
      <c r="L344" s="24" t="s">
        <v>2000</v>
      </c>
      <c r="M344" s="24">
        <v>40211</v>
      </c>
      <c r="N344" s="22" t="s">
        <v>568</v>
      </c>
      <c r="O344" s="4">
        <v>9100387</v>
      </c>
      <c r="P344" s="22">
        <v>1010</v>
      </c>
      <c r="Q344" s="22" t="s">
        <v>1721</v>
      </c>
      <c r="R344" s="50"/>
      <c r="S344" s="50" t="s">
        <v>404</v>
      </c>
      <c r="T344" s="51">
        <v>40213</v>
      </c>
      <c r="U344" s="52" t="s">
        <v>404</v>
      </c>
      <c r="V344" s="51">
        <v>40289</v>
      </c>
      <c r="W344" s="74">
        <v>0</v>
      </c>
      <c r="X344" s="28">
        <v>40238</v>
      </c>
      <c r="Y344" s="28"/>
      <c r="Z344" s="24" t="s">
        <v>393</v>
      </c>
      <c r="AA344" s="16"/>
    </row>
    <row r="345" spans="1:27" s="4" customFormat="1" ht="14.25" customHeight="1" x14ac:dyDescent="0.4">
      <c r="B345" s="22">
        <v>0</v>
      </c>
      <c r="C345" s="22" t="s">
        <v>2165</v>
      </c>
      <c r="D345" s="22">
        <v>0</v>
      </c>
      <c r="E345" s="24">
        <v>0</v>
      </c>
      <c r="F345" s="24" t="s">
        <v>393</v>
      </c>
      <c r="G345" s="24">
        <v>40268</v>
      </c>
      <c r="H345" s="23">
        <v>0</v>
      </c>
      <c r="I345" s="23">
        <v>40238</v>
      </c>
      <c r="J345" s="37">
        <v>18</v>
      </c>
      <c r="K345" s="24" t="s">
        <v>410</v>
      </c>
      <c r="L345" s="24" t="s">
        <v>2001</v>
      </c>
      <c r="M345" s="24">
        <v>40242</v>
      </c>
      <c r="N345" s="22" t="s">
        <v>568</v>
      </c>
      <c r="O345" s="4">
        <v>9100408</v>
      </c>
      <c r="P345" s="22">
        <v>1210</v>
      </c>
      <c r="Q345" s="22" t="s">
        <v>1678</v>
      </c>
      <c r="S345" s="38" t="s">
        <v>404</v>
      </c>
      <c r="T345" s="44">
        <v>40240</v>
      </c>
      <c r="U345" s="38" t="s">
        <v>404</v>
      </c>
      <c r="V345" s="9">
        <v>40288</v>
      </c>
      <c r="W345" s="74">
        <v>0</v>
      </c>
      <c r="X345" s="9">
        <v>40275</v>
      </c>
      <c r="Y345" s="9"/>
      <c r="Z345" s="24" t="s">
        <v>393</v>
      </c>
      <c r="AA345" s="16"/>
    </row>
    <row r="346" spans="1:27" s="4" customFormat="1" ht="14.25" customHeight="1" x14ac:dyDescent="0.4">
      <c r="A346"/>
      <c r="B346" s="22">
        <v>0</v>
      </c>
      <c r="C346" s="22" t="s">
        <v>2165</v>
      </c>
      <c r="D346" s="22">
        <v>0</v>
      </c>
      <c r="E346" s="24">
        <v>40016</v>
      </c>
      <c r="F346" s="24" t="s">
        <v>393</v>
      </c>
      <c r="G346" s="24">
        <v>40022</v>
      </c>
      <c r="H346" s="23">
        <v>0</v>
      </c>
      <c r="I346" s="23">
        <v>39995</v>
      </c>
      <c r="J346" s="37">
        <v>17</v>
      </c>
      <c r="K346" s="24" t="s">
        <v>410</v>
      </c>
      <c r="L346" s="24">
        <v>40026</v>
      </c>
      <c r="M346" s="24">
        <v>40007</v>
      </c>
      <c r="N346" s="22" t="s">
        <v>667</v>
      </c>
      <c r="O346" s="4">
        <v>9100051</v>
      </c>
      <c r="P346" s="22">
        <v>715</v>
      </c>
      <c r="Q346" s="22" t="s">
        <v>1679</v>
      </c>
      <c r="S346" s="4" t="s">
        <v>404</v>
      </c>
      <c r="T346" s="58">
        <v>40101</v>
      </c>
      <c r="U346" s="4" t="s">
        <v>404</v>
      </c>
      <c r="V346" s="58">
        <v>40119</v>
      </c>
      <c r="W346" s="74">
        <v>0</v>
      </c>
      <c r="X346" s="28">
        <v>40035</v>
      </c>
      <c r="Y346" s="28"/>
      <c r="Z346" s="24" t="s">
        <v>393</v>
      </c>
      <c r="AA346" s="16"/>
    </row>
    <row r="347" spans="1:27" s="4" customFormat="1" ht="14.25" customHeight="1" x14ac:dyDescent="0.4">
      <c r="A347"/>
      <c r="B347" s="22">
        <v>0</v>
      </c>
      <c r="C347" s="22" t="s">
        <v>2165</v>
      </c>
      <c r="D347" s="22">
        <v>0</v>
      </c>
      <c r="E347" s="24">
        <v>40028</v>
      </c>
      <c r="F347" s="24" t="s">
        <v>393</v>
      </c>
      <c r="G347" s="24">
        <v>40035</v>
      </c>
      <c r="H347" s="23">
        <v>0</v>
      </c>
      <c r="I347" s="23">
        <v>40026</v>
      </c>
      <c r="J347" s="37">
        <v>5</v>
      </c>
      <c r="K347" s="24" t="s">
        <v>410</v>
      </c>
      <c r="L347" s="24">
        <v>0</v>
      </c>
      <c r="M347" s="24">
        <v>40007</v>
      </c>
      <c r="N347" s="22" t="s">
        <v>667</v>
      </c>
      <c r="O347" s="4">
        <v>9100056</v>
      </c>
      <c r="P347" s="22">
        <v>715</v>
      </c>
      <c r="Q347" s="22">
        <v>0</v>
      </c>
      <c r="S347" s="4" t="s">
        <v>404</v>
      </c>
      <c r="T347" s="57">
        <v>40976</v>
      </c>
      <c r="U347" s="4" t="s">
        <v>404</v>
      </c>
      <c r="V347" s="57">
        <v>40976</v>
      </c>
      <c r="W347" s="74">
        <v>0</v>
      </c>
      <c r="X347" s="27">
        <v>40161</v>
      </c>
      <c r="Y347" s="27"/>
      <c r="Z347" s="24" t="s">
        <v>393</v>
      </c>
      <c r="AA347" s="16"/>
    </row>
    <row r="348" spans="1:27" s="4" customFormat="1" ht="14.25" customHeight="1" x14ac:dyDescent="0.4">
      <c r="A348"/>
      <c r="B348" s="22">
        <v>0</v>
      </c>
      <c r="C348" s="22">
        <v>0</v>
      </c>
      <c r="D348" s="22">
        <v>0</v>
      </c>
      <c r="E348" s="24">
        <v>40232</v>
      </c>
      <c r="F348" s="24" t="s">
        <v>393</v>
      </c>
      <c r="G348" s="24">
        <v>40244</v>
      </c>
      <c r="H348" s="23">
        <v>0</v>
      </c>
      <c r="I348" s="23">
        <v>40210</v>
      </c>
      <c r="J348" s="37">
        <v>20</v>
      </c>
      <c r="K348" s="24" t="s">
        <v>410</v>
      </c>
      <c r="L348" s="24">
        <v>0</v>
      </c>
      <c r="M348" s="24">
        <v>40220</v>
      </c>
      <c r="N348" s="22" t="s">
        <v>667</v>
      </c>
      <c r="O348" s="4">
        <v>9100402</v>
      </c>
      <c r="P348" s="22">
        <v>715</v>
      </c>
      <c r="Q348" s="22">
        <v>0</v>
      </c>
      <c r="R348" s="38"/>
      <c r="S348" s="38" t="s">
        <v>404</v>
      </c>
      <c r="T348" s="60">
        <v>40255</v>
      </c>
      <c r="U348" s="38" t="s">
        <v>404</v>
      </c>
      <c r="V348" s="57">
        <v>40255</v>
      </c>
      <c r="W348" s="74">
        <v>0</v>
      </c>
      <c r="X348" s="43">
        <v>40231</v>
      </c>
      <c r="Y348" s="1"/>
      <c r="Z348" s="24" t="s">
        <v>393</v>
      </c>
      <c r="AA348" s="16"/>
    </row>
    <row r="349" spans="1:27" s="4" customFormat="1" ht="14.25" customHeight="1" x14ac:dyDescent="0.4">
      <c r="A349"/>
      <c r="B349" s="22">
        <v>0</v>
      </c>
      <c r="C349" s="22">
        <v>0</v>
      </c>
      <c r="D349" s="22">
        <v>0</v>
      </c>
      <c r="E349" s="24">
        <v>40253</v>
      </c>
      <c r="F349" s="24" t="s">
        <v>393</v>
      </c>
      <c r="G349" s="24">
        <v>40260</v>
      </c>
      <c r="H349" s="23">
        <v>0</v>
      </c>
      <c r="I349" s="23">
        <v>40238</v>
      </c>
      <c r="J349" s="37">
        <v>10</v>
      </c>
      <c r="K349" s="24" t="s">
        <v>410</v>
      </c>
      <c r="L349" s="24" t="s">
        <v>2001</v>
      </c>
      <c r="M349" s="24">
        <v>40239</v>
      </c>
      <c r="N349" s="22" t="s">
        <v>667</v>
      </c>
      <c r="O349" s="4">
        <v>9100407</v>
      </c>
      <c r="P349" s="22">
        <v>715</v>
      </c>
      <c r="Q349" s="22">
        <v>0</v>
      </c>
      <c r="S349" s="38" t="s">
        <v>404</v>
      </c>
      <c r="T349" s="44">
        <v>40255</v>
      </c>
      <c r="U349" s="38" t="s">
        <v>404</v>
      </c>
      <c r="V349" s="9">
        <v>40268</v>
      </c>
      <c r="W349" s="74">
        <v>0</v>
      </c>
      <c r="X349" s="9">
        <v>40245</v>
      </c>
      <c r="Y349" s="9"/>
      <c r="Z349" s="24" t="s">
        <v>393</v>
      </c>
      <c r="AA349" s="16"/>
    </row>
    <row r="350" spans="1:27" s="4" customFormat="1" ht="14.25" customHeight="1" x14ac:dyDescent="0.4">
      <c r="B350" s="22">
        <v>0</v>
      </c>
      <c r="C350" s="22" t="s">
        <v>2165</v>
      </c>
      <c r="D350" s="22">
        <v>0</v>
      </c>
      <c r="E350" s="24">
        <v>0</v>
      </c>
      <c r="F350" s="24" t="s">
        <v>393</v>
      </c>
      <c r="G350" s="24">
        <v>40380</v>
      </c>
      <c r="H350" s="23">
        <v>0</v>
      </c>
      <c r="I350" s="23">
        <v>40360</v>
      </c>
      <c r="J350" s="37">
        <v>10</v>
      </c>
      <c r="K350" s="24" t="s">
        <v>410</v>
      </c>
      <c r="L350" s="24" t="s">
        <v>1724</v>
      </c>
      <c r="M350" s="24">
        <v>40361</v>
      </c>
      <c r="N350" s="22" t="s">
        <v>1454</v>
      </c>
      <c r="O350" s="4">
        <v>9101025</v>
      </c>
      <c r="P350" s="22">
        <v>1010</v>
      </c>
      <c r="Q350" s="22" t="s">
        <v>71</v>
      </c>
      <c r="S350" s="38" t="s">
        <v>404</v>
      </c>
      <c r="T350" s="44">
        <v>40395</v>
      </c>
      <c r="U350" s="38" t="s">
        <v>404</v>
      </c>
      <c r="V350" s="9">
        <v>40395</v>
      </c>
      <c r="W350" s="74">
        <v>0</v>
      </c>
      <c r="X350" s="9"/>
      <c r="Y350" s="9"/>
      <c r="Z350" s="24" t="s">
        <v>393</v>
      </c>
      <c r="AA350" s="16"/>
    </row>
    <row r="351" spans="1:27" s="4" customFormat="1" ht="14.25" customHeight="1" x14ac:dyDescent="0.4">
      <c r="A351"/>
      <c r="B351" s="22">
        <v>0</v>
      </c>
      <c r="C351" s="22" t="s">
        <v>2165</v>
      </c>
      <c r="D351" s="22">
        <v>0</v>
      </c>
      <c r="E351" s="24">
        <v>40183</v>
      </c>
      <c r="F351" s="24" t="s">
        <v>393</v>
      </c>
      <c r="G351" s="24">
        <v>40186</v>
      </c>
      <c r="H351" s="23">
        <v>0</v>
      </c>
      <c r="I351" s="23">
        <v>40179</v>
      </c>
      <c r="J351" s="37">
        <v>2</v>
      </c>
      <c r="K351" s="24" t="s">
        <v>410</v>
      </c>
      <c r="L351" s="24" t="s">
        <v>42</v>
      </c>
      <c r="M351" s="24">
        <v>40171</v>
      </c>
      <c r="N351" s="22" t="s">
        <v>1454</v>
      </c>
      <c r="O351" s="4">
        <v>9100272</v>
      </c>
      <c r="P351" s="22">
        <v>1010</v>
      </c>
      <c r="Q351" s="22">
        <v>1223092</v>
      </c>
      <c r="S351" s="124" t="s">
        <v>404</v>
      </c>
      <c r="T351" s="125">
        <v>40375</v>
      </c>
      <c r="U351" s="126" t="s">
        <v>404</v>
      </c>
      <c r="V351" s="9">
        <v>40375</v>
      </c>
      <c r="W351" s="74">
        <v>0</v>
      </c>
      <c r="X351" s="9">
        <v>40197</v>
      </c>
      <c r="Y351" s="9"/>
      <c r="Z351" s="24" t="s">
        <v>393</v>
      </c>
      <c r="AA351" s="16"/>
    </row>
    <row r="352" spans="1:27" s="4" customFormat="1" ht="14.25" customHeight="1" x14ac:dyDescent="0.4">
      <c r="B352" s="22">
        <v>0</v>
      </c>
      <c r="C352" s="22" t="s">
        <v>2165</v>
      </c>
      <c r="D352" s="22">
        <v>0</v>
      </c>
      <c r="E352" s="24">
        <v>40186</v>
      </c>
      <c r="F352" s="24" t="s">
        <v>393</v>
      </c>
      <c r="G352" s="24">
        <v>40206</v>
      </c>
      <c r="H352" s="23">
        <v>0</v>
      </c>
      <c r="I352" s="23">
        <v>40179</v>
      </c>
      <c r="J352" s="37">
        <v>5</v>
      </c>
      <c r="K352" s="24" t="s">
        <v>410</v>
      </c>
      <c r="L352" s="24" t="s">
        <v>1724</v>
      </c>
      <c r="M352" s="24">
        <v>40171</v>
      </c>
      <c r="N352" s="22" t="s">
        <v>1454</v>
      </c>
      <c r="O352" s="5">
        <v>9100351</v>
      </c>
      <c r="P352" s="22">
        <v>1010</v>
      </c>
      <c r="Q352" s="22">
        <v>1223094</v>
      </c>
      <c r="S352" s="3" t="s">
        <v>404</v>
      </c>
      <c r="T352" s="43">
        <v>40354</v>
      </c>
      <c r="U352" s="3" t="s">
        <v>404</v>
      </c>
      <c r="V352" s="43" t="s">
        <v>1888</v>
      </c>
      <c r="W352" s="74">
        <v>0</v>
      </c>
      <c r="X352" s="28">
        <v>40196</v>
      </c>
      <c r="Y352" s="28"/>
      <c r="Z352" s="24" t="s">
        <v>393</v>
      </c>
      <c r="AA352" s="16"/>
    </row>
    <row r="353" spans="1:30" s="4" customFormat="1" ht="14.25" customHeight="1" x14ac:dyDescent="0.4">
      <c r="B353" s="22">
        <v>0</v>
      </c>
      <c r="C353" s="22" t="s">
        <v>2165</v>
      </c>
      <c r="D353" s="22">
        <v>0</v>
      </c>
      <c r="E353" s="24">
        <v>40218</v>
      </c>
      <c r="F353" s="24" t="s">
        <v>393</v>
      </c>
      <c r="G353" s="24">
        <v>40225</v>
      </c>
      <c r="H353" s="23">
        <v>0</v>
      </c>
      <c r="I353" s="23">
        <v>40210</v>
      </c>
      <c r="J353" s="37">
        <v>10</v>
      </c>
      <c r="K353" s="24" t="s">
        <v>410</v>
      </c>
      <c r="L353" s="24" t="s">
        <v>1724</v>
      </c>
      <c r="M353" s="24">
        <v>40171</v>
      </c>
      <c r="N353" s="22" t="s">
        <v>1454</v>
      </c>
      <c r="O353" s="5">
        <v>9100353</v>
      </c>
      <c r="P353" s="22">
        <v>1010</v>
      </c>
      <c r="Q353" s="22">
        <v>1223093</v>
      </c>
      <c r="R353" s="52"/>
      <c r="S353" s="53" t="s">
        <v>404</v>
      </c>
      <c r="T353" s="54">
        <v>40280</v>
      </c>
      <c r="U353" s="53" t="s">
        <v>404</v>
      </c>
      <c r="V353" s="96">
        <v>40281</v>
      </c>
      <c r="W353" s="74">
        <v>0</v>
      </c>
      <c r="X353" s="28">
        <v>40196</v>
      </c>
      <c r="Y353" s="28"/>
      <c r="Z353" s="24" t="s">
        <v>393</v>
      </c>
      <c r="AA353" s="16"/>
    </row>
    <row r="354" spans="1:30" s="4" customFormat="1" ht="14.25" customHeight="1" x14ac:dyDescent="0.4">
      <c r="B354" s="22">
        <v>0</v>
      </c>
      <c r="C354" s="22" t="s">
        <v>2165</v>
      </c>
      <c r="D354" s="22">
        <v>0</v>
      </c>
      <c r="E354" s="24">
        <v>40192</v>
      </c>
      <c r="F354" s="24" t="s">
        <v>393</v>
      </c>
      <c r="G354" s="24">
        <v>40214</v>
      </c>
      <c r="H354" s="23">
        <v>0</v>
      </c>
      <c r="I354" s="23">
        <v>40179</v>
      </c>
      <c r="J354" s="37">
        <v>10</v>
      </c>
      <c r="K354" s="24" t="s">
        <v>410</v>
      </c>
      <c r="L354" s="24" t="s">
        <v>1724</v>
      </c>
      <c r="M354" s="24">
        <v>40171</v>
      </c>
      <c r="N354" s="22" t="s">
        <v>1454</v>
      </c>
      <c r="O354" s="5">
        <v>9100354</v>
      </c>
      <c r="P354" s="22">
        <v>1010</v>
      </c>
      <c r="Q354" s="22">
        <v>1223095</v>
      </c>
      <c r="S354" s="3" t="s">
        <v>404</v>
      </c>
      <c r="T354" s="43">
        <v>40400</v>
      </c>
      <c r="U354" s="3" t="s">
        <v>404</v>
      </c>
      <c r="V354" s="62">
        <v>40400</v>
      </c>
      <c r="W354" s="74">
        <v>0</v>
      </c>
      <c r="X354" s="28">
        <v>40196</v>
      </c>
      <c r="Y354" s="28"/>
      <c r="Z354" s="24" t="s">
        <v>393</v>
      </c>
      <c r="AA354" s="16"/>
    </row>
    <row r="355" spans="1:30" s="4" customFormat="1" ht="14.25" customHeight="1" x14ac:dyDescent="0.4">
      <c r="B355" s="22">
        <v>0</v>
      </c>
      <c r="C355" s="22">
        <v>0</v>
      </c>
      <c r="D355" s="22">
        <v>0</v>
      </c>
      <c r="E355" s="24">
        <v>40211</v>
      </c>
      <c r="F355" s="24" t="s">
        <v>393</v>
      </c>
      <c r="G355" s="24">
        <v>40235</v>
      </c>
      <c r="H355" s="23">
        <v>0</v>
      </c>
      <c r="I355" s="23">
        <v>40210</v>
      </c>
      <c r="J355" s="37">
        <v>3</v>
      </c>
      <c r="K355" s="24" t="s">
        <v>410</v>
      </c>
      <c r="L355" s="24" t="s">
        <v>2000</v>
      </c>
      <c r="M355" s="24">
        <v>40200</v>
      </c>
      <c r="N355" s="34" t="s">
        <v>1454</v>
      </c>
      <c r="O355" s="4">
        <v>9100367</v>
      </c>
      <c r="P355" s="22">
        <v>715</v>
      </c>
      <c r="Q355" s="22" t="s">
        <v>1680</v>
      </c>
      <c r="R355" s="47"/>
      <c r="S355" s="78" t="s">
        <v>404</v>
      </c>
      <c r="T355" s="103">
        <v>40213</v>
      </c>
      <c r="U355" s="78" t="s">
        <v>404</v>
      </c>
      <c r="V355" s="43">
        <v>40231</v>
      </c>
      <c r="W355" s="74">
        <v>0</v>
      </c>
      <c r="X355" s="9">
        <v>40225</v>
      </c>
      <c r="Y355" s="9"/>
      <c r="Z355" s="24" t="s">
        <v>393</v>
      </c>
      <c r="AA355" s="16"/>
    </row>
    <row r="356" spans="1:30" s="4" customFormat="1" ht="14.25" customHeight="1" x14ac:dyDescent="0.4">
      <c r="B356" s="22">
        <v>0</v>
      </c>
      <c r="C356" s="22" t="s">
        <v>2102</v>
      </c>
      <c r="D356" s="22">
        <v>0</v>
      </c>
      <c r="E356" s="24">
        <v>40245</v>
      </c>
      <c r="F356" s="24" t="s">
        <v>393</v>
      </c>
      <c r="G356" s="24">
        <v>40247</v>
      </c>
      <c r="H356" s="23">
        <v>0</v>
      </c>
      <c r="I356" s="23">
        <v>40238</v>
      </c>
      <c r="J356" s="37">
        <v>1</v>
      </c>
      <c r="K356" s="24" t="s">
        <v>410</v>
      </c>
      <c r="L356" s="24" t="s">
        <v>2001</v>
      </c>
      <c r="M356" s="24">
        <v>40200</v>
      </c>
      <c r="N356" s="22" t="s">
        <v>1454</v>
      </c>
      <c r="O356" s="4">
        <v>9100369</v>
      </c>
      <c r="P356" s="22">
        <v>715</v>
      </c>
      <c r="Q356" s="22" t="s">
        <v>1682</v>
      </c>
      <c r="S356" s="3" t="s">
        <v>404</v>
      </c>
      <c r="T356" s="43">
        <v>40288</v>
      </c>
      <c r="U356" s="3" t="s">
        <v>404</v>
      </c>
      <c r="V356" s="62">
        <v>40288</v>
      </c>
      <c r="W356" s="74">
        <v>0</v>
      </c>
      <c r="X356" s="28">
        <v>40249</v>
      </c>
      <c r="Y356" s="28"/>
      <c r="Z356" s="24" t="s">
        <v>393</v>
      </c>
      <c r="AA356" s="16"/>
    </row>
    <row r="357" spans="1:30" s="4" customFormat="1" ht="14.25" customHeight="1" x14ac:dyDescent="0.4">
      <c r="B357" s="22">
        <v>0</v>
      </c>
      <c r="C357" s="22">
        <v>0</v>
      </c>
      <c r="D357" s="22">
        <v>0</v>
      </c>
      <c r="E357" s="24">
        <v>40245</v>
      </c>
      <c r="F357" s="24" t="s">
        <v>393</v>
      </c>
      <c r="G357" s="24">
        <v>40249</v>
      </c>
      <c r="H357" s="23">
        <v>0</v>
      </c>
      <c r="I357" s="23">
        <v>40238</v>
      </c>
      <c r="J357" s="37">
        <v>2</v>
      </c>
      <c r="K357" s="24" t="s">
        <v>410</v>
      </c>
      <c r="L357" s="24" t="s">
        <v>2001</v>
      </c>
      <c r="M357" s="24">
        <v>40200</v>
      </c>
      <c r="N357" s="22" t="s">
        <v>1454</v>
      </c>
      <c r="O357" s="4">
        <v>9100370</v>
      </c>
      <c r="P357" s="22">
        <v>1010</v>
      </c>
      <c r="Q357" s="22" t="s">
        <v>1683</v>
      </c>
      <c r="S357" s="4" t="s">
        <v>404</v>
      </c>
      <c r="T357" s="43">
        <v>40375</v>
      </c>
      <c r="U357" s="4" t="s">
        <v>404</v>
      </c>
      <c r="V357" s="59">
        <v>40375</v>
      </c>
      <c r="W357" s="74">
        <v>0</v>
      </c>
      <c r="X357" s="9">
        <v>40283</v>
      </c>
      <c r="Y357" s="29"/>
      <c r="Z357" s="24" t="s">
        <v>393</v>
      </c>
      <c r="AA357" s="16"/>
    </row>
    <row r="358" spans="1:30" s="4" customFormat="1" ht="14.25" customHeight="1" x14ac:dyDescent="0.4">
      <c r="B358" s="22">
        <v>0</v>
      </c>
      <c r="C358" s="22">
        <v>0</v>
      </c>
      <c r="D358" s="22">
        <v>0</v>
      </c>
      <c r="E358" s="24">
        <v>40269</v>
      </c>
      <c r="F358" s="24" t="s">
        <v>393</v>
      </c>
      <c r="G358" s="24">
        <v>40284</v>
      </c>
      <c r="H358" s="23">
        <v>0</v>
      </c>
      <c r="I358" s="23">
        <v>40269</v>
      </c>
      <c r="J358" s="37">
        <v>2</v>
      </c>
      <c r="K358" s="24" t="s">
        <v>410</v>
      </c>
      <c r="L358" s="24" t="s">
        <v>2002</v>
      </c>
      <c r="M358" s="24">
        <v>40200</v>
      </c>
      <c r="N358" s="22" t="s">
        <v>1454</v>
      </c>
      <c r="O358" s="4">
        <v>9100380</v>
      </c>
      <c r="P358" s="22">
        <v>1010</v>
      </c>
      <c r="Q358" s="22" t="s">
        <v>1684</v>
      </c>
      <c r="R358" s="48"/>
      <c r="S358" s="56" t="s">
        <v>404</v>
      </c>
      <c r="T358" s="43">
        <v>40354</v>
      </c>
      <c r="U358" s="56"/>
      <c r="V358" s="70"/>
      <c r="W358" s="74">
        <v>0</v>
      </c>
      <c r="X358" s="9">
        <v>40317</v>
      </c>
      <c r="Y358" s="29"/>
      <c r="Z358" s="24" t="s">
        <v>393</v>
      </c>
      <c r="AA358" s="16"/>
    </row>
    <row r="359" spans="1:30" s="4" customFormat="1" ht="14.25" customHeight="1" x14ac:dyDescent="0.4">
      <c r="A359"/>
      <c r="B359" s="22">
        <v>0</v>
      </c>
      <c r="C359" s="22" t="s">
        <v>2165</v>
      </c>
      <c r="D359" s="22">
        <v>0</v>
      </c>
      <c r="E359" s="24">
        <v>0</v>
      </c>
      <c r="F359" s="24" t="s">
        <v>393</v>
      </c>
      <c r="G359" s="24">
        <v>40400</v>
      </c>
      <c r="H359" s="23">
        <v>0</v>
      </c>
      <c r="I359" s="23">
        <v>40391</v>
      </c>
      <c r="J359" s="37">
        <v>4</v>
      </c>
      <c r="K359" s="24" t="s">
        <v>410</v>
      </c>
      <c r="L359" s="24" t="s">
        <v>1724</v>
      </c>
      <c r="M359" s="24">
        <v>40375</v>
      </c>
      <c r="N359" s="22" t="s">
        <v>1454</v>
      </c>
      <c r="O359" s="4">
        <v>9101036</v>
      </c>
      <c r="P359" s="22">
        <v>1010</v>
      </c>
      <c r="Q359" s="22" t="s">
        <v>72</v>
      </c>
      <c r="S359" s="38" t="s">
        <v>404</v>
      </c>
      <c r="T359" s="44">
        <v>40410</v>
      </c>
      <c r="U359" s="38" t="s">
        <v>404</v>
      </c>
      <c r="V359" s="9">
        <v>40410</v>
      </c>
      <c r="W359" s="74">
        <v>0</v>
      </c>
      <c r="X359" s="9"/>
      <c r="Y359" s="9"/>
      <c r="Z359" s="24" t="s">
        <v>393</v>
      </c>
      <c r="AA359" s="16"/>
    </row>
    <row r="360" spans="1:30" s="4" customFormat="1" ht="14.25" customHeight="1" x14ac:dyDescent="0.4">
      <c r="B360" s="22">
        <v>0</v>
      </c>
      <c r="C360" s="22" t="s">
        <v>2165</v>
      </c>
      <c r="D360" s="22">
        <v>0</v>
      </c>
      <c r="E360" s="24">
        <v>0</v>
      </c>
      <c r="F360" s="24">
        <v>0</v>
      </c>
      <c r="G360" s="24">
        <v>0</v>
      </c>
      <c r="H360" s="23">
        <v>0</v>
      </c>
      <c r="I360" s="23">
        <v>0</v>
      </c>
      <c r="J360" s="37">
        <v>0</v>
      </c>
      <c r="K360" s="24">
        <v>0</v>
      </c>
      <c r="L360" s="24">
        <v>0</v>
      </c>
      <c r="M360" s="24">
        <v>0</v>
      </c>
      <c r="N360" s="22" t="s">
        <v>73</v>
      </c>
      <c r="O360" s="4" t="s">
        <v>629</v>
      </c>
      <c r="P360" s="22">
        <v>1010</v>
      </c>
      <c r="Q360" s="22">
        <v>0</v>
      </c>
      <c r="S360" s="38"/>
      <c r="T360" s="44"/>
      <c r="U360" s="38"/>
      <c r="V360" s="9"/>
      <c r="W360" s="74">
        <v>0</v>
      </c>
      <c r="X360" s="9"/>
      <c r="Y360" s="9"/>
      <c r="Z360" s="24">
        <v>0</v>
      </c>
    </row>
    <row r="361" spans="1:30" s="4" customFormat="1" ht="14.25" customHeight="1" x14ac:dyDescent="0.4">
      <c r="B361" s="22">
        <v>0</v>
      </c>
      <c r="C361" s="22">
        <v>0</v>
      </c>
      <c r="D361" s="22">
        <v>0</v>
      </c>
      <c r="E361" s="24">
        <v>0</v>
      </c>
      <c r="F361" s="24">
        <v>0</v>
      </c>
      <c r="G361" s="24">
        <v>0</v>
      </c>
      <c r="H361" s="23">
        <v>0</v>
      </c>
      <c r="I361" s="23">
        <v>0</v>
      </c>
      <c r="J361" s="37">
        <v>0</v>
      </c>
      <c r="K361" s="24">
        <v>0</v>
      </c>
      <c r="L361" s="24">
        <v>0</v>
      </c>
      <c r="M361" s="24">
        <v>0</v>
      </c>
      <c r="N361" s="22" t="s">
        <v>73</v>
      </c>
      <c r="O361" s="4" t="s">
        <v>630</v>
      </c>
      <c r="P361" s="22">
        <v>1010</v>
      </c>
      <c r="Q361" s="22">
        <v>0</v>
      </c>
      <c r="R361" s="38"/>
      <c r="S361" s="38"/>
      <c r="T361" s="57"/>
      <c r="U361" s="38"/>
      <c r="V361" s="9"/>
      <c r="W361" s="74">
        <v>0</v>
      </c>
      <c r="X361" s="57"/>
      <c r="Z361" s="24">
        <v>0</v>
      </c>
    </row>
    <row r="362" spans="1:30" s="4" customFormat="1" ht="14.25" customHeight="1" x14ac:dyDescent="0.4">
      <c r="A362"/>
      <c r="B362" s="22">
        <v>0</v>
      </c>
      <c r="C362" s="22" t="s">
        <v>2165</v>
      </c>
      <c r="D362" s="22">
        <v>0</v>
      </c>
      <c r="E362" s="24">
        <v>0</v>
      </c>
      <c r="F362" s="24">
        <v>0</v>
      </c>
      <c r="G362" s="24">
        <v>0</v>
      </c>
      <c r="H362" s="23">
        <v>0</v>
      </c>
      <c r="I362" s="23">
        <v>0</v>
      </c>
      <c r="J362" s="37">
        <v>0</v>
      </c>
      <c r="K362" s="24">
        <v>0</v>
      </c>
      <c r="L362" s="24">
        <v>0</v>
      </c>
      <c r="M362" s="24">
        <v>0</v>
      </c>
      <c r="N362" s="22" t="s">
        <v>73</v>
      </c>
      <c r="O362" s="4" t="s">
        <v>631</v>
      </c>
      <c r="P362" s="22">
        <v>1010</v>
      </c>
      <c r="Q362" s="22">
        <v>0</v>
      </c>
      <c r="S362" s="38"/>
      <c r="T362" s="44"/>
      <c r="U362" s="38"/>
      <c r="V362" s="9"/>
      <c r="W362" s="74">
        <v>0</v>
      </c>
      <c r="X362" s="9"/>
      <c r="Y362" s="9"/>
      <c r="Z362" s="24">
        <v>0</v>
      </c>
    </row>
    <row r="363" spans="1:30" s="4" customFormat="1" ht="14.25" customHeight="1" x14ac:dyDescent="0.4">
      <c r="B363" s="22">
        <v>0</v>
      </c>
      <c r="C363" s="22" t="s">
        <v>2165</v>
      </c>
      <c r="D363" s="22">
        <v>0</v>
      </c>
      <c r="E363" s="24">
        <v>0</v>
      </c>
      <c r="F363" s="24">
        <v>0</v>
      </c>
      <c r="G363" s="24">
        <v>0</v>
      </c>
      <c r="H363" s="23">
        <v>0</v>
      </c>
      <c r="I363" s="23">
        <v>0</v>
      </c>
      <c r="J363" s="37">
        <v>0</v>
      </c>
      <c r="K363" s="24">
        <v>0</v>
      </c>
      <c r="L363" s="24">
        <v>0</v>
      </c>
      <c r="M363" s="24">
        <v>0</v>
      </c>
      <c r="N363" s="22" t="s">
        <v>73</v>
      </c>
      <c r="O363" s="4" t="s">
        <v>632</v>
      </c>
      <c r="P363" s="22">
        <v>1010</v>
      </c>
      <c r="Q363" s="22">
        <v>0</v>
      </c>
      <c r="S363" s="38"/>
      <c r="T363" s="44"/>
      <c r="U363" s="38"/>
      <c r="V363" s="9"/>
      <c r="W363" s="74">
        <v>0</v>
      </c>
      <c r="X363" s="9"/>
      <c r="Y363" s="9"/>
      <c r="Z363" s="24">
        <v>0</v>
      </c>
    </row>
    <row r="364" spans="1:30" s="4" customFormat="1" ht="14.25" customHeight="1" x14ac:dyDescent="0.4">
      <c r="B364" s="22">
        <v>0</v>
      </c>
      <c r="C364" s="22" t="s">
        <v>2165</v>
      </c>
      <c r="D364" s="22">
        <v>0</v>
      </c>
      <c r="E364" s="24">
        <v>0</v>
      </c>
      <c r="F364" s="24">
        <v>0</v>
      </c>
      <c r="G364" s="24">
        <v>0</v>
      </c>
      <c r="H364" s="23">
        <v>0</v>
      </c>
      <c r="I364" s="23">
        <v>0</v>
      </c>
      <c r="J364" s="37">
        <v>0</v>
      </c>
      <c r="K364" s="24">
        <v>0</v>
      </c>
      <c r="L364" s="24">
        <v>0</v>
      </c>
      <c r="M364" s="24">
        <v>0</v>
      </c>
      <c r="N364" s="22" t="s">
        <v>73</v>
      </c>
      <c r="O364" s="4" t="s">
        <v>633</v>
      </c>
      <c r="P364" s="22">
        <v>1010</v>
      </c>
      <c r="Q364" s="22">
        <v>0</v>
      </c>
      <c r="S364" s="38"/>
      <c r="T364" s="44"/>
      <c r="U364" s="38"/>
      <c r="V364" s="9"/>
      <c r="W364" s="74">
        <v>0</v>
      </c>
      <c r="X364" s="9"/>
      <c r="Y364" s="9"/>
      <c r="Z364" s="24">
        <v>0</v>
      </c>
    </row>
    <row r="365" spans="1:30" s="4" customFormat="1" ht="14.25" customHeight="1" x14ac:dyDescent="0.4">
      <c r="B365" s="22">
        <v>0</v>
      </c>
      <c r="C365" s="22" t="s">
        <v>2165</v>
      </c>
      <c r="D365" s="22">
        <v>0</v>
      </c>
      <c r="E365" s="24">
        <v>0</v>
      </c>
      <c r="F365" s="24">
        <v>0</v>
      </c>
      <c r="G365" s="24">
        <v>0</v>
      </c>
      <c r="H365" s="23">
        <v>0</v>
      </c>
      <c r="I365" s="23">
        <v>0</v>
      </c>
      <c r="J365" s="37">
        <v>0</v>
      </c>
      <c r="K365" s="24">
        <v>0</v>
      </c>
      <c r="L365" s="24">
        <v>0</v>
      </c>
      <c r="M365" s="24">
        <v>0</v>
      </c>
      <c r="N365" s="22" t="s">
        <v>73</v>
      </c>
      <c r="O365" s="4" t="s">
        <v>634</v>
      </c>
      <c r="P365" s="22">
        <v>1210</v>
      </c>
      <c r="Q365" s="22">
        <v>0</v>
      </c>
      <c r="S365" s="38"/>
      <c r="T365" s="44"/>
      <c r="U365" s="38"/>
      <c r="V365" s="9"/>
      <c r="W365" s="74">
        <v>0</v>
      </c>
      <c r="X365" s="9"/>
      <c r="Y365" s="9"/>
      <c r="Z365" s="24">
        <v>0</v>
      </c>
    </row>
    <row r="366" spans="1:30" s="4" customFormat="1" ht="14.25" customHeight="1" x14ac:dyDescent="0.4">
      <c r="A366"/>
      <c r="B366" s="22">
        <v>0</v>
      </c>
      <c r="C366" s="22">
        <v>0</v>
      </c>
      <c r="D366" s="22">
        <v>0</v>
      </c>
      <c r="E366" s="24">
        <v>0</v>
      </c>
      <c r="F366" s="24">
        <v>0</v>
      </c>
      <c r="G366" s="24">
        <v>0</v>
      </c>
      <c r="H366" s="23">
        <v>0</v>
      </c>
      <c r="I366" s="23">
        <v>0</v>
      </c>
      <c r="J366" s="37">
        <v>0</v>
      </c>
      <c r="K366" s="24">
        <v>0</v>
      </c>
      <c r="L366" s="24">
        <v>0</v>
      </c>
      <c r="M366" s="24">
        <v>0</v>
      </c>
      <c r="N366" s="22" t="s">
        <v>73</v>
      </c>
      <c r="O366" s="4" t="s">
        <v>635</v>
      </c>
      <c r="P366" s="22">
        <v>715</v>
      </c>
      <c r="Q366" s="22">
        <v>0</v>
      </c>
      <c r="S366" s="38"/>
      <c r="T366" s="44"/>
      <c r="U366" s="38"/>
      <c r="V366" s="9"/>
      <c r="W366" s="74">
        <v>0</v>
      </c>
      <c r="X366" s="9"/>
      <c r="Y366" s="9"/>
      <c r="Z366" s="24">
        <v>0</v>
      </c>
    </row>
    <row r="367" spans="1:30" s="4" customFormat="1" ht="14.25" customHeight="1" x14ac:dyDescent="0.4">
      <c r="B367" s="22">
        <v>0</v>
      </c>
      <c r="C367" s="22">
        <v>0</v>
      </c>
      <c r="D367" s="22">
        <v>0</v>
      </c>
      <c r="E367" s="24">
        <v>0</v>
      </c>
      <c r="F367" s="24">
        <v>0</v>
      </c>
      <c r="G367" s="24">
        <v>0</v>
      </c>
      <c r="H367" s="23">
        <v>0</v>
      </c>
      <c r="I367" s="23">
        <v>0</v>
      </c>
      <c r="J367" s="37">
        <v>0</v>
      </c>
      <c r="K367" s="24">
        <v>0</v>
      </c>
      <c r="L367" s="24">
        <v>0</v>
      </c>
      <c r="M367" s="24">
        <v>0</v>
      </c>
      <c r="N367" s="22" t="s">
        <v>73</v>
      </c>
      <c r="O367" s="4" t="s">
        <v>636</v>
      </c>
      <c r="P367" s="22">
        <v>715</v>
      </c>
      <c r="Q367" s="22">
        <v>0</v>
      </c>
      <c r="R367" s="38"/>
      <c r="S367" s="38"/>
      <c r="T367" s="61"/>
      <c r="U367" s="38"/>
      <c r="W367" s="74">
        <v>0</v>
      </c>
      <c r="X367" s="43"/>
      <c r="Y367" s="1"/>
      <c r="Z367" s="24">
        <v>0</v>
      </c>
    </row>
    <row r="368" spans="1:30" ht="14.25" customHeight="1" x14ac:dyDescent="0.4">
      <c r="A368" s="4"/>
      <c r="B368" s="22">
        <v>0</v>
      </c>
      <c r="C368" s="22">
        <v>0</v>
      </c>
      <c r="D368" s="22">
        <v>0</v>
      </c>
      <c r="E368" s="24">
        <v>0</v>
      </c>
      <c r="F368" s="24">
        <v>0</v>
      </c>
      <c r="G368" s="24">
        <v>0</v>
      </c>
      <c r="H368" s="23">
        <v>0</v>
      </c>
      <c r="I368" s="23">
        <v>0</v>
      </c>
      <c r="J368" s="37">
        <v>0</v>
      </c>
      <c r="K368" s="24">
        <v>0</v>
      </c>
      <c r="L368" s="24">
        <v>0</v>
      </c>
      <c r="M368" s="24">
        <v>0</v>
      </c>
      <c r="N368" s="22" t="s">
        <v>73</v>
      </c>
      <c r="O368" s="4" t="s">
        <v>637</v>
      </c>
      <c r="P368" s="22">
        <v>715</v>
      </c>
      <c r="Q368" s="22">
        <v>0</v>
      </c>
      <c r="R368" s="38"/>
      <c r="S368" s="38"/>
      <c r="T368" s="63"/>
      <c r="U368" s="38"/>
      <c r="V368" s="9"/>
      <c r="W368" s="74">
        <v>0</v>
      </c>
      <c r="X368" s="43"/>
      <c r="Z368" s="24">
        <v>0</v>
      </c>
      <c r="AA368" s="4"/>
      <c r="AB368" s="4"/>
      <c r="AC368" s="4"/>
      <c r="AD368" s="4"/>
    </row>
    <row r="369" spans="1:30" ht="14.25" customHeight="1" x14ac:dyDescent="0.4">
      <c r="A369" s="4"/>
      <c r="B369" s="22">
        <v>0</v>
      </c>
      <c r="C369" s="22">
        <v>0</v>
      </c>
      <c r="D369" s="22">
        <v>0</v>
      </c>
      <c r="E369" s="24">
        <v>0</v>
      </c>
      <c r="F369" s="24">
        <v>0</v>
      </c>
      <c r="G369" s="24">
        <v>0</v>
      </c>
      <c r="H369" s="23">
        <v>0</v>
      </c>
      <c r="I369" s="23">
        <v>0</v>
      </c>
      <c r="J369" s="37">
        <v>0</v>
      </c>
      <c r="K369" s="24">
        <v>0</v>
      </c>
      <c r="L369" s="24">
        <v>0</v>
      </c>
      <c r="M369" s="24">
        <v>0</v>
      </c>
      <c r="N369" s="22" t="s">
        <v>73</v>
      </c>
      <c r="O369" s="4" t="s">
        <v>638</v>
      </c>
      <c r="P369" s="22">
        <v>1010</v>
      </c>
      <c r="Q369" s="22">
        <v>0</v>
      </c>
      <c r="R369" s="38"/>
      <c r="S369" s="38"/>
      <c r="T369" s="61"/>
      <c r="U369" s="38"/>
      <c r="V369" s="4"/>
      <c r="W369" s="74">
        <v>0</v>
      </c>
      <c r="X369" s="43"/>
      <c r="Z369" s="24">
        <v>0</v>
      </c>
      <c r="AA369" s="4"/>
      <c r="AB369" s="4"/>
      <c r="AC369" s="4"/>
      <c r="AD369" s="4"/>
    </row>
    <row r="370" spans="1:30" ht="14.25" customHeight="1" x14ac:dyDescent="0.4">
      <c r="B370" s="22">
        <v>0</v>
      </c>
      <c r="C370" s="22" t="s">
        <v>2165</v>
      </c>
      <c r="D370" s="22">
        <v>0</v>
      </c>
      <c r="E370" s="24">
        <v>0</v>
      </c>
      <c r="F370" s="24">
        <v>0</v>
      </c>
      <c r="G370" s="24">
        <v>0</v>
      </c>
      <c r="H370" s="23">
        <v>0</v>
      </c>
      <c r="I370" s="23">
        <v>0</v>
      </c>
      <c r="J370" s="37">
        <v>0</v>
      </c>
      <c r="K370" s="24">
        <v>0</v>
      </c>
      <c r="L370" s="24">
        <v>0</v>
      </c>
      <c r="M370" s="24">
        <v>0</v>
      </c>
      <c r="N370" s="22" t="s">
        <v>73</v>
      </c>
      <c r="O370" s="4" t="s">
        <v>639</v>
      </c>
      <c r="P370" s="22">
        <v>1010</v>
      </c>
      <c r="Q370" s="22">
        <v>0</v>
      </c>
      <c r="R370" s="4"/>
      <c r="S370" s="38"/>
      <c r="T370" s="44"/>
      <c r="U370" s="38"/>
      <c r="V370" s="9"/>
      <c r="W370" s="74">
        <v>0</v>
      </c>
      <c r="X370" s="9"/>
      <c r="Y370" s="9"/>
      <c r="Z370" s="24">
        <v>0</v>
      </c>
      <c r="AA370" s="4"/>
      <c r="AB370" s="4"/>
      <c r="AC370" s="4"/>
      <c r="AD370" s="4"/>
    </row>
    <row r="371" spans="1:30" ht="14.25" customHeight="1" x14ac:dyDescent="0.4">
      <c r="B371" s="22">
        <v>0</v>
      </c>
      <c r="C371" s="22">
        <v>0</v>
      </c>
      <c r="D371" s="22">
        <v>0</v>
      </c>
      <c r="E371" s="24">
        <v>0</v>
      </c>
      <c r="F371" s="24">
        <v>0</v>
      </c>
      <c r="G371" s="24">
        <v>0</v>
      </c>
      <c r="H371" s="23">
        <v>0</v>
      </c>
      <c r="I371" s="23">
        <v>0</v>
      </c>
      <c r="J371" s="37">
        <v>0</v>
      </c>
      <c r="K371" s="24">
        <v>0</v>
      </c>
      <c r="L371" s="24">
        <v>0</v>
      </c>
      <c r="M371" s="24">
        <v>0</v>
      </c>
      <c r="N371" s="22" t="s">
        <v>73</v>
      </c>
      <c r="O371" s="4" t="s">
        <v>640</v>
      </c>
      <c r="P371" s="22">
        <v>1010</v>
      </c>
      <c r="Q371" s="22">
        <v>0</v>
      </c>
      <c r="R371" s="4"/>
      <c r="S371" s="38"/>
      <c r="T371" s="44"/>
      <c r="U371" s="38"/>
      <c r="V371" s="9"/>
      <c r="W371" s="74">
        <v>0</v>
      </c>
      <c r="X371" s="9"/>
      <c r="Y371" s="9"/>
      <c r="Z371" s="24">
        <v>0</v>
      </c>
      <c r="AA371" s="4"/>
      <c r="AB371" s="4"/>
      <c r="AC371" s="4"/>
      <c r="AD371" s="4"/>
    </row>
    <row r="372" spans="1:30" ht="14.25" customHeight="1" x14ac:dyDescent="0.4">
      <c r="B372" s="22">
        <v>0</v>
      </c>
      <c r="C372" s="22" t="s">
        <v>2165</v>
      </c>
      <c r="D372" s="22">
        <v>0</v>
      </c>
      <c r="E372" s="24">
        <v>0</v>
      </c>
      <c r="F372" s="24">
        <v>0</v>
      </c>
      <c r="G372" s="24">
        <v>0</v>
      </c>
      <c r="H372" s="23">
        <v>0</v>
      </c>
      <c r="I372" s="23">
        <v>0</v>
      </c>
      <c r="J372" s="37">
        <v>0</v>
      </c>
      <c r="K372" s="24">
        <v>0</v>
      </c>
      <c r="L372" s="24">
        <v>0</v>
      </c>
      <c r="M372" s="24">
        <v>0</v>
      </c>
      <c r="N372" s="22" t="s">
        <v>73</v>
      </c>
      <c r="O372" s="4" t="s">
        <v>641</v>
      </c>
      <c r="P372" s="22">
        <v>1010</v>
      </c>
      <c r="Q372" s="22">
        <v>0</v>
      </c>
      <c r="R372" s="4"/>
      <c r="S372" s="38"/>
      <c r="T372" s="44"/>
      <c r="U372" s="38"/>
      <c r="V372" s="9"/>
      <c r="W372" s="74">
        <v>0</v>
      </c>
      <c r="X372" s="9"/>
      <c r="Y372" s="9"/>
      <c r="Z372" s="24">
        <v>0</v>
      </c>
      <c r="AA372" s="4"/>
      <c r="AB372" s="4"/>
      <c r="AC372" s="4"/>
      <c r="AD372" s="4"/>
    </row>
    <row r="373" spans="1:30" ht="14.25" customHeight="1" x14ac:dyDescent="0.4">
      <c r="A373" s="4"/>
      <c r="B373" s="22">
        <v>0</v>
      </c>
      <c r="C373" s="22" t="s">
        <v>2165</v>
      </c>
      <c r="D373" s="22">
        <v>0</v>
      </c>
      <c r="E373" s="24">
        <v>0</v>
      </c>
      <c r="F373" s="24">
        <v>0</v>
      </c>
      <c r="G373" s="24">
        <v>0</v>
      </c>
      <c r="H373" s="23">
        <v>0</v>
      </c>
      <c r="I373" s="23">
        <v>0</v>
      </c>
      <c r="J373" s="37">
        <v>0</v>
      </c>
      <c r="K373" s="24">
        <v>0</v>
      </c>
      <c r="L373" s="24">
        <v>0</v>
      </c>
      <c r="M373" s="24">
        <v>0</v>
      </c>
      <c r="N373" s="22" t="s">
        <v>73</v>
      </c>
      <c r="O373" s="4" t="s">
        <v>642</v>
      </c>
      <c r="P373" s="22">
        <v>1010</v>
      </c>
      <c r="Q373" s="22">
        <v>0</v>
      </c>
      <c r="R373" s="4"/>
      <c r="S373" s="38"/>
      <c r="T373" s="44"/>
      <c r="U373" s="38"/>
      <c r="V373" s="9"/>
      <c r="W373" s="74">
        <v>0</v>
      </c>
      <c r="X373" s="9"/>
      <c r="Y373" s="9"/>
      <c r="Z373" s="24">
        <v>0</v>
      </c>
      <c r="AA373" s="4"/>
      <c r="AB373" s="4"/>
      <c r="AC373" s="4"/>
      <c r="AD373" s="4"/>
    </row>
    <row r="374" spans="1:30" ht="14.25" customHeight="1" x14ac:dyDescent="0.4">
      <c r="B374" s="22">
        <v>0</v>
      </c>
      <c r="C374" s="22">
        <v>0</v>
      </c>
      <c r="D374" s="22">
        <v>0</v>
      </c>
      <c r="E374" s="24">
        <v>0</v>
      </c>
      <c r="F374" s="24">
        <v>0</v>
      </c>
      <c r="G374" s="24">
        <v>0</v>
      </c>
      <c r="H374" s="23">
        <v>0</v>
      </c>
      <c r="I374" s="23">
        <v>0</v>
      </c>
      <c r="J374" s="37">
        <v>0</v>
      </c>
      <c r="K374" s="24">
        <v>0</v>
      </c>
      <c r="L374" s="24">
        <v>0</v>
      </c>
      <c r="M374" s="24">
        <v>0</v>
      </c>
      <c r="N374" s="22" t="s">
        <v>73</v>
      </c>
      <c r="O374" s="4" t="s">
        <v>643</v>
      </c>
      <c r="P374" s="22">
        <v>1010</v>
      </c>
      <c r="Q374" s="22">
        <v>0</v>
      </c>
      <c r="R374" s="4"/>
      <c r="S374" s="38"/>
      <c r="T374" s="44"/>
      <c r="U374" s="38"/>
      <c r="V374" s="9"/>
      <c r="W374" s="74">
        <v>0</v>
      </c>
      <c r="X374" s="9"/>
      <c r="Y374" s="9"/>
      <c r="Z374" s="24">
        <v>0</v>
      </c>
      <c r="AA374" s="4"/>
      <c r="AB374" s="4"/>
      <c r="AC374" s="4"/>
      <c r="AD374" s="4"/>
    </row>
    <row r="375" spans="1:30" s="4" customFormat="1" ht="14.25" customHeight="1" x14ac:dyDescent="0.4">
      <c r="A375"/>
      <c r="B375" s="22">
        <v>0</v>
      </c>
      <c r="C375" s="22">
        <v>0</v>
      </c>
      <c r="D375" s="22">
        <v>0</v>
      </c>
      <c r="E375" s="24">
        <v>0</v>
      </c>
      <c r="F375" s="24">
        <v>0</v>
      </c>
      <c r="G375" s="24">
        <v>0</v>
      </c>
      <c r="H375" s="23">
        <v>0</v>
      </c>
      <c r="I375" s="23">
        <v>0</v>
      </c>
      <c r="J375" s="37">
        <v>0</v>
      </c>
      <c r="K375" s="24">
        <v>0</v>
      </c>
      <c r="L375" s="24">
        <v>0</v>
      </c>
      <c r="M375" s="24">
        <v>0</v>
      </c>
      <c r="N375" s="22" t="s">
        <v>73</v>
      </c>
      <c r="O375" s="4" t="s">
        <v>644</v>
      </c>
      <c r="P375" s="22">
        <v>1210</v>
      </c>
      <c r="Q375" s="22">
        <v>0</v>
      </c>
      <c r="S375" s="38"/>
      <c r="T375" s="44"/>
      <c r="U375" s="38"/>
      <c r="V375" s="9"/>
      <c r="W375" s="74">
        <v>0</v>
      </c>
      <c r="X375" s="9"/>
      <c r="Y375" s="9"/>
      <c r="Z375" s="24">
        <v>0</v>
      </c>
    </row>
    <row r="376" spans="1:30" ht="14.25" customHeight="1" x14ac:dyDescent="0.4">
      <c r="A376" s="4"/>
      <c r="B376" s="22">
        <v>0</v>
      </c>
      <c r="C376" s="22" t="s">
        <v>2165</v>
      </c>
      <c r="D376" s="22">
        <v>0</v>
      </c>
      <c r="E376" s="24">
        <v>0</v>
      </c>
      <c r="F376" s="24">
        <v>0</v>
      </c>
      <c r="G376" s="24">
        <v>0</v>
      </c>
      <c r="H376" s="23">
        <v>0</v>
      </c>
      <c r="I376" s="23">
        <v>0</v>
      </c>
      <c r="J376" s="37">
        <v>0</v>
      </c>
      <c r="K376" s="24">
        <v>0</v>
      </c>
      <c r="L376" s="24">
        <v>0</v>
      </c>
      <c r="M376" s="24">
        <v>0</v>
      </c>
      <c r="N376" s="22" t="s">
        <v>73</v>
      </c>
      <c r="O376" s="4" t="s">
        <v>645</v>
      </c>
      <c r="P376" s="22">
        <v>715</v>
      </c>
      <c r="Q376" s="22">
        <v>0</v>
      </c>
      <c r="R376" s="4"/>
      <c r="S376" s="38"/>
      <c r="T376" s="44"/>
      <c r="U376" s="38"/>
      <c r="V376" s="9"/>
      <c r="W376" s="74">
        <v>0</v>
      </c>
      <c r="X376" s="9"/>
      <c r="Y376" s="9"/>
      <c r="Z376" s="24">
        <v>0</v>
      </c>
      <c r="AA376" s="4"/>
      <c r="AB376" s="4"/>
      <c r="AC376" s="4"/>
      <c r="AD376" s="4"/>
    </row>
    <row r="377" spans="1:30" s="4" customFormat="1" ht="14.25" customHeight="1" x14ac:dyDescent="0.4">
      <c r="B377" s="22">
        <v>0</v>
      </c>
      <c r="C377" s="22" t="s">
        <v>2165</v>
      </c>
      <c r="D377" s="22">
        <v>0</v>
      </c>
      <c r="E377" s="24">
        <v>0</v>
      </c>
      <c r="F377" s="24">
        <v>0</v>
      </c>
      <c r="G377" s="24">
        <v>0</v>
      </c>
      <c r="H377" s="23">
        <v>0</v>
      </c>
      <c r="I377" s="23">
        <v>0</v>
      </c>
      <c r="J377" s="37">
        <v>0</v>
      </c>
      <c r="K377" s="24">
        <v>0</v>
      </c>
      <c r="L377" s="24">
        <v>0</v>
      </c>
      <c r="M377" s="24">
        <v>0</v>
      </c>
      <c r="N377" s="22" t="s">
        <v>73</v>
      </c>
      <c r="O377" s="4" t="s">
        <v>646</v>
      </c>
      <c r="P377" s="22">
        <v>715</v>
      </c>
      <c r="Q377" s="22">
        <v>0</v>
      </c>
      <c r="S377" s="38"/>
      <c r="T377" s="44"/>
      <c r="U377" s="38"/>
      <c r="V377" s="9"/>
      <c r="W377" s="74">
        <v>0</v>
      </c>
      <c r="X377" s="9"/>
      <c r="Y377" s="9"/>
      <c r="Z377" s="24">
        <v>0</v>
      </c>
    </row>
    <row r="378" spans="1:30" s="5" customFormat="1" ht="14.25" customHeight="1" x14ac:dyDescent="0.4">
      <c r="A378" s="4"/>
      <c r="B378" s="22">
        <v>0</v>
      </c>
      <c r="C378" s="22">
        <v>0</v>
      </c>
      <c r="D378" s="22">
        <v>0</v>
      </c>
      <c r="E378" s="24">
        <v>0</v>
      </c>
      <c r="F378" s="24">
        <v>0</v>
      </c>
      <c r="G378" s="24">
        <v>0</v>
      </c>
      <c r="H378" s="23">
        <v>0</v>
      </c>
      <c r="I378" s="23">
        <v>0</v>
      </c>
      <c r="J378" s="37">
        <v>0</v>
      </c>
      <c r="K378" s="24">
        <v>0</v>
      </c>
      <c r="L378" s="24">
        <v>0</v>
      </c>
      <c r="M378" s="24">
        <v>0</v>
      </c>
      <c r="N378" s="22" t="s">
        <v>73</v>
      </c>
      <c r="O378" s="4" t="s">
        <v>647</v>
      </c>
      <c r="P378" s="22">
        <v>715</v>
      </c>
      <c r="Q378" s="22">
        <v>0</v>
      </c>
      <c r="R378" s="4"/>
      <c r="S378" s="38"/>
      <c r="T378" s="44"/>
      <c r="U378" s="38"/>
      <c r="V378" s="9"/>
      <c r="W378" s="74">
        <v>0</v>
      </c>
      <c r="X378" s="9"/>
      <c r="Y378" s="9"/>
      <c r="Z378" s="24">
        <v>0</v>
      </c>
      <c r="AA378" s="4"/>
      <c r="AB378" s="4"/>
      <c r="AC378" s="4"/>
      <c r="AD378" s="4"/>
    </row>
    <row r="379" spans="1:30" s="4" customFormat="1" ht="14.25" customHeight="1" x14ac:dyDescent="0.4">
      <c r="A379"/>
      <c r="B379" s="22">
        <v>0</v>
      </c>
      <c r="C379" s="22" t="s">
        <v>2165</v>
      </c>
      <c r="D379" s="22">
        <v>0</v>
      </c>
      <c r="E379" s="24">
        <v>0</v>
      </c>
      <c r="F379" s="24">
        <v>0</v>
      </c>
      <c r="G379" s="24">
        <v>0</v>
      </c>
      <c r="H379" s="23">
        <v>0</v>
      </c>
      <c r="I379" s="23">
        <v>0</v>
      </c>
      <c r="J379" s="37">
        <v>0</v>
      </c>
      <c r="K379" s="24">
        <v>0</v>
      </c>
      <c r="L379" s="24">
        <v>0</v>
      </c>
      <c r="M379" s="24">
        <v>0</v>
      </c>
      <c r="N379" s="22" t="s">
        <v>73</v>
      </c>
      <c r="O379" s="4" t="s">
        <v>648</v>
      </c>
      <c r="P379" s="22">
        <v>1010</v>
      </c>
      <c r="Q379" s="22">
        <v>0</v>
      </c>
      <c r="S379" s="38"/>
      <c r="T379" s="44"/>
      <c r="U379" s="38"/>
      <c r="V379" s="9"/>
      <c r="W379" s="74">
        <v>0</v>
      </c>
      <c r="X379" s="9"/>
      <c r="Y379" s="9"/>
      <c r="Z379" s="24">
        <v>0</v>
      </c>
    </row>
    <row r="380" spans="1:30" ht="14.25" customHeight="1" x14ac:dyDescent="0.4">
      <c r="A380" s="4"/>
      <c r="B380" s="22">
        <v>0</v>
      </c>
      <c r="C380" s="22" t="s">
        <v>2165</v>
      </c>
      <c r="D380" s="22">
        <v>0</v>
      </c>
      <c r="E380" s="24">
        <v>0</v>
      </c>
      <c r="F380" s="24">
        <v>0</v>
      </c>
      <c r="G380" s="24">
        <v>0</v>
      </c>
      <c r="H380" s="23">
        <v>0</v>
      </c>
      <c r="I380" s="23">
        <v>0</v>
      </c>
      <c r="J380" s="37">
        <v>0</v>
      </c>
      <c r="K380" s="24">
        <v>0</v>
      </c>
      <c r="L380" s="24">
        <v>0</v>
      </c>
      <c r="M380" s="24">
        <v>0</v>
      </c>
      <c r="N380" s="22" t="s">
        <v>73</v>
      </c>
      <c r="O380" s="4" t="s">
        <v>649</v>
      </c>
      <c r="P380" s="22">
        <v>1010</v>
      </c>
      <c r="Q380" s="22">
        <v>0</v>
      </c>
      <c r="R380" s="4"/>
      <c r="S380" s="38"/>
      <c r="T380" s="44"/>
      <c r="U380" s="38"/>
      <c r="V380" s="9"/>
      <c r="W380" s="74">
        <v>0</v>
      </c>
      <c r="X380" s="9"/>
      <c r="Y380" s="9"/>
      <c r="Z380" s="24">
        <v>0</v>
      </c>
      <c r="AA380" s="4"/>
      <c r="AB380" s="4"/>
      <c r="AC380" s="4"/>
      <c r="AD380" s="4"/>
    </row>
    <row r="381" spans="1:30" s="4" customFormat="1" ht="14.25" customHeight="1" x14ac:dyDescent="0.4">
      <c r="B381" s="22">
        <v>0</v>
      </c>
      <c r="C381" s="22">
        <v>0</v>
      </c>
      <c r="D381" s="22">
        <v>0</v>
      </c>
      <c r="E381" s="24">
        <v>0</v>
      </c>
      <c r="F381" s="24">
        <v>0</v>
      </c>
      <c r="G381" s="24">
        <v>0</v>
      </c>
      <c r="H381" s="23">
        <v>0</v>
      </c>
      <c r="I381" s="23">
        <v>0</v>
      </c>
      <c r="J381" s="37">
        <v>0</v>
      </c>
      <c r="K381" s="24">
        <v>0</v>
      </c>
      <c r="L381" s="24">
        <v>0</v>
      </c>
      <c r="M381" s="24">
        <v>0</v>
      </c>
      <c r="N381" s="22" t="s">
        <v>73</v>
      </c>
      <c r="O381" s="4" t="s">
        <v>650</v>
      </c>
      <c r="P381" s="22">
        <v>1010</v>
      </c>
      <c r="Q381" s="22">
        <v>0</v>
      </c>
      <c r="S381" s="38"/>
      <c r="T381" s="44"/>
      <c r="U381" s="38"/>
      <c r="V381" s="9"/>
      <c r="W381" s="74">
        <v>0</v>
      </c>
      <c r="X381" s="28"/>
      <c r="Y381" s="28"/>
      <c r="Z381" s="24">
        <v>0</v>
      </c>
    </row>
    <row r="382" spans="1:30" s="5" customFormat="1" ht="14.25" customHeight="1" x14ac:dyDescent="0.4">
      <c r="A382" s="4"/>
      <c r="B382" s="22">
        <v>0</v>
      </c>
      <c r="C382" s="22">
        <v>0</v>
      </c>
      <c r="D382" s="22">
        <v>0</v>
      </c>
      <c r="E382" s="24">
        <v>0</v>
      </c>
      <c r="F382" s="24">
        <v>0</v>
      </c>
      <c r="G382" s="24">
        <v>0</v>
      </c>
      <c r="H382" s="23">
        <v>0</v>
      </c>
      <c r="I382" s="23">
        <v>0</v>
      </c>
      <c r="J382" s="37">
        <v>0</v>
      </c>
      <c r="K382" s="24">
        <v>0</v>
      </c>
      <c r="L382" s="24">
        <v>0</v>
      </c>
      <c r="M382" s="24">
        <v>0</v>
      </c>
      <c r="N382" s="22" t="s">
        <v>73</v>
      </c>
      <c r="O382" s="4" t="s">
        <v>651</v>
      </c>
      <c r="P382" s="22">
        <v>1010</v>
      </c>
      <c r="Q382" s="22">
        <v>0</v>
      </c>
      <c r="R382" s="4"/>
      <c r="S382" s="38"/>
      <c r="T382" s="44"/>
      <c r="U382" s="38"/>
      <c r="V382" s="9"/>
      <c r="W382" s="74">
        <v>0</v>
      </c>
      <c r="X382" s="9"/>
      <c r="Y382" s="9"/>
      <c r="Z382" s="24">
        <v>0</v>
      </c>
      <c r="AA382" s="4"/>
      <c r="AB382" s="4"/>
      <c r="AC382" s="4"/>
      <c r="AD382" s="4"/>
    </row>
    <row r="383" spans="1:30" ht="14.25" customHeight="1" x14ac:dyDescent="0.4">
      <c r="A383" s="4"/>
      <c r="B383" s="22">
        <v>0</v>
      </c>
      <c r="C383" s="22" t="s">
        <v>2165</v>
      </c>
      <c r="D383" s="22">
        <v>0</v>
      </c>
      <c r="E383" s="24">
        <v>0</v>
      </c>
      <c r="F383" s="24">
        <v>0</v>
      </c>
      <c r="G383" s="24">
        <v>0</v>
      </c>
      <c r="H383" s="23">
        <v>0</v>
      </c>
      <c r="I383" s="23">
        <v>0</v>
      </c>
      <c r="J383" s="37">
        <v>0</v>
      </c>
      <c r="K383" s="24">
        <v>0</v>
      </c>
      <c r="L383" s="24">
        <v>0</v>
      </c>
      <c r="M383" s="24">
        <v>0</v>
      </c>
      <c r="N383" s="22" t="s">
        <v>73</v>
      </c>
      <c r="O383" s="4" t="s">
        <v>655</v>
      </c>
      <c r="P383" s="22">
        <v>1010</v>
      </c>
      <c r="Q383" s="22">
        <v>0</v>
      </c>
      <c r="R383" s="4"/>
      <c r="S383" s="38"/>
      <c r="T383" s="44"/>
      <c r="U383" s="38"/>
      <c r="V383" s="9"/>
      <c r="W383" s="74">
        <v>0</v>
      </c>
      <c r="X383" s="9"/>
      <c r="Y383" s="9"/>
      <c r="Z383" s="24">
        <v>0</v>
      </c>
      <c r="AA383" s="4"/>
      <c r="AB383" s="4"/>
      <c r="AC383" s="4"/>
      <c r="AD383" s="4"/>
    </row>
    <row r="384" spans="1:30" ht="14.25" customHeight="1" x14ac:dyDescent="0.4">
      <c r="A384" s="4"/>
      <c r="B384" s="22">
        <v>0</v>
      </c>
      <c r="C384" s="22" t="s">
        <v>2165</v>
      </c>
      <c r="D384" s="22">
        <v>0</v>
      </c>
      <c r="E384" s="24">
        <v>0</v>
      </c>
      <c r="F384" s="24">
        <v>0</v>
      </c>
      <c r="G384" s="24">
        <v>0</v>
      </c>
      <c r="H384" s="23">
        <v>0</v>
      </c>
      <c r="I384" s="23">
        <v>0</v>
      </c>
      <c r="J384" s="37">
        <v>0</v>
      </c>
      <c r="K384" s="24">
        <v>0</v>
      </c>
      <c r="L384" s="24">
        <v>0</v>
      </c>
      <c r="M384" s="24">
        <v>0</v>
      </c>
      <c r="N384" s="22" t="s">
        <v>73</v>
      </c>
      <c r="O384" s="4" t="s">
        <v>656</v>
      </c>
      <c r="P384" s="22">
        <v>1010</v>
      </c>
      <c r="Q384" s="22">
        <v>0</v>
      </c>
      <c r="R384" s="4"/>
      <c r="S384" s="38"/>
      <c r="T384" s="44"/>
      <c r="U384" s="38"/>
      <c r="V384" s="9"/>
      <c r="W384" s="74">
        <v>0</v>
      </c>
      <c r="X384" s="9"/>
      <c r="Y384" s="9"/>
      <c r="Z384" s="24">
        <v>0</v>
      </c>
      <c r="AA384" s="4"/>
      <c r="AB384" s="4"/>
      <c r="AC384" s="4"/>
      <c r="AD384" s="4"/>
    </row>
    <row r="385" spans="1:30" ht="14.25" customHeight="1" x14ac:dyDescent="0.4">
      <c r="B385" s="22">
        <v>0</v>
      </c>
      <c r="C385" s="22" t="s">
        <v>2165</v>
      </c>
      <c r="D385" s="22">
        <v>0</v>
      </c>
      <c r="E385" s="24">
        <v>0</v>
      </c>
      <c r="F385" s="24">
        <v>0</v>
      </c>
      <c r="G385" s="24">
        <v>0</v>
      </c>
      <c r="H385" s="23">
        <v>0</v>
      </c>
      <c r="I385" s="23">
        <v>0</v>
      </c>
      <c r="J385" s="37">
        <v>0</v>
      </c>
      <c r="K385" s="24">
        <v>0</v>
      </c>
      <c r="L385" s="24">
        <v>0</v>
      </c>
      <c r="M385" s="24">
        <v>0</v>
      </c>
      <c r="N385" s="22" t="s">
        <v>73</v>
      </c>
      <c r="O385" s="4" t="s">
        <v>657</v>
      </c>
      <c r="P385" s="22">
        <v>1210</v>
      </c>
      <c r="Q385" s="22">
        <v>0</v>
      </c>
      <c r="R385" s="4"/>
      <c r="S385" s="38"/>
      <c r="T385" s="44"/>
      <c r="U385" s="38"/>
      <c r="V385" s="9"/>
      <c r="W385" s="74">
        <v>0</v>
      </c>
      <c r="X385" s="9"/>
      <c r="Y385" s="9"/>
      <c r="Z385" s="24">
        <v>0</v>
      </c>
      <c r="AA385" s="4"/>
      <c r="AB385" s="4"/>
      <c r="AC385" s="4"/>
      <c r="AD385" s="4"/>
    </row>
    <row r="386" spans="1:30" ht="14.25" customHeight="1" x14ac:dyDescent="0.4">
      <c r="A386" s="4"/>
      <c r="B386" s="22">
        <v>0</v>
      </c>
      <c r="C386" s="22" t="s">
        <v>2165</v>
      </c>
      <c r="D386" s="22">
        <v>0</v>
      </c>
      <c r="E386" s="24">
        <v>0</v>
      </c>
      <c r="F386" s="24">
        <v>0</v>
      </c>
      <c r="G386" s="24">
        <v>0</v>
      </c>
      <c r="H386" s="23">
        <v>0</v>
      </c>
      <c r="I386" s="23">
        <v>0</v>
      </c>
      <c r="J386" s="37">
        <v>0</v>
      </c>
      <c r="K386" s="24">
        <v>0</v>
      </c>
      <c r="L386" s="24">
        <v>0</v>
      </c>
      <c r="M386" s="24">
        <v>0</v>
      </c>
      <c r="N386" s="22" t="s">
        <v>73</v>
      </c>
      <c r="O386" s="4" t="s">
        <v>658</v>
      </c>
      <c r="P386" s="22">
        <v>715</v>
      </c>
      <c r="Q386" s="22">
        <v>0</v>
      </c>
      <c r="R386" s="4"/>
      <c r="S386" s="38"/>
      <c r="T386" s="44"/>
      <c r="U386" s="38"/>
      <c r="V386" s="9"/>
      <c r="W386" s="74">
        <v>0</v>
      </c>
      <c r="X386" s="9"/>
      <c r="Y386" s="9"/>
      <c r="Z386" s="24">
        <v>0</v>
      </c>
      <c r="AA386" s="4"/>
      <c r="AB386" s="4"/>
      <c r="AC386" s="4"/>
      <c r="AD386" s="4"/>
    </row>
    <row r="387" spans="1:30" ht="14.25" customHeight="1" x14ac:dyDescent="0.4">
      <c r="A387" s="4"/>
      <c r="B387" s="22">
        <v>0</v>
      </c>
      <c r="C387" s="22">
        <v>0</v>
      </c>
      <c r="D387" s="22">
        <v>0</v>
      </c>
      <c r="E387" s="24">
        <v>0</v>
      </c>
      <c r="F387" s="24">
        <v>0</v>
      </c>
      <c r="G387" s="24">
        <v>0</v>
      </c>
      <c r="H387" s="23">
        <v>0</v>
      </c>
      <c r="I387" s="23">
        <v>0</v>
      </c>
      <c r="J387" s="37">
        <v>0</v>
      </c>
      <c r="K387" s="24">
        <v>0</v>
      </c>
      <c r="L387" s="24">
        <v>0</v>
      </c>
      <c r="M387" s="24">
        <v>0</v>
      </c>
      <c r="N387" s="22" t="s">
        <v>73</v>
      </c>
      <c r="O387" s="4" t="s">
        <v>659</v>
      </c>
      <c r="P387" s="22">
        <v>715</v>
      </c>
      <c r="Q387" s="22">
        <v>0</v>
      </c>
      <c r="R387" s="4"/>
      <c r="S387" s="38"/>
      <c r="T387" s="44"/>
      <c r="U387" s="38"/>
      <c r="V387" s="9"/>
      <c r="W387" s="74">
        <v>0</v>
      </c>
      <c r="X387" s="9"/>
      <c r="Y387" s="9"/>
      <c r="Z387" s="24">
        <v>0</v>
      </c>
      <c r="AA387" s="4"/>
      <c r="AB387" s="4"/>
      <c r="AC387" s="4"/>
      <c r="AD387" s="4"/>
    </row>
    <row r="388" spans="1:30" ht="14.25" customHeight="1" x14ac:dyDescent="0.4">
      <c r="A388" s="4"/>
      <c r="B388" s="22">
        <v>0</v>
      </c>
      <c r="C388" s="22" t="s">
        <v>2165</v>
      </c>
      <c r="D388" s="22">
        <v>0</v>
      </c>
      <c r="E388" s="24">
        <v>0</v>
      </c>
      <c r="F388" s="24">
        <v>0</v>
      </c>
      <c r="G388" s="24">
        <v>0</v>
      </c>
      <c r="H388" s="23">
        <v>0</v>
      </c>
      <c r="I388" s="23">
        <v>0</v>
      </c>
      <c r="J388" s="37">
        <v>0</v>
      </c>
      <c r="K388" s="24">
        <v>0</v>
      </c>
      <c r="L388" s="24">
        <v>0</v>
      </c>
      <c r="M388" s="24">
        <v>0</v>
      </c>
      <c r="N388" s="22" t="s">
        <v>73</v>
      </c>
      <c r="O388" s="4" t="s">
        <v>660</v>
      </c>
      <c r="P388" s="22">
        <v>715</v>
      </c>
      <c r="Q388" s="22">
        <v>0</v>
      </c>
      <c r="R388" s="4"/>
      <c r="S388" s="38"/>
      <c r="T388" s="44"/>
      <c r="U388" s="38"/>
      <c r="V388" s="9"/>
      <c r="W388" s="74">
        <v>0</v>
      </c>
      <c r="X388" s="9"/>
      <c r="Y388" s="9"/>
      <c r="Z388" s="24">
        <v>0</v>
      </c>
      <c r="AA388" s="4"/>
      <c r="AB388" s="4"/>
      <c r="AC388" s="4"/>
      <c r="AD388" s="4"/>
    </row>
    <row r="389" spans="1:30" ht="14.25" customHeight="1" x14ac:dyDescent="0.4">
      <c r="B389" s="34">
        <v>0</v>
      </c>
      <c r="C389" s="34" t="s">
        <v>2165</v>
      </c>
      <c r="D389" s="34">
        <v>0</v>
      </c>
      <c r="E389" s="32">
        <v>0</v>
      </c>
      <c r="F389" s="24">
        <v>0</v>
      </c>
      <c r="G389" s="32">
        <v>0</v>
      </c>
      <c r="H389" s="35">
        <v>0</v>
      </c>
      <c r="I389" s="23">
        <v>0</v>
      </c>
      <c r="J389" s="37">
        <v>0</v>
      </c>
      <c r="K389" s="24">
        <v>0</v>
      </c>
      <c r="L389" s="24">
        <v>0</v>
      </c>
      <c r="M389" s="32">
        <v>0</v>
      </c>
      <c r="N389" s="22" t="s">
        <v>73</v>
      </c>
      <c r="O389" s="4" t="s">
        <v>661</v>
      </c>
      <c r="P389" s="22">
        <v>1010</v>
      </c>
      <c r="Q389" s="22">
        <v>0</v>
      </c>
      <c r="R389" s="4"/>
      <c r="S389" s="38"/>
      <c r="T389" s="44"/>
      <c r="U389" s="38"/>
      <c r="V389" s="9"/>
      <c r="W389" s="74">
        <v>0</v>
      </c>
      <c r="X389" s="9"/>
      <c r="Y389" s="9"/>
      <c r="Z389" s="24">
        <v>0</v>
      </c>
      <c r="AA389" s="4"/>
      <c r="AB389" s="4"/>
      <c r="AC389" s="4"/>
      <c r="AD389" s="4"/>
    </row>
    <row r="390" spans="1:30" ht="14.25" customHeight="1" x14ac:dyDescent="0.4">
      <c r="B390" s="34">
        <v>0</v>
      </c>
      <c r="C390" s="34">
        <v>0</v>
      </c>
      <c r="D390" s="34">
        <v>0</v>
      </c>
      <c r="E390" s="32">
        <v>0</v>
      </c>
      <c r="F390" s="24">
        <v>0</v>
      </c>
      <c r="G390" s="32">
        <v>0</v>
      </c>
      <c r="H390" s="35">
        <v>0</v>
      </c>
      <c r="I390" s="23">
        <v>0</v>
      </c>
      <c r="J390" s="37">
        <v>0</v>
      </c>
      <c r="K390" s="24">
        <v>0</v>
      </c>
      <c r="L390" s="24">
        <v>0</v>
      </c>
      <c r="M390" s="32">
        <v>0</v>
      </c>
      <c r="N390" s="22" t="s">
        <v>73</v>
      </c>
      <c r="O390" s="4" t="s">
        <v>662</v>
      </c>
      <c r="P390" s="22">
        <v>1010</v>
      </c>
      <c r="Q390" s="22">
        <v>0</v>
      </c>
      <c r="R390" s="4"/>
      <c r="S390" s="38"/>
      <c r="T390" s="44"/>
      <c r="U390" s="38"/>
      <c r="V390" s="44"/>
      <c r="W390" s="74">
        <v>0</v>
      </c>
      <c r="X390" s="9"/>
      <c r="Y390" s="9"/>
      <c r="Z390" s="24">
        <v>0</v>
      </c>
      <c r="AA390" s="4"/>
      <c r="AB390" s="4"/>
      <c r="AC390" s="4"/>
    </row>
    <row r="391" spans="1:30" ht="14.25" customHeight="1" x14ac:dyDescent="0.4">
      <c r="A391" s="4"/>
      <c r="B391" s="34">
        <v>0</v>
      </c>
      <c r="C391" s="34">
        <v>0</v>
      </c>
      <c r="D391" s="34">
        <v>0</v>
      </c>
      <c r="E391" s="32">
        <v>0</v>
      </c>
      <c r="F391" s="24">
        <v>0</v>
      </c>
      <c r="G391" s="32">
        <v>0</v>
      </c>
      <c r="H391" s="35">
        <v>0</v>
      </c>
      <c r="I391" s="23">
        <v>0</v>
      </c>
      <c r="J391" s="37">
        <v>0</v>
      </c>
      <c r="K391" s="24">
        <v>0</v>
      </c>
      <c r="L391" s="24">
        <v>0</v>
      </c>
      <c r="M391" s="32">
        <v>0</v>
      </c>
      <c r="N391" s="22" t="s">
        <v>73</v>
      </c>
      <c r="O391" s="4" t="s">
        <v>663</v>
      </c>
      <c r="P391" s="22">
        <v>1010</v>
      </c>
      <c r="Q391" s="22">
        <v>0</v>
      </c>
      <c r="R391" s="4"/>
      <c r="S391" s="38"/>
      <c r="T391" s="61"/>
      <c r="U391" s="38"/>
      <c r="V391" s="9"/>
      <c r="W391" s="74">
        <v>0</v>
      </c>
      <c r="X391" s="9"/>
      <c r="Y391" s="9"/>
      <c r="Z391" s="24">
        <v>0</v>
      </c>
    </row>
    <row r="392" spans="1:30" ht="14.25" customHeight="1" x14ac:dyDescent="0.4">
      <c r="A392" s="4"/>
      <c r="B392" s="34">
        <v>0</v>
      </c>
      <c r="C392" s="34">
        <v>0</v>
      </c>
      <c r="D392" s="34">
        <v>0</v>
      </c>
      <c r="E392" s="32">
        <v>0</v>
      </c>
      <c r="F392" s="24">
        <v>0</v>
      </c>
      <c r="G392" s="32">
        <v>0</v>
      </c>
      <c r="H392" s="35">
        <v>0</v>
      </c>
      <c r="I392" s="23">
        <v>0</v>
      </c>
      <c r="J392" s="37">
        <v>0</v>
      </c>
      <c r="K392" s="24">
        <v>0</v>
      </c>
      <c r="L392" s="24">
        <v>0</v>
      </c>
      <c r="M392" s="32">
        <v>0</v>
      </c>
      <c r="N392" s="22" t="s">
        <v>73</v>
      </c>
      <c r="O392" s="4" t="s">
        <v>664</v>
      </c>
      <c r="P392" s="22">
        <v>1010</v>
      </c>
      <c r="Q392" s="22">
        <v>0</v>
      </c>
      <c r="R392" s="4"/>
      <c r="S392" s="38"/>
      <c r="T392" s="44"/>
      <c r="U392" s="38"/>
      <c r="V392" s="44"/>
      <c r="W392" s="74">
        <v>0</v>
      </c>
      <c r="X392" s="9"/>
      <c r="Y392" s="9"/>
      <c r="Z392" s="24">
        <v>0</v>
      </c>
    </row>
    <row r="393" spans="1:30" ht="14.25" customHeight="1" x14ac:dyDescent="0.4">
      <c r="A393" s="4"/>
      <c r="B393" s="34">
        <v>0</v>
      </c>
      <c r="C393" s="34">
        <v>0</v>
      </c>
      <c r="D393" s="34">
        <v>0</v>
      </c>
      <c r="E393" s="32">
        <v>0</v>
      </c>
      <c r="F393" s="24">
        <v>0</v>
      </c>
      <c r="G393" s="32">
        <v>0</v>
      </c>
      <c r="H393" s="35">
        <v>0</v>
      </c>
      <c r="I393" s="23">
        <v>0</v>
      </c>
      <c r="J393" s="37">
        <v>0</v>
      </c>
      <c r="K393" s="24">
        <v>0</v>
      </c>
      <c r="L393" s="24">
        <v>0</v>
      </c>
      <c r="M393" s="32">
        <v>0</v>
      </c>
      <c r="N393" s="22" t="s">
        <v>73</v>
      </c>
      <c r="O393" s="4" t="s">
        <v>665</v>
      </c>
      <c r="P393" s="22">
        <v>1010</v>
      </c>
      <c r="Q393" s="22">
        <v>0</v>
      </c>
      <c r="R393" s="4"/>
      <c r="S393" s="38"/>
      <c r="T393" s="44"/>
      <c r="U393" s="38"/>
      <c r="V393" s="9"/>
      <c r="W393" s="74">
        <v>0</v>
      </c>
      <c r="X393" s="9"/>
      <c r="Y393" s="9"/>
      <c r="Z393" s="24">
        <v>0</v>
      </c>
    </row>
    <row r="394" spans="1:30" ht="14.25" customHeight="1" x14ac:dyDescent="0.4">
      <c r="B394" s="34">
        <v>0</v>
      </c>
      <c r="C394" s="34" t="s">
        <v>2165</v>
      </c>
      <c r="D394" s="34">
        <v>0</v>
      </c>
      <c r="E394" s="32">
        <v>0</v>
      </c>
      <c r="F394" s="24">
        <v>0</v>
      </c>
      <c r="G394" s="32">
        <v>0</v>
      </c>
      <c r="H394" s="35">
        <v>0</v>
      </c>
      <c r="I394" s="23">
        <v>0</v>
      </c>
      <c r="J394" s="37">
        <v>0</v>
      </c>
      <c r="K394" s="24">
        <v>0</v>
      </c>
      <c r="L394" s="24">
        <v>0</v>
      </c>
      <c r="M394" s="32">
        <v>0</v>
      </c>
      <c r="N394" s="22" t="s">
        <v>73</v>
      </c>
      <c r="O394" s="4" t="s">
        <v>666</v>
      </c>
      <c r="P394" s="22">
        <v>1010</v>
      </c>
      <c r="Q394" s="22">
        <v>0</v>
      </c>
      <c r="R394" s="4"/>
      <c r="S394" s="3"/>
      <c r="T394" s="42"/>
      <c r="U394" s="3"/>
      <c r="V394" s="28"/>
      <c r="W394" s="74">
        <v>0</v>
      </c>
      <c r="X394" s="9"/>
      <c r="Y394" s="9"/>
      <c r="Z394" s="24">
        <v>0</v>
      </c>
    </row>
    <row r="395" spans="1:30" ht="14.25" customHeight="1" x14ac:dyDescent="0.4">
      <c r="A395" s="4"/>
      <c r="B395" s="34"/>
      <c r="C395" s="34"/>
      <c r="D395" s="34"/>
      <c r="E395" s="32"/>
      <c r="F395" s="24"/>
      <c r="G395" s="32"/>
      <c r="H395" s="35"/>
      <c r="I395" s="23"/>
      <c r="J395" s="37"/>
      <c r="K395" s="24"/>
      <c r="L395" s="24"/>
      <c r="M395" s="32"/>
      <c r="N395" s="22"/>
      <c r="O395" s="4"/>
      <c r="P395" s="22"/>
      <c r="Q395" s="22"/>
      <c r="R395" s="4"/>
      <c r="S395" s="3"/>
      <c r="T395" s="43"/>
      <c r="U395" s="3"/>
      <c r="W395" s="74"/>
      <c r="X395" s="28"/>
      <c r="Y395" s="28"/>
      <c r="Z395" s="24"/>
    </row>
    <row r="396" spans="1:30" ht="14.25" customHeight="1" x14ac:dyDescent="0.4">
      <c r="B396" s="34"/>
      <c r="C396" s="34"/>
      <c r="D396" s="34"/>
      <c r="E396" s="32"/>
      <c r="F396" s="24"/>
      <c r="G396" s="32"/>
      <c r="H396" s="35"/>
      <c r="I396" s="23"/>
      <c r="J396" s="37"/>
      <c r="K396" s="24"/>
      <c r="L396" s="24"/>
      <c r="M396" s="32"/>
      <c r="N396" s="22"/>
      <c r="O396" s="4"/>
      <c r="P396" s="4"/>
      <c r="Q396" s="22"/>
      <c r="S396" s="38"/>
      <c r="U396" s="38"/>
      <c r="W396" s="74">
        <v>0</v>
      </c>
      <c r="Z396" s="24"/>
    </row>
    <row r="397" spans="1:30" ht="14.25" customHeight="1" x14ac:dyDescent="0.4">
      <c r="B397" s="34"/>
      <c r="C397" s="34"/>
      <c r="D397" s="34"/>
      <c r="E397" s="32"/>
      <c r="F397" s="24"/>
      <c r="G397" s="32"/>
      <c r="H397" s="35"/>
      <c r="I397" s="23"/>
      <c r="J397" s="37"/>
      <c r="K397" s="24"/>
      <c r="L397" s="24"/>
      <c r="M397" s="32"/>
      <c r="N397" s="22"/>
      <c r="O397" s="4"/>
      <c r="P397" s="4"/>
      <c r="Q397" s="22"/>
      <c r="S397" s="38"/>
      <c r="U397" s="38"/>
      <c r="W397" s="74">
        <v>0</v>
      </c>
      <c r="Z397" s="24"/>
    </row>
    <row r="398" spans="1:30" ht="14.25" customHeight="1" x14ac:dyDescent="0.4">
      <c r="N398" s="4"/>
      <c r="O398" s="4"/>
      <c r="P398" s="4"/>
      <c r="Q398" s="4"/>
      <c r="W398" s="74">
        <v>0</v>
      </c>
    </row>
    <row r="399" spans="1:30" ht="14.25" customHeight="1" x14ac:dyDescent="0.4">
      <c r="N399" s="4"/>
      <c r="O399" s="4"/>
      <c r="P399" s="4"/>
      <c r="Q399" s="4"/>
      <c r="W399" s="74">
        <v>0</v>
      </c>
    </row>
    <row r="400" spans="1:30" ht="14.25" customHeight="1" x14ac:dyDescent="0.4">
      <c r="N400" s="4"/>
      <c r="O400" s="4"/>
      <c r="P400" s="4"/>
      <c r="Q400" s="4"/>
    </row>
    <row r="401" spans="15:17" ht="14.25" customHeight="1" x14ac:dyDescent="0.4">
      <c r="O401" s="4"/>
      <c r="P401" s="4"/>
      <c r="Q401" s="4"/>
    </row>
    <row r="402" spans="15:17" ht="14.25" customHeight="1" x14ac:dyDescent="0.4">
      <c r="O402" s="4"/>
      <c r="P402" s="4"/>
      <c r="Q402" s="4"/>
    </row>
    <row r="403" spans="15:17" ht="14.25" customHeight="1" x14ac:dyDescent="0.4">
      <c r="O403" s="4"/>
      <c r="P403" s="4"/>
      <c r="Q403" s="4"/>
    </row>
    <row r="404" spans="15:17" ht="14.25" customHeight="1" x14ac:dyDescent="0.4">
      <c r="O404" s="4"/>
      <c r="P404" s="4"/>
      <c r="Q404" s="4"/>
    </row>
    <row r="405" spans="15:17" ht="14.25" customHeight="1" x14ac:dyDescent="0.4">
      <c r="O405" s="4"/>
      <c r="P405" s="4"/>
      <c r="Q405" s="4"/>
    </row>
    <row r="406" spans="15:17" ht="14.25" customHeight="1" x14ac:dyDescent="0.4">
      <c r="O406" s="4"/>
      <c r="P406" s="4"/>
      <c r="Q406" s="4"/>
    </row>
    <row r="407" spans="15:17" ht="14.25" customHeight="1" x14ac:dyDescent="0.4">
      <c r="O407" s="4"/>
    </row>
    <row r="408" spans="15:17" ht="14.25" customHeight="1" x14ac:dyDescent="0.4">
      <c r="O408" s="4"/>
    </row>
    <row r="409" spans="15:17" ht="14.25" customHeight="1" x14ac:dyDescent="0.4">
      <c r="O409" s="4"/>
    </row>
    <row r="410" spans="15:17" ht="14.25" customHeight="1" x14ac:dyDescent="0.4">
      <c r="O410" s="4"/>
    </row>
    <row r="411" spans="15:17" ht="14.25" customHeight="1" x14ac:dyDescent="0.4">
      <c r="O411" s="4"/>
    </row>
    <row r="412" spans="15:17" ht="14.25" customHeight="1" x14ac:dyDescent="0.4">
      <c r="O412" s="4"/>
    </row>
    <row r="413" spans="15:17" ht="14.25" customHeight="1" x14ac:dyDescent="0.4">
      <c r="O413" s="4"/>
    </row>
    <row r="414" spans="15:17" ht="14.25" customHeight="1" x14ac:dyDescent="0.4">
      <c r="O414" s="4"/>
    </row>
    <row r="415" spans="15:17" ht="14.25" customHeight="1" x14ac:dyDescent="0.4">
      <c r="O415" s="4"/>
    </row>
    <row r="416" spans="15:17" ht="14.25" customHeight="1" x14ac:dyDescent="0.4">
      <c r="O416" s="4"/>
    </row>
    <row r="417" spans="15:15" ht="14.25" customHeight="1" x14ac:dyDescent="0.4">
      <c r="O417" s="4"/>
    </row>
    <row r="418" spans="15:15" ht="14.25" customHeight="1" x14ac:dyDescent="0.4">
      <c r="O418" s="4"/>
    </row>
    <row r="419" spans="15:15" ht="14.25" customHeight="1" x14ac:dyDescent="0.4">
      <c r="O419" s="4"/>
    </row>
    <row r="420" spans="15:15" ht="14.25" customHeight="1" x14ac:dyDescent="0.4">
      <c r="O420" s="4"/>
    </row>
    <row r="421" spans="15:15" ht="14.25" customHeight="1" x14ac:dyDescent="0.4">
      <c r="O421" s="4"/>
    </row>
    <row r="422" spans="15:15" ht="14.25" customHeight="1" x14ac:dyDescent="0.4">
      <c r="O422" s="4"/>
    </row>
    <row r="423" spans="15:15" ht="14.25" customHeight="1" x14ac:dyDescent="0.4">
      <c r="O423" s="4"/>
    </row>
    <row r="424" spans="15:15" ht="14.25" customHeight="1" x14ac:dyDescent="0.4">
      <c r="O424" s="4"/>
    </row>
    <row r="425" spans="15:15" ht="14.25" customHeight="1" x14ac:dyDescent="0.4">
      <c r="O425" s="4"/>
    </row>
    <row r="426" spans="15:15" ht="14.25" customHeight="1" x14ac:dyDescent="0.4">
      <c r="O426" s="4"/>
    </row>
    <row r="427" spans="15:15" ht="14.25" customHeight="1" x14ac:dyDescent="0.4">
      <c r="O427" s="4"/>
    </row>
    <row r="428" spans="15:15" ht="14.25" customHeight="1" x14ac:dyDescent="0.4">
      <c r="O428" s="4"/>
    </row>
    <row r="429" spans="15:15" ht="14.25" customHeight="1" x14ac:dyDescent="0.4">
      <c r="O429" s="4"/>
    </row>
    <row r="430" spans="15:15" ht="14.25" customHeight="1" x14ac:dyDescent="0.4">
      <c r="O430" s="4"/>
    </row>
    <row r="431" spans="15:15" ht="14.25" customHeight="1" x14ac:dyDescent="0.4">
      <c r="O431" s="4"/>
    </row>
    <row r="432" spans="15:15" ht="14.25" customHeight="1" x14ac:dyDescent="0.4">
      <c r="O432" s="4"/>
    </row>
    <row r="433" spans="15:15" ht="14.25" customHeight="1" x14ac:dyDescent="0.4">
      <c r="O433" s="4"/>
    </row>
    <row r="434" spans="15:15" ht="14.25" customHeight="1" x14ac:dyDescent="0.4">
      <c r="O434" s="4"/>
    </row>
    <row r="435" spans="15:15" ht="14.25" customHeight="1" x14ac:dyDescent="0.4">
      <c r="O435" s="4"/>
    </row>
    <row r="436" spans="15:15" ht="14.25" customHeight="1" x14ac:dyDescent="0.4">
      <c r="O436" s="4"/>
    </row>
    <row r="437" spans="15:15" ht="14.25" customHeight="1" x14ac:dyDescent="0.4">
      <c r="O437" s="4"/>
    </row>
    <row r="438" spans="15:15" ht="14.25" customHeight="1" x14ac:dyDescent="0.4">
      <c r="O438" s="4"/>
    </row>
    <row r="439" spans="15:15" ht="14.25" customHeight="1" x14ac:dyDescent="0.4">
      <c r="O439" s="4"/>
    </row>
    <row r="440" spans="15:15" ht="14.25" customHeight="1" x14ac:dyDescent="0.4">
      <c r="O440" s="4"/>
    </row>
    <row r="441" spans="15:15" ht="14.25" customHeight="1" x14ac:dyDescent="0.4">
      <c r="O441" s="4"/>
    </row>
    <row r="442" spans="15:15" ht="14.25" customHeight="1" x14ac:dyDescent="0.4">
      <c r="O442" s="4"/>
    </row>
    <row r="443" spans="15:15" ht="14.25" customHeight="1" x14ac:dyDescent="0.4">
      <c r="O443" s="4"/>
    </row>
    <row r="444" spans="15:15" ht="14.25" customHeight="1" x14ac:dyDescent="0.4">
      <c r="O444" s="4"/>
    </row>
    <row r="445" spans="15:15" ht="14.25" customHeight="1" x14ac:dyDescent="0.4">
      <c r="O445" s="4"/>
    </row>
    <row r="446" spans="15:15" ht="14.25" customHeight="1" x14ac:dyDescent="0.4">
      <c r="O446" s="4"/>
    </row>
    <row r="447" spans="15:15" ht="14.25" customHeight="1" x14ac:dyDescent="0.4">
      <c r="O447" s="4"/>
    </row>
    <row r="448" spans="15:15" ht="14.25" customHeight="1" x14ac:dyDescent="0.4">
      <c r="O448" s="4"/>
    </row>
    <row r="449" spans="15:15" ht="14.25" customHeight="1" x14ac:dyDescent="0.4">
      <c r="O449" s="4"/>
    </row>
    <row r="450" spans="15:15" ht="14.25" customHeight="1" x14ac:dyDescent="0.4">
      <c r="O450" s="4"/>
    </row>
    <row r="451" spans="15:15" ht="14.25" customHeight="1" x14ac:dyDescent="0.4">
      <c r="O451" s="4"/>
    </row>
    <row r="452" spans="15:15" ht="14.25" customHeight="1" x14ac:dyDescent="0.4">
      <c r="O452" s="4"/>
    </row>
    <row r="453" spans="15:15" ht="14.25" customHeight="1" x14ac:dyDescent="0.4">
      <c r="O453" s="4"/>
    </row>
    <row r="454" spans="15:15" ht="14.25" customHeight="1" x14ac:dyDescent="0.4">
      <c r="O454" s="4"/>
    </row>
    <row r="455" spans="15:15" ht="14.25" customHeight="1" x14ac:dyDescent="0.4">
      <c r="O455" s="4"/>
    </row>
    <row r="456" spans="15:15" ht="14.25" customHeight="1" x14ac:dyDescent="0.4">
      <c r="O456" s="4"/>
    </row>
    <row r="457" spans="15:15" ht="14.25" customHeight="1" x14ac:dyDescent="0.4">
      <c r="O457" s="4"/>
    </row>
    <row r="458" spans="15:15" ht="14.25" customHeight="1" x14ac:dyDescent="0.4">
      <c r="O458" s="4"/>
    </row>
    <row r="459" spans="15:15" ht="14.25" customHeight="1" x14ac:dyDescent="0.4">
      <c r="O459" s="4"/>
    </row>
    <row r="460" spans="15:15" ht="14.25" customHeight="1" x14ac:dyDescent="0.4">
      <c r="O460" s="4"/>
    </row>
    <row r="461" spans="15:15" ht="14.25" customHeight="1" x14ac:dyDescent="0.4">
      <c r="O461" s="4"/>
    </row>
    <row r="462" spans="15:15" ht="14.25" customHeight="1" x14ac:dyDescent="0.4">
      <c r="O462" s="4"/>
    </row>
    <row r="463" spans="15:15" ht="14.25" customHeight="1" x14ac:dyDescent="0.4">
      <c r="O463" s="4"/>
    </row>
    <row r="464" spans="15:15" ht="14.25" customHeight="1" x14ac:dyDescent="0.4">
      <c r="O464" s="4"/>
    </row>
    <row r="465" spans="15:15" ht="14.25" customHeight="1" x14ac:dyDescent="0.4">
      <c r="O465" s="4"/>
    </row>
    <row r="466" spans="15:15" ht="14.25" customHeight="1" x14ac:dyDescent="0.4">
      <c r="O466" s="4"/>
    </row>
    <row r="467" spans="15:15" ht="14.25" customHeight="1" x14ac:dyDescent="0.4">
      <c r="O467" s="4"/>
    </row>
    <row r="468" spans="15:15" ht="14.25" customHeight="1" x14ac:dyDescent="0.4">
      <c r="O468" s="4"/>
    </row>
    <row r="469" spans="15:15" ht="14.25" customHeight="1" x14ac:dyDescent="0.4">
      <c r="O469" s="4"/>
    </row>
    <row r="470" spans="15:15" ht="14.25" customHeight="1" x14ac:dyDescent="0.4">
      <c r="O470" s="4"/>
    </row>
    <row r="471" spans="15:15" ht="14.25" customHeight="1" x14ac:dyDescent="0.4">
      <c r="O471" s="4"/>
    </row>
    <row r="472" spans="15:15" ht="14.25" customHeight="1" x14ac:dyDescent="0.4">
      <c r="O472" s="4"/>
    </row>
    <row r="473" spans="15:15" ht="14.25" customHeight="1" x14ac:dyDescent="0.4">
      <c r="O473" s="4"/>
    </row>
    <row r="474" spans="15:15" ht="14.25" customHeight="1" x14ac:dyDescent="0.4">
      <c r="O474" s="4"/>
    </row>
    <row r="475" spans="15:15" ht="14.25" customHeight="1" x14ac:dyDescent="0.4">
      <c r="O475" s="4"/>
    </row>
    <row r="476" spans="15:15" ht="14.25" customHeight="1" x14ac:dyDescent="0.4">
      <c r="O476" s="4"/>
    </row>
    <row r="477" spans="15:15" ht="14.25" customHeight="1" x14ac:dyDescent="0.4">
      <c r="O477" s="4"/>
    </row>
    <row r="478" spans="15:15" ht="14.25" customHeight="1" x14ac:dyDescent="0.4">
      <c r="O478" s="4"/>
    </row>
    <row r="479" spans="15:15" ht="14.25" customHeight="1" x14ac:dyDescent="0.4">
      <c r="O479" s="4"/>
    </row>
    <row r="480" spans="15:15" ht="14.25" customHeight="1" x14ac:dyDescent="0.4">
      <c r="O480" s="4"/>
    </row>
    <row r="481" spans="15:15" ht="14.25" customHeight="1" x14ac:dyDescent="0.4">
      <c r="O481" s="4"/>
    </row>
    <row r="482" spans="15:15" ht="14.25" customHeight="1" x14ac:dyDescent="0.4">
      <c r="O482" s="4"/>
    </row>
    <row r="483" spans="15:15" ht="14.25" customHeight="1" x14ac:dyDescent="0.4">
      <c r="O483" s="4"/>
    </row>
    <row r="484" spans="15:15" ht="14.25" customHeight="1" x14ac:dyDescent="0.4">
      <c r="O484" s="4"/>
    </row>
    <row r="485" spans="15:15" ht="14.25" customHeight="1" x14ac:dyDescent="0.4">
      <c r="O485" s="4"/>
    </row>
    <row r="486" spans="15:15" ht="14.25" customHeight="1" x14ac:dyDescent="0.4">
      <c r="O486" s="4"/>
    </row>
    <row r="487" spans="15:15" ht="14.25" customHeight="1" x14ac:dyDescent="0.4">
      <c r="O487" s="4"/>
    </row>
    <row r="488" spans="15:15" ht="14.25" customHeight="1" x14ac:dyDescent="0.4">
      <c r="O488" s="4"/>
    </row>
    <row r="489" spans="15:15" ht="14.25" customHeight="1" x14ac:dyDescent="0.4">
      <c r="O489" s="4"/>
    </row>
    <row r="490" spans="15:15" ht="14.25" customHeight="1" x14ac:dyDescent="0.4">
      <c r="O490" s="4"/>
    </row>
    <row r="491" spans="15:15" ht="14.25" customHeight="1" x14ac:dyDescent="0.4">
      <c r="O491" s="4"/>
    </row>
    <row r="492" spans="15:15" ht="14.25" customHeight="1" x14ac:dyDescent="0.4">
      <c r="O492" s="4"/>
    </row>
    <row r="493" spans="15:15" ht="14.25" customHeight="1" x14ac:dyDescent="0.4">
      <c r="O493" s="4"/>
    </row>
    <row r="494" spans="15:15" ht="14.25" customHeight="1" x14ac:dyDescent="0.4">
      <c r="O494" s="4"/>
    </row>
    <row r="495" spans="15:15" ht="14.25" customHeight="1" x14ac:dyDescent="0.4">
      <c r="O495" s="4"/>
    </row>
    <row r="496" spans="15:15" ht="14.25" customHeight="1" x14ac:dyDescent="0.4">
      <c r="O496" s="4"/>
    </row>
    <row r="497" spans="15:15" ht="14.25" customHeight="1" x14ac:dyDescent="0.4">
      <c r="O497" s="4"/>
    </row>
    <row r="498" spans="15:15" ht="14.25" customHeight="1" x14ac:dyDescent="0.4">
      <c r="O498" s="4"/>
    </row>
    <row r="499" spans="15:15" ht="14.25" customHeight="1" x14ac:dyDescent="0.4">
      <c r="O499" s="4"/>
    </row>
    <row r="500" spans="15:15" ht="14.25" customHeight="1" x14ac:dyDescent="0.4">
      <c r="O500" s="4"/>
    </row>
    <row r="501" spans="15:15" ht="14.25" customHeight="1" x14ac:dyDescent="0.4">
      <c r="O501" s="4"/>
    </row>
    <row r="502" spans="15:15" ht="14.25" customHeight="1" x14ac:dyDescent="0.4">
      <c r="O502" s="4"/>
    </row>
    <row r="503" spans="15:15" ht="14.25" customHeight="1" x14ac:dyDescent="0.4">
      <c r="O503" s="4"/>
    </row>
    <row r="504" spans="15:15" ht="14.25" customHeight="1" x14ac:dyDescent="0.4">
      <c r="O504" s="4"/>
    </row>
    <row r="505" spans="15:15" ht="14.25" customHeight="1" x14ac:dyDescent="0.4">
      <c r="O505" s="4"/>
    </row>
    <row r="506" spans="15:15" ht="14.25" customHeight="1" x14ac:dyDescent="0.4">
      <c r="O506" s="4"/>
    </row>
    <row r="507" spans="15:15" ht="14.25" customHeight="1" x14ac:dyDescent="0.4">
      <c r="O507" s="4"/>
    </row>
    <row r="508" spans="15:15" ht="14.25" customHeight="1" x14ac:dyDescent="0.4">
      <c r="O508" s="4"/>
    </row>
    <row r="509" spans="15:15" ht="14.25" customHeight="1" x14ac:dyDescent="0.4">
      <c r="O509" s="4"/>
    </row>
    <row r="510" spans="15:15" ht="14.25" customHeight="1" x14ac:dyDescent="0.4">
      <c r="O510" s="4"/>
    </row>
    <row r="511" spans="15:15" ht="14.25" customHeight="1" x14ac:dyDescent="0.4">
      <c r="O511" s="4"/>
    </row>
    <row r="512" spans="15:15" ht="14.25" customHeight="1" x14ac:dyDescent="0.4">
      <c r="O512" s="4"/>
    </row>
    <row r="513" spans="15:15" ht="14.25" customHeight="1" x14ac:dyDescent="0.4">
      <c r="O513" s="4"/>
    </row>
    <row r="514" spans="15:15" ht="14.25" customHeight="1" x14ac:dyDescent="0.4">
      <c r="O514" s="4"/>
    </row>
    <row r="515" spans="15:15" ht="14.25" customHeight="1" x14ac:dyDescent="0.4">
      <c r="O515" s="4"/>
    </row>
    <row r="516" spans="15:15" ht="14.25" customHeight="1" x14ac:dyDescent="0.4">
      <c r="O516" s="4"/>
    </row>
    <row r="517" spans="15:15" ht="14.25" customHeight="1" x14ac:dyDescent="0.4">
      <c r="O517" s="4"/>
    </row>
    <row r="518" spans="15:15" ht="14.25" customHeight="1" x14ac:dyDescent="0.4">
      <c r="O518" s="4"/>
    </row>
    <row r="519" spans="15:15" ht="14.25" customHeight="1" x14ac:dyDescent="0.4">
      <c r="O519" s="4"/>
    </row>
    <row r="520" spans="15:15" ht="14.25" customHeight="1" x14ac:dyDescent="0.4">
      <c r="O520" s="4"/>
    </row>
    <row r="521" spans="15:15" ht="14.25" customHeight="1" x14ac:dyDescent="0.4">
      <c r="O521" s="4"/>
    </row>
    <row r="522" spans="15:15" ht="14.25" customHeight="1" x14ac:dyDescent="0.4">
      <c r="O522" s="4"/>
    </row>
    <row r="523" spans="15:15" ht="14.25" customHeight="1" x14ac:dyDescent="0.4">
      <c r="O523" s="4"/>
    </row>
    <row r="524" spans="15:15" ht="14.25" customHeight="1" x14ac:dyDescent="0.4">
      <c r="O524" s="4"/>
    </row>
    <row r="525" spans="15:15" ht="14.25" customHeight="1" x14ac:dyDescent="0.4">
      <c r="O525" s="4"/>
    </row>
    <row r="526" spans="15:15" ht="14.25" customHeight="1" x14ac:dyDescent="0.4">
      <c r="O526" s="4"/>
    </row>
    <row r="527" spans="15:15" ht="14.25" customHeight="1" x14ac:dyDescent="0.4">
      <c r="O527" s="4"/>
    </row>
    <row r="528" spans="15:15" ht="14.25" customHeight="1" x14ac:dyDescent="0.4">
      <c r="O528" s="4"/>
    </row>
    <row r="529" spans="15:15" ht="14.25" customHeight="1" x14ac:dyDescent="0.4">
      <c r="O529" s="4"/>
    </row>
    <row r="530" spans="15:15" ht="14.25" customHeight="1" x14ac:dyDescent="0.4">
      <c r="O530" s="4"/>
    </row>
    <row r="531" spans="15:15" ht="14.25" customHeight="1" x14ac:dyDescent="0.4">
      <c r="O531" s="4"/>
    </row>
    <row r="532" spans="15:15" ht="14.25" customHeight="1" x14ac:dyDescent="0.4">
      <c r="O532" s="4"/>
    </row>
    <row r="533" spans="15:15" ht="14.25" customHeight="1" x14ac:dyDescent="0.4">
      <c r="O533" s="4"/>
    </row>
    <row r="534" spans="15:15" ht="14.25" customHeight="1" x14ac:dyDescent="0.4">
      <c r="O534" s="4"/>
    </row>
    <row r="535" spans="15:15" ht="14.25" customHeight="1" x14ac:dyDescent="0.4">
      <c r="O535" s="4"/>
    </row>
    <row r="536" spans="15:15" ht="14.25" customHeight="1" x14ac:dyDescent="0.4">
      <c r="O536" s="4"/>
    </row>
    <row r="537" spans="15:15" ht="14.25" customHeight="1" x14ac:dyDescent="0.4">
      <c r="O537" s="4"/>
    </row>
    <row r="538" spans="15:15" ht="14.25" customHeight="1" x14ac:dyDescent="0.4">
      <c r="O538" s="4"/>
    </row>
    <row r="539" spans="15:15" ht="14.25" customHeight="1" x14ac:dyDescent="0.4">
      <c r="O539" s="4"/>
    </row>
    <row r="540" spans="15:15" ht="14.25" customHeight="1" x14ac:dyDescent="0.4">
      <c r="O540" s="4"/>
    </row>
    <row r="541" spans="15:15" ht="14.25" customHeight="1" x14ac:dyDescent="0.4">
      <c r="O541" s="4"/>
    </row>
    <row r="542" spans="15:15" ht="14.25" customHeight="1" x14ac:dyDescent="0.4">
      <c r="O542" s="4"/>
    </row>
    <row r="543" spans="15:15" ht="14.25" customHeight="1" x14ac:dyDescent="0.4">
      <c r="O543" s="4"/>
    </row>
    <row r="544" spans="15:15" ht="14.25" customHeight="1" x14ac:dyDescent="0.4">
      <c r="O544" s="4"/>
    </row>
    <row r="545" spans="15:15" ht="14.25" customHeight="1" x14ac:dyDescent="0.4">
      <c r="O545" s="4"/>
    </row>
    <row r="546" spans="15:15" ht="14.25" customHeight="1" x14ac:dyDescent="0.4">
      <c r="O546" s="4"/>
    </row>
    <row r="547" spans="15:15" ht="14.25" customHeight="1" x14ac:dyDescent="0.4">
      <c r="O547" s="4"/>
    </row>
    <row r="548" spans="15:15" ht="14.25" customHeight="1" x14ac:dyDescent="0.4">
      <c r="O548" s="4"/>
    </row>
    <row r="549" spans="15:15" ht="14.25" customHeight="1" x14ac:dyDescent="0.4">
      <c r="O549" s="4"/>
    </row>
    <row r="550" spans="15:15" ht="14.25" customHeight="1" x14ac:dyDescent="0.4">
      <c r="O550" s="4"/>
    </row>
    <row r="551" spans="15:15" ht="14.25" customHeight="1" x14ac:dyDescent="0.4">
      <c r="O551" s="4"/>
    </row>
    <row r="552" spans="15:15" ht="14.25" customHeight="1" x14ac:dyDescent="0.4">
      <c r="O552" s="4"/>
    </row>
    <row r="553" spans="15:15" ht="14.25" customHeight="1" x14ac:dyDescent="0.4">
      <c r="O553" s="4"/>
    </row>
    <row r="554" spans="15:15" ht="14.25" customHeight="1" x14ac:dyDescent="0.4">
      <c r="O554" s="4"/>
    </row>
    <row r="555" spans="15:15" ht="14.25" customHeight="1" x14ac:dyDescent="0.4">
      <c r="O555" s="4"/>
    </row>
    <row r="556" spans="15:15" ht="14.25" customHeight="1" x14ac:dyDescent="0.4">
      <c r="O556" s="4"/>
    </row>
    <row r="557" spans="15:15" ht="14.25" customHeight="1" x14ac:dyDescent="0.4">
      <c r="O557" s="4"/>
    </row>
    <row r="558" spans="15:15" ht="14.25" customHeight="1" x14ac:dyDescent="0.4">
      <c r="O558" s="4"/>
    </row>
    <row r="559" spans="15:15" ht="14.25" customHeight="1" x14ac:dyDescent="0.4">
      <c r="O559" s="4"/>
    </row>
    <row r="560" spans="15:15" ht="14.25" customHeight="1" x14ac:dyDescent="0.4">
      <c r="O560" s="4"/>
    </row>
    <row r="561" spans="15:15" ht="14.25" customHeight="1" x14ac:dyDescent="0.4">
      <c r="O561" s="4"/>
    </row>
    <row r="562" spans="15:15" ht="14.25" customHeight="1" x14ac:dyDescent="0.4">
      <c r="O562" s="4"/>
    </row>
    <row r="563" spans="15:15" ht="14.25" customHeight="1" x14ac:dyDescent="0.4">
      <c r="O563" s="4"/>
    </row>
    <row r="564" spans="15:15" ht="14.25" customHeight="1" x14ac:dyDescent="0.4">
      <c r="O564" s="4"/>
    </row>
    <row r="565" spans="15:15" ht="14.25" customHeight="1" x14ac:dyDescent="0.4">
      <c r="O565" s="4"/>
    </row>
    <row r="566" spans="15:15" ht="14.25" customHeight="1" x14ac:dyDescent="0.4">
      <c r="O566" s="4"/>
    </row>
    <row r="567" spans="15:15" ht="14.25" customHeight="1" x14ac:dyDescent="0.4">
      <c r="O567" s="4"/>
    </row>
    <row r="568" spans="15:15" ht="14.25" customHeight="1" x14ac:dyDescent="0.4">
      <c r="O568" s="4"/>
    </row>
    <row r="569" spans="15:15" ht="14.25" customHeight="1" x14ac:dyDescent="0.4">
      <c r="O569" s="4"/>
    </row>
    <row r="570" spans="15:15" ht="14.25" customHeight="1" x14ac:dyDescent="0.4">
      <c r="O570" s="4"/>
    </row>
    <row r="571" spans="15:15" ht="14.25" customHeight="1" x14ac:dyDescent="0.4">
      <c r="O571" s="4"/>
    </row>
    <row r="572" spans="15:15" ht="14.25" customHeight="1" x14ac:dyDescent="0.4">
      <c r="O572" s="4"/>
    </row>
    <row r="573" spans="15:15" ht="14.25" customHeight="1" x14ac:dyDescent="0.4">
      <c r="O573" s="4"/>
    </row>
    <row r="574" spans="15:15" ht="14.25" customHeight="1" x14ac:dyDescent="0.4">
      <c r="O574" s="4"/>
    </row>
    <row r="575" spans="15:15" ht="14.25" customHeight="1" x14ac:dyDescent="0.4">
      <c r="O575" s="4"/>
    </row>
    <row r="576" spans="15:15" ht="14.25" customHeight="1" x14ac:dyDescent="0.4">
      <c r="O576" s="4"/>
    </row>
    <row r="577" spans="15:15" ht="14.25" customHeight="1" x14ac:dyDescent="0.4">
      <c r="O577" s="4"/>
    </row>
    <row r="578" spans="15:15" ht="14.25" customHeight="1" x14ac:dyDescent="0.4">
      <c r="O578" s="4"/>
    </row>
    <row r="579" spans="15:15" ht="14.25" customHeight="1" x14ac:dyDescent="0.4">
      <c r="O579" s="4"/>
    </row>
    <row r="580" spans="15:15" ht="14.25" customHeight="1" x14ac:dyDescent="0.4">
      <c r="O580" s="4"/>
    </row>
    <row r="581" spans="15:15" ht="14.25" customHeight="1" x14ac:dyDescent="0.4">
      <c r="O581" s="4"/>
    </row>
    <row r="582" spans="15:15" ht="14.25" customHeight="1" x14ac:dyDescent="0.4">
      <c r="O582" s="4"/>
    </row>
    <row r="583" spans="15:15" ht="14.25" customHeight="1" x14ac:dyDescent="0.4">
      <c r="O583" s="4"/>
    </row>
    <row r="584" spans="15:15" ht="14.25" customHeight="1" x14ac:dyDescent="0.4">
      <c r="O584" s="4"/>
    </row>
    <row r="585" spans="15:15" ht="14.25" customHeight="1" x14ac:dyDescent="0.4">
      <c r="O585" s="4"/>
    </row>
    <row r="586" spans="15:15" ht="14.25" customHeight="1" x14ac:dyDescent="0.4">
      <c r="O586" s="4"/>
    </row>
    <row r="587" spans="15:15" ht="14.25" customHeight="1" x14ac:dyDescent="0.4">
      <c r="O587" s="4"/>
    </row>
    <row r="588" spans="15:15" ht="14.25" customHeight="1" x14ac:dyDescent="0.4">
      <c r="O588" s="4"/>
    </row>
    <row r="589" spans="15:15" ht="14.25" customHeight="1" x14ac:dyDescent="0.4">
      <c r="O589" s="4"/>
    </row>
    <row r="590" spans="15:15" ht="14.25" customHeight="1" x14ac:dyDescent="0.4">
      <c r="O590" s="4"/>
    </row>
    <row r="591" spans="15:15" ht="14.25" customHeight="1" x14ac:dyDescent="0.4">
      <c r="O591" s="4"/>
    </row>
    <row r="592" spans="15:15" ht="14.25" customHeight="1" x14ac:dyDescent="0.4">
      <c r="O592" s="4"/>
    </row>
    <row r="593" spans="15:15" ht="14.25" customHeight="1" x14ac:dyDescent="0.4">
      <c r="O593" s="4"/>
    </row>
    <row r="594" spans="15:15" ht="14.25" customHeight="1" x14ac:dyDescent="0.4">
      <c r="O594" s="4"/>
    </row>
    <row r="595" spans="15:15" ht="14.25" customHeight="1" x14ac:dyDescent="0.4">
      <c r="O595" s="4"/>
    </row>
    <row r="596" spans="15:15" ht="14.25" customHeight="1" x14ac:dyDescent="0.4">
      <c r="O596" s="4"/>
    </row>
    <row r="597" spans="15:15" ht="14.25" customHeight="1" x14ac:dyDescent="0.4">
      <c r="O597" s="4"/>
    </row>
    <row r="598" spans="15:15" ht="14.25" customHeight="1" x14ac:dyDescent="0.4">
      <c r="O598" s="4"/>
    </row>
    <row r="599" spans="15:15" ht="14.25" customHeight="1" x14ac:dyDescent="0.4">
      <c r="O599" s="4"/>
    </row>
    <row r="600" spans="15:15" ht="14.25" customHeight="1" x14ac:dyDescent="0.4">
      <c r="O600" s="4"/>
    </row>
    <row r="601" spans="15:15" ht="14.25" customHeight="1" x14ac:dyDescent="0.4">
      <c r="O601" s="4"/>
    </row>
    <row r="602" spans="15:15" ht="14.25" customHeight="1" x14ac:dyDescent="0.4">
      <c r="O602" s="4"/>
    </row>
    <row r="603" spans="15:15" ht="14.25" customHeight="1" x14ac:dyDescent="0.4">
      <c r="O603" s="4"/>
    </row>
    <row r="604" spans="15:15" ht="14.25" customHeight="1" x14ac:dyDescent="0.4">
      <c r="O604" s="4"/>
    </row>
    <row r="605" spans="15:15" ht="14.25" customHeight="1" x14ac:dyDescent="0.4">
      <c r="O605" s="4"/>
    </row>
    <row r="606" spans="15:15" ht="14.25" customHeight="1" x14ac:dyDescent="0.4">
      <c r="O606" s="4"/>
    </row>
    <row r="607" spans="15:15" ht="14.25" customHeight="1" x14ac:dyDescent="0.4">
      <c r="O607" s="4"/>
    </row>
    <row r="608" spans="15:15" ht="14.25" customHeight="1" x14ac:dyDescent="0.4">
      <c r="O608" s="4"/>
    </row>
    <row r="609" spans="15:15" ht="14.25" customHeight="1" x14ac:dyDescent="0.4">
      <c r="O609" s="4"/>
    </row>
    <row r="610" spans="15:15" ht="14.25" customHeight="1" x14ac:dyDescent="0.4">
      <c r="O610" s="4"/>
    </row>
    <row r="611" spans="15:15" ht="14.25" customHeight="1" x14ac:dyDescent="0.4">
      <c r="O611" s="4"/>
    </row>
    <row r="612" spans="15:15" ht="14.25" customHeight="1" x14ac:dyDescent="0.4">
      <c r="O612" s="4"/>
    </row>
    <row r="613" spans="15:15" ht="14.25" customHeight="1" x14ac:dyDescent="0.4">
      <c r="O613" s="4"/>
    </row>
    <row r="614" spans="15:15" ht="14.25" customHeight="1" x14ac:dyDescent="0.4">
      <c r="O614" s="4"/>
    </row>
    <row r="615" spans="15:15" ht="14.25" customHeight="1" x14ac:dyDescent="0.4">
      <c r="O615" s="4"/>
    </row>
    <row r="616" spans="15:15" ht="14.25" customHeight="1" x14ac:dyDescent="0.4">
      <c r="O616" s="4"/>
    </row>
    <row r="617" spans="15:15" ht="14.25" customHeight="1" x14ac:dyDescent="0.4">
      <c r="O617" s="4"/>
    </row>
    <row r="618" spans="15:15" ht="14.25" customHeight="1" x14ac:dyDescent="0.4">
      <c r="O618" s="4"/>
    </row>
    <row r="619" spans="15:15" ht="14.25" customHeight="1" x14ac:dyDescent="0.4">
      <c r="O619" s="4"/>
    </row>
    <row r="620" spans="15:15" ht="14.25" customHeight="1" x14ac:dyDescent="0.4">
      <c r="O620" s="4"/>
    </row>
    <row r="621" spans="15:15" ht="14.25" customHeight="1" x14ac:dyDescent="0.4">
      <c r="O621" s="4"/>
    </row>
    <row r="622" spans="15:15" ht="14.25" customHeight="1" x14ac:dyDescent="0.4">
      <c r="O622" s="4"/>
    </row>
    <row r="623" spans="15:15" ht="14.25" customHeight="1" x14ac:dyDescent="0.4">
      <c r="O623" s="4"/>
    </row>
    <row r="624" spans="15:15" ht="14.25" customHeight="1" x14ac:dyDescent="0.4">
      <c r="O624" s="4"/>
    </row>
    <row r="625" spans="15:15" ht="14.25" customHeight="1" x14ac:dyDescent="0.4">
      <c r="O625" s="4"/>
    </row>
    <row r="626" spans="15:15" ht="14.25" customHeight="1" x14ac:dyDescent="0.4">
      <c r="O626" s="4"/>
    </row>
    <row r="627" spans="15:15" ht="14.25" customHeight="1" x14ac:dyDescent="0.4">
      <c r="O627" s="4"/>
    </row>
    <row r="628" spans="15:15" ht="14.25" customHeight="1" x14ac:dyDescent="0.4">
      <c r="O628" s="4"/>
    </row>
    <row r="629" spans="15:15" ht="14.25" customHeight="1" x14ac:dyDescent="0.4">
      <c r="O629" s="4"/>
    </row>
    <row r="630" spans="15:15" ht="14.25" customHeight="1" x14ac:dyDescent="0.4">
      <c r="O630" s="4"/>
    </row>
    <row r="631" spans="15:15" ht="14.25" customHeight="1" x14ac:dyDescent="0.4">
      <c r="O631" s="4"/>
    </row>
    <row r="632" spans="15:15" ht="14.25" customHeight="1" x14ac:dyDescent="0.4">
      <c r="O632" s="4"/>
    </row>
    <row r="633" spans="15:15" ht="14.25" customHeight="1" x14ac:dyDescent="0.4">
      <c r="O633" s="4"/>
    </row>
    <row r="634" spans="15:15" ht="14.25" customHeight="1" x14ac:dyDescent="0.4">
      <c r="O634" s="4"/>
    </row>
    <row r="635" spans="15:15" ht="14.25" customHeight="1" x14ac:dyDescent="0.4">
      <c r="O635" s="4"/>
    </row>
    <row r="636" spans="15:15" ht="14.25" customHeight="1" x14ac:dyDescent="0.4">
      <c r="O636" s="4"/>
    </row>
    <row r="637" spans="15:15" ht="14.25" customHeight="1" x14ac:dyDescent="0.4">
      <c r="O637" s="4"/>
    </row>
    <row r="638" spans="15:15" ht="14.25" customHeight="1" x14ac:dyDescent="0.4">
      <c r="O638" s="4"/>
    </row>
    <row r="639" spans="15:15" ht="14.25" customHeight="1" x14ac:dyDescent="0.4">
      <c r="O639" s="4"/>
    </row>
    <row r="640" spans="15:15" ht="14.25" customHeight="1" x14ac:dyDescent="0.4">
      <c r="O640" s="4"/>
    </row>
    <row r="641" spans="15:15" ht="14.25" customHeight="1" x14ac:dyDescent="0.4">
      <c r="O641" s="4"/>
    </row>
    <row r="642" spans="15:15" ht="14.25" customHeight="1" x14ac:dyDescent="0.4">
      <c r="O642" s="4"/>
    </row>
    <row r="643" spans="15:15" ht="14.25" customHeight="1" x14ac:dyDescent="0.4">
      <c r="O643" s="4"/>
    </row>
    <row r="644" spans="15:15" ht="14.25" customHeight="1" x14ac:dyDescent="0.4">
      <c r="O644" s="4"/>
    </row>
    <row r="645" spans="15:15" ht="14.25" customHeight="1" x14ac:dyDescent="0.4">
      <c r="O645" s="4"/>
    </row>
    <row r="646" spans="15:15" ht="14.25" customHeight="1" x14ac:dyDescent="0.4">
      <c r="O646" s="4"/>
    </row>
    <row r="647" spans="15:15" ht="14.25" customHeight="1" x14ac:dyDescent="0.4">
      <c r="O647" s="4"/>
    </row>
    <row r="648" spans="15:15" ht="14.25" customHeight="1" x14ac:dyDescent="0.4">
      <c r="O648" s="4"/>
    </row>
    <row r="649" spans="15:15" ht="14.25" customHeight="1" x14ac:dyDescent="0.4">
      <c r="O649" s="4"/>
    </row>
    <row r="650" spans="15:15" ht="14.25" customHeight="1" x14ac:dyDescent="0.4">
      <c r="O650" s="4"/>
    </row>
    <row r="651" spans="15:15" ht="14.25" customHeight="1" x14ac:dyDescent="0.4">
      <c r="O651" s="4"/>
    </row>
    <row r="652" spans="15:15" ht="14.25" customHeight="1" x14ac:dyDescent="0.4">
      <c r="O652" s="4"/>
    </row>
    <row r="653" spans="15:15" ht="14.25" customHeight="1" x14ac:dyDescent="0.4">
      <c r="O653" s="4"/>
    </row>
    <row r="654" spans="15:15" ht="14.25" customHeight="1" x14ac:dyDescent="0.4">
      <c r="O654" s="4"/>
    </row>
    <row r="655" spans="15:15" ht="14.25" customHeight="1" x14ac:dyDescent="0.4">
      <c r="O655" s="4"/>
    </row>
    <row r="656" spans="15:15" ht="14.25" customHeight="1" x14ac:dyDescent="0.4">
      <c r="O656" s="4"/>
    </row>
    <row r="657" spans="15:15" ht="14.25" customHeight="1" x14ac:dyDescent="0.4">
      <c r="O657" s="4"/>
    </row>
    <row r="658" spans="15:15" ht="14.25" customHeight="1" x14ac:dyDescent="0.4">
      <c r="O658" s="4"/>
    </row>
    <row r="659" spans="15:15" ht="14.25" customHeight="1" x14ac:dyDescent="0.4">
      <c r="O659" s="4"/>
    </row>
    <row r="660" spans="15:15" ht="14.25" customHeight="1" x14ac:dyDescent="0.4">
      <c r="O660" s="4"/>
    </row>
    <row r="661" spans="15:15" ht="14.25" customHeight="1" x14ac:dyDescent="0.4">
      <c r="O661" s="4"/>
    </row>
    <row r="662" spans="15:15" ht="14.25" customHeight="1" x14ac:dyDescent="0.4">
      <c r="O662" s="4"/>
    </row>
    <row r="663" spans="15:15" ht="14.25" customHeight="1" x14ac:dyDescent="0.4">
      <c r="O663" s="4"/>
    </row>
    <row r="664" spans="15:15" ht="14.25" customHeight="1" x14ac:dyDescent="0.4">
      <c r="O664" s="4"/>
    </row>
    <row r="665" spans="15:15" ht="14.25" customHeight="1" x14ac:dyDescent="0.4">
      <c r="O665" s="4"/>
    </row>
    <row r="666" spans="15:15" ht="14.25" customHeight="1" x14ac:dyDescent="0.4">
      <c r="O666" s="4"/>
    </row>
    <row r="667" spans="15:15" ht="14.25" customHeight="1" x14ac:dyDescent="0.4">
      <c r="O667" s="4"/>
    </row>
    <row r="668" spans="15:15" ht="14.25" customHeight="1" x14ac:dyDescent="0.4">
      <c r="O668" s="4"/>
    </row>
    <row r="669" spans="15:15" ht="14.25" customHeight="1" x14ac:dyDescent="0.4">
      <c r="O669" s="4"/>
    </row>
    <row r="670" spans="15:15" ht="14.25" customHeight="1" x14ac:dyDescent="0.4">
      <c r="O670" s="4"/>
    </row>
    <row r="671" spans="15:15" ht="14.25" customHeight="1" x14ac:dyDescent="0.4">
      <c r="O671" s="4"/>
    </row>
    <row r="672" spans="15:15" ht="14.25" customHeight="1" x14ac:dyDescent="0.4">
      <c r="O672" s="4"/>
    </row>
    <row r="673" spans="15:15" ht="14.25" customHeight="1" x14ac:dyDescent="0.4">
      <c r="O673" s="4"/>
    </row>
    <row r="674" spans="15:15" ht="14.25" customHeight="1" x14ac:dyDescent="0.4">
      <c r="O674" s="4"/>
    </row>
    <row r="675" spans="15:15" ht="14.25" customHeight="1" x14ac:dyDescent="0.4">
      <c r="O675" s="4"/>
    </row>
    <row r="676" spans="15:15" ht="14.25" customHeight="1" x14ac:dyDescent="0.4">
      <c r="O676" s="4"/>
    </row>
    <row r="677" spans="15:15" ht="14.25" customHeight="1" x14ac:dyDescent="0.4">
      <c r="O677" s="4"/>
    </row>
    <row r="678" spans="15:15" ht="14.25" customHeight="1" x14ac:dyDescent="0.4">
      <c r="O678" s="4"/>
    </row>
    <row r="679" spans="15:15" ht="14.25" customHeight="1" x14ac:dyDescent="0.4">
      <c r="O679" s="4"/>
    </row>
    <row r="680" spans="15:15" ht="14.25" customHeight="1" x14ac:dyDescent="0.4">
      <c r="O680" s="4"/>
    </row>
    <row r="681" spans="15:15" ht="14.25" customHeight="1" x14ac:dyDescent="0.4">
      <c r="O681" s="4"/>
    </row>
    <row r="682" spans="15:15" ht="14.25" customHeight="1" x14ac:dyDescent="0.4">
      <c r="O682" s="4"/>
    </row>
    <row r="683" spans="15:15" ht="14.25" customHeight="1" x14ac:dyDescent="0.4">
      <c r="O683" s="4"/>
    </row>
    <row r="684" spans="15:15" ht="14.25" customHeight="1" x14ac:dyDescent="0.4">
      <c r="O684" s="4"/>
    </row>
    <row r="685" spans="15:15" ht="14.25" customHeight="1" x14ac:dyDescent="0.4">
      <c r="O685" s="4"/>
    </row>
    <row r="686" spans="15:15" ht="14.25" customHeight="1" x14ac:dyDescent="0.4">
      <c r="O686" s="4"/>
    </row>
    <row r="687" spans="15:15" ht="14.25" customHeight="1" x14ac:dyDescent="0.4">
      <c r="O687" s="4"/>
    </row>
    <row r="688" spans="15:15" ht="14.25" customHeight="1" x14ac:dyDescent="0.4">
      <c r="O688" s="4"/>
    </row>
    <row r="689" spans="15:15" ht="14.25" customHeight="1" x14ac:dyDescent="0.4">
      <c r="O689" s="4"/>
    </row>
    <row r="690" spans="15:15" ht="14.25" customHeight="1" x14ac:dyDescent="0.4">
      <c r="O690" s="4"/>
    </row>
    <row r="691" spans="15:15" ht="14.25" customHeight="1" x14ac:dyDescent="0.4">
      <c r="O691" s="4"/>
    </row>
    <row r="692" spans="15:15" ht="14.25" customHeight="1" x14ac:dyDescent="0.4">
      <c r="O692" s="4"/>
    </row>
    <row r="693" spans="15:15" ht="14.25" customHeight="1" x14ac:dyDescent="0.4">
      <c r="O693" s="4"/>
    </row>
    <row r="694" spans="15:15" ht="14.25" customHeight="1" x14ac:dyDescent="0.4">
      <c r="O694" s="4"/>
    </row>
    <row r="695" spans="15:15" ht="14.25" customHeight="1" x14ac:dyDescent="0.4">
      <c r="O695" s="4"/>
    </row>
    <row r="696" spans="15:15" ht="14.25" customHeight="1" x14ac:dyDescent="0.4">
      <c r="O696" s="4"/>
    </row>
    <row r="697" spans="15:15" ht="14.25" customHeight="1" x14ac:dyDescent="0.4">
      <c r="O697" s="4"/>
    </row>
    <row r="698" spans="15:15" ht="14.25" customHeight="1" x14ac:dyDescent="0.4">
      <c r="O698" s="4"/>
    </row>
    <row r="699" spans="15:15" ht="14.25" customHeight="1" x14ac:dyDescent="0.4">
      <c r="O699" s="4"/>
    </row>
    <row r="700" spans="15:15" ht="14.25" customHeight="1" x14ac:dyDescent="0.4">
      <c r="O700" s="4"/>
    </row>
    <row r="701" spans="15:15" ht="14.25" customHeight="1" x14ac:dyDescent="0.4">
      <c r="O701" s="4"/>
    </row>
    <row r="702" spans="15:15" ht="14.25" customHeight="1" x14ac:dyDescent="0.4">
      <c r="O702" s="4"/>
    </row>
    <row r="703" spans="15:15" ht="14.25" customHeight="1" x14ac:dyDescent="0.4">
      <c r="O703" s="4"/>
    </row>
    <row r="704" spans="15:15" ht="14.25" customHeight="1" x14ac:dyDescent="0.4">
      <c r="O704" s="4"/>
    </row>
    <row r="705" spans="15:15" ht="14.25" customHeight="1" x14ac:dyDescent="0.4">
      <c r="O705" s="4"/>
    </row>
    <row r="706" spans="15:15" ht="14.25" customHeight="1" x14ac:dyDescent="0.4">
      <c r="O706" s="4"/>
    </row>
    <row r="707" spans="15:15" ht="14.25" customHeight="1" x14ac:dyDescent="0.4">
      <c r="O707" s="4"/>
    </row>
    <row r="708" spans="15:15" ht="14.25" customHeight="1" x14ac:dyDescent="0.4">
      <c r="O708" s="4"/>
    </row>
    <row r="709" spans="15:15" ht="14.25" customHeight="1" x14ac:dyDescent="0.4">
      <c r="O709" s="4"/>
    </row>
    <row r="710" spans="15:15" ht="14.25" customHeight="1" x14ac:dyDescent="0.4">
      <c r="O710" s="4"/>
    </row>
    <row r="711" spans="15:15" ht="14.25" customHeight="1" x14ac:dyDescent="0.4">
      <c r="O711" s="4"/>
    </row>
    <row r="712" spans="15:15" ht="14.25" customHeight="1" x14ac:dyDescent="0.4">
      <c r="O712" s="4"/>
    </row>
    <row r="713" spans="15:15" ht="14.25" customHeight="1" x14ac:dyDescent="0.4">
      <c r="O713" s="4"/>
    </row>
    <row r="714" spans="15:15" ht="14.25" customHeight="1" x14ac:dyDescent="0.4">
      <c r="O714" s="4"/>
    </row>
    <row r="715" spans="15:15" ht="14.25" customHeight="1" x14ac:dyDescent="0.4">
      <c r="O715" s="4"/>
    </row>
    <row r="716" spans="15:15" ht="14.25" customHeight="1" x14ac:dyDescent="0.4">
      <c r="O716" s="4"/>
    </row>
    <row r="717" spans="15:15" ht="14.25" customHeight="1" x14ac:dyDescent="0.4">
      <c r="O717" s="4"/>
    </row>
    <row r="718" spans="15:15" ht="14.25" customHeight="1" x14ac:dyDescent="0.4">
      <c r="O718" s="4"/>
    </row>
    <row r="719" spans="15:15" ht="14.25" customHeight="1" x14ac:dyDescent="0.4">
      <c r="O719" s="4"/>
    </row>
    <row r="720" spans="15:15" ht="14.25" customHeight="1" x14ac:dyDescent="0.4">
      <c r="O720" s="4"/>
    </row>
    <row r="721" spans="15:15" ht="14.25" customHeight="1" x14ac:dyDescent="0.4">
      <c r="O721" s="4"/>
    </row>
    <row r="722" spans="15:15" ht="14.25" customHeight="1" x14ac:dyDescent="0.4">
      <c r="O722" s="4"/>
    </row>
    <row r="723" spans="15:15" ht="14.25" customHeight="1" x14ac:dyDescent="0.4">
      <c r="O723" s="4"/>
    </row>
    <row r="724" spans="15:15" ht="14.25" customHeight="1" x14ac:dyDescent="0.4">
      <c r="O724" s="4"/>
    </row>
    <row r="725" spans="15:15" ht="14.25" customHeight="1" x14ac:dyDescent="0.4">
      <c r="O725" s="4"/>
    </row>
    <row r="726" spans="15:15" ht="14.25" customHeight="1" x14ac:dyDescent="0.4">
      <c r="O726" s="4"/>
    </row>
    <row r="727" spans="15:15" ht="14.25" customHeight="1" x14ac:dyDescent="0.4">
      <c r="O727" s="4"/>
    </row>
    <row r="728" spans="15:15" ht="14.25" customHeight="1" x14ac:dyDescent="0.4">
      <c r="O728" s="4"/>
    </row>
    <row r="729" spans="15:15" ht="14.25" customHeight="1" x14ac:dyDescent="0.4">
      <c r="O729" s="4"/>
    </row>
    <row r="730" spans="15:15" ht="14.25" customHeight="1" x14ac:dyDescent="0.4">
      <c r="O730" s="4"/>
    </row>
    <row r="731" spans="15:15" ht="14.25" customHeight="1" x14ac:dyDescent="0.4">
      <c r="O731" s="4"/>
    </row>
    <row r="732" spans="15:15" ht="14.25" customHeight="1" x14ac:dyDescent="0.4">
      <c r="O732" s="4"/>
    </row>
    <row r="733" spans="15:15" ht="14.25" customHeight="1" x14ac:dyDescent="0.4">
      <c r="O733" s="4"/>
    </row>
    <row r="734" spans="15:15" ht="14.25" customHeight="1" x14ac:dyDescent="0.4">
      <c r="O734" s="4"/>
    </row>
    <row r="735" spans="15:15" ht="14.25" customHeight="1" x14ac:dyDescent="0.4">
      <c r="O735" s="4"/>
    </row>
    <row r="736" spans="15:15" ht="14.25" customHeight="1" x14ac:dyDescent="0.4">
      <c r="O736" s="4"/>
    </row>
    <row r="737" spans="15:15" ht="14.25" customHeight="1" x14ac:dyDescent="0.4">
      <c r="O737" s="4"/>
    </row>
    <row r="738" spans="15:15" ht="14.25" customHeight="1" x14ac:dyDescent="0.4">
      <c r="O738" s="4"/>
    </row>
    <row r="739" spans="15:15" ht="14.25" customHeight="1" x14ac:dyDescent="0.4">
      <c r="O739" s="4"/>
    </row>
    <row r="740" spans="15:15" ht="14.25" customHeight="1" x14ac:dyDescent="0.4">
      <c r="O740" s="4"/>
    </row>
    <row r="741" spans="15:15" ht="14.25" customHeight="1" x14ac:dyDescent="0.4">
      <c r="O741" s="4"/>
    </row>
    <row r="742" spans="15:15" ht="14.25" customHeight="1" x14ac:dyDescent="0.4">
      <c r="O742" s="4"/>
    </row>
    <row r="743" spans="15:15" ht="14.25" customHeight="1" x14ac:dyDescent="0.4">
      <c r="O743" s="4"/>
    </row>
    <row r="744" spans="15:15" ht="14.25" customHeight="1" x14ac:dyDescent="0.4">
      <c r="O744" s="4"/>
    </row>
    <row r="745" spans="15:15" ht="14.25" customHeight="1" x14ac:dyDescent="0.4">
      <c r="O745" s="4"/>
    </row>
    <row r="746" spans="15:15" ht="14.25" customHeight="1" x14ac:dyDescent="0.4">
      <c r="O746" s="4"/>
    </row>
    <row r="747" spans="15:15" ht="14.25" customHeight="1" x14ac:dyDescent="0.4">
      <c r="O747" s="4"/>
    </row>
    <row r="748" spans="15:15" ht="14.25" customHeight="1" x14ac:dyDescent="0.4">
      <c r="O748" s="4"/>
    </row>
    <row r="749" spans="15:15" ht="14.25" customHeight="1" x14ac:dyDescent="0.4">
      <c r="O749" s="4"/>
    </row>
    <row r="750" spans="15:15" ht="14.25" customHeight="1" x14ac:dyDescent="0.4">
      <c r="O750" s="4"/>
    </row>
    <row r="751" spans="15:15" ht="14.25" customHeight="1" x14ac:dyDescent="0.4">
      <c r="O751" s="4"/>
    </row>
    <row r="752" spans="15:15" ht="14.25" customHeight="1" x14ac:dyDescent="0.4">
      <c r="O752" s="4"/>
    </row>
    <row r="753" spans="15:15" ht="14.25" customHeight="1" x14ac:dyDescent="0.4">
      <c r="O753" s="4"/>
    </row>
    <row r="754" spans="15:15" ht="14.25" customHeight="1" x14ac:dyDescent="0.4">
      <c r="O754" s="4"/>
    </row>
    <row r="755" spans="15:15" ht="14.25" customHeight="1" x14ac:dyDescent="0.4">
      <c r="O755" s="4"/>
    </row>
    <row r="756" spans="15:15" ht="14.25" customHeight="1" x14ac:dyDescent="0.4">
      <c r="O756" s="4"/>
    </row>
    <row r="757" spans="15:15" ht="14.25" customHeight="1" x14ac:dyDescent="0.4">
      <c r="O757" s="4"/>
    </row>
    <row r="758" spans="15:15" ht="14.25" customHeight="1" x14ac:dyDescent="0.4">
      <c r="O758" s="4"/>
    </row>
    <row r="759" spans="15:15" ht="14.25" customHeight="1" x14ac:dyDescent="0.4">
      <c r="O759" s="4"/>
    </row>
    <row r="760" spans="15:15" ht="14.25" customHeight="1" x14ac:dyDescent="0.4">
      <c r="O760" s="4"/>
    </row>
    <row r="761" spans="15:15" ht="14.25" customHeight="1" x14ac:dyDescent="0.4">
      <c r="O761" s="4"/>
    </row>
    <row r="762" spans="15:15" ht="14.25" customHeight="1" x14ac:dyDescent="0.4">
      <c r="O762" s="4"/>
    </row>
    <row r="763" spans="15:15" ht="14.25" customHeight="1" x14ac:dyDescent="0.4">
      <c r="O763" s="4"/>
    </row>
    <row r="764" spans="15:15" ht="14.25" customHeight="1" x14ac:dyDescent="0.4">
      <c r="O764" s="4"/>
    </row>
    <row r="765" spans="15:15" ht="14.25" customHeight="1" x14ac:dyDescent="0.4">
      <c r="O765" s="4"/>
    </row>
    <row r="766" spans="15:15" ht="14.25" customHeight="1" x14ac:dyDescent="0.4">
      <c r="O766" s="4"/>
    </row>
  </sheetData>
  <sheetProtection autoFilter="0"/>
  <phoneticPr fontId="0" type="noConversion"/>
  <conditionalFormatting sqref="W472:W524">
    <cfRule type="expression" dxfId="24" priority="24" stopIfTrue="1">
      <formula>SEARCH("demo",Q472,1)&gt;0</formula>
    </cfRule>
  </conditionalFormatting>
  <conditionalFormatting sqref="W459:W471">
    <cfRule type="expression" dxfId="23" priority="25" stopIfTrue="1">
      <formula>SEARCH("demo",Q459,1)&gt;0</formula>
    </cfRule>
  </conditionalFormatting>
  <conditionalFormatting sqref="W83:W96 W153 W7:W70 W155:W458">
    <cfRule type="expression" dxfId="22" priority="26" stopIfTrue="1">
      <formula>SEARCH("demo",Q7,1)&gt;0</formula>
    </cfRule>
  </conditionalFormatting>
  <conditionalFormatting sqref="O238 Z6:Z397 O243:O306 Q6:W6 K137:K251 O51:O144 P198:P395 O147:O153 O198:O232 L281:M397 B6:J397 O309:O389 P18:Q153 O154:P197 R303:R389 L137:M279 S205:S236 Q154:Q397 R220:R221 R18:S114 N356:N397 R209:R213 R216:R218 R207 K343:K397 R223:R236 R237:S240 N18:N354 K288:K338 R205 U269:V281 U242:U268 N17:S17 R252:S292 S293 S298:S397 R300:R301 R115:R166 Q7:S16 K6:M136 N6:P16 O18:O48 U7:U240 S143:S166 R194:S204 R193 R190:S190 S191:S193 R191 R178:R182 R185:R187 R174 R176 R167:S173 S115:S141 S174:S189 U282:U397 R294:S297 R244:R245">
    <cfRule type="cellIs" dxfId="21" priority="22" stopIfTrue="1" operator="equal">
      <formula>0</formula>
    </cfRule>
  </conditionalFormatting>
  <conditionalFormatting sqref="W97:W135 W137:W152 W154 W71:W82">
    <cfRule type="expression" dxfId="20" priority="31" stopIfTrue="1">
      <formula>SEARCH("demo",#REF!,1)&gt;0</formula>
    </cfRule>
  </conditionalFormatting>
  <conditionalFormatting sqref="U241 S241:S251 R241:R243 R246:R251">
    <cfRule type="cellIs" dxfId="19" priority="3" stopIfTrue="1" operator="equal">
      <formula>0</formula>
    </cfRule>
  </conditionalFormatting>
  <conditionalFormatting sqref="R246:R251 S241:S251 R241:R243 U241">
    <cfRule type="cellIs" dxfId="18" priority="2" stopIfTrue="1" operator="equal">
      <formula>0</formula>
    </cfRule>
  </conditionalFormatting>
  <dataValidations count="2">
    <dataValidation type="list" allowBlank="1" showInputMessage="1" showErrorMessage="1" sqref="S7:S89 S91:S141 U7:U387 S143:S387" xr:uid="{00000000-0002-0000-0200-000000000000}">
      <formula1>Yes_No</formula1>
    </dataValidation>
    <dataValidation type="list" allowBlank="1" showInputMessage="1" showErrorMessage="1" sqref="J2" xr:uid="{00000000-0002-0000-0200-000001000000}">
      <formula1>SalesRep</formula1>
    </dataValidation>
  </dataValidations>
  <printOptions horizontalCentered="1" gridLines="1"/>
  <pageMargins left="0" right="0" top="0" bottom="0" header="0" footer="0"/>
  <pageSetup paperSize="3" scale="14" pageOrder="overThenDown" orientation="landscape" r:id="rId1"/>
  <headerFooter alignWithMargins="0"/>
  <colBreaks count="1" manualBreakCount="1">
    <brk id="2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2" r:id="rId4" name="Button 508">
              <controlPr defaultSize="0" print="0" autoFill="0" autoPict="0" macro="[0]!Module3.Rep">
                <anchor moveWithCells="1" sizeWithCells="1">
                  <from>
                    <xdr:col>6</xdr:col>
                    <xdr:colOff>163830</xdr:colOff>
                    <xdr:row>0</xdr:row>
                    <xdr:rowOff>87630</xdr:rowOff>
                  </from>
                  <to>
                    <xdr:col>8</xdr:col>
                    <xdr:colOff>419100</xdr:colOff>
                    <xdr:row>3</xdr:row>
                    <xdr:rowOff>49530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0" r:id="rId5" name="Button 1344">
              <controlPr defaultSize="0" print="0" autoFill="0" autoPict="0" macro="[0]!LogSort">
                <anchor moveWithCells="1" sizeWithCells="1">
                  <from>
                    <xdr:col>1</xdr:col>
                    <xdr:colOff>419100</xdr:colOff>
                    <xdr:row>1</xdr:row>
                    <xdr:rowOff>0</xdr:rowOff>
                  </from>
                  <to>
                    <xdr:col>4</xdr:col>
                    <xdr:colOff>259080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339966"/>
    <pageSetUpPr fitToPage="1"/>
  </sheetPr>
  <dimension ref="A1:AX767"/>
  <sheetViews>
    <sheetView topLeftCell="P1" zoomScaleNormal="100" zoomScaleSheetLayoutView="75" workbookViewId="0">
      <pane ySplit="6" topLeftCell="A7" activePane="bottomLeft" state="frozen"/>
      <selection activeCell="L64" sqref="L64"/>
      <selection pane="bottomLeft" activeCell="U5" sqref="U5"/>
    </sheetView>
  </sheetViews>
  <sheetFormatPr defaultColWidth="9.1640625" defaultRowHeight="14.25" customHeight="1" x14ac:dyDescent="0.4"/>
  <cols>
    <col min="1" max="1" width="12.83203125" customWidth="1"/>
    <col min="2" max="2" width="12.1640625" style="1" customWidth="1"/>
    <col min="3" max="3" width="3" style="1" hidden="1" customWidth="1"/>
    <col min="4" max="4" width="8.1640625" style="1" bestFit="1" customWidth="1"/>
    <col min="5" max="5" width="14.5546875" style="1" bestFit="1" customWidth="1"/>
    <col min="6" max="6" width="11.5546875" style="1" customWidth="1"/>
    <col min="7" max="7" width="8.5546875" style="1" customWidth="1"/>
    <col min="8" max="8" width="8.5546875" style="1" bestFit="1" customWidth="1"/>
    <col min="9" max="9" width="16" style="1" bestFit="1" customWidth="1"/>
    <col min="10" max="10" width="12.27734375" style="2" bestFit="1" customWidth="1"/>
    <col min="11" max="11" width="14.27734375" style="2" customWidth="1"/>
    <col min="12" max="12" width="12.27734375" style="2" customWidth="1"/>
    <col min="13" max="13" width="26.44140625" style="2" customWidth="1"/>
    <col min="14" max="14" width="18.71875" style="1" bestFit="1" customWidth="1"/>
    <col min="15" max="15" width="11.5546875" style="1" bestFit="1" customWidth="1"/>
    <col min="16" max="17" width="11" style="1" customWidth="1"/>
    <col min="18" max="18" width="22.5546875" style="1" bestFit="1" customWidth="1"/>
    <col min="19" max="19" width="32.44140625" style="3" bestFit="1" customWidth="1"/>
    <col min="20" max="21" width="11.71875" customWidth="1"/>
    <col min="22" max="23" width="10.71875" style="1" customWidth="1"/>
    <col min="24" max="24" width="10.71875" style="75" customWidth="1"/>
    <col min="25" max="25" width="13.71875" style="1" bestFit="1" customWidth="1"/>
    <col min="26" max="26" width="14.83203125" style="1" bestFit="1" customWidth="1"/>
    <col min="27" max="27" width="11.27734375" style="1" customWidth="1"/>
    <col min="28" max="28" width="13.1640625" style="1" bestFit="1" customWidth="1"/>
    <col min="29" max="33" width="9.1640625" style="1"/>
    <col min="34" max="34" width="8.83203125" customWidth="1"/>
    <col min="35" max="36" width="9.1640625" style="1"/>
    <col min="37" max="37" width="10" style="1" bestFit="1" customWidth="1"/>
    <col min="38" max="16384" width="9.1640625" style="1"/>
  </cols>
  <sheetData>
    <row r="1" spans="1:50" ht="39" customHeight="1" thickBot="1" x14ac:dyDescent="0.45">
      <c r="A1" s="13">
        <v>40391</v>
      </c>
      <c r="J1" s="10" t="s">
        <v>1832</v>
      </c>
      <c r="O1" s="1" t="s">
        <v>652</v>
      </c>
      <c r="S1" s="26" t="s">
        <v>548</v>
      </c>
      <c r="T1" s="26" t="s">
        <v>551</v>
      </c>
      <c r="U1" s="26"/>
      <c r="V1" s="26" t="s">
        <v>547</v>
      </c>
      <c r="W1" s="26"/>
      <c r="X1" s="26"/>
    </row>
    <row r="2" spans="1:50" ht="14.25" customHeight="1" thickBot="1" x14ac:dyDescent="0.45">
      <c r="J2" s="25" t="s">
        <v>524</v>
      </c>
      <c r="O2" s="4"/>
      <c r="X2" s="1"/>
    </row>
    <row r="3" spans="1:50" ht="14.25" customHeight="1" x14ac:dyDescent="0.4">
      <c r="O3" s="4"/>
      <c r="X3" s="1"/>
    </row>
    <row r="4" spans="1:50" ht="14.25" customHeight="1" x14ac:dyDescent="0.4">
      <c r="K4" s="2" t="s">
        <v>1318</v>
      </c>
      <c r="M4" s="2">
        <v>40185</v>
      </c>
      <c r="O4" s="1">
        <v>9110500</v>
      </c>
      <c r="X4" s="1"/>
    </row>
    <row r="5" spans="1:50" ht="14.25" customHeight="1" thickBot="1" x14ac:dyDescent="0.45">
      <c r="T5" s="31" t="s">
        <v>544</v>
      </c>
      <c r="U5" s="31"/>
      <c r="V5" s="31" t="s">
        <v>544</v>
      </c>
      <c r="X5" s="1"/>
      <c r="Y5" s="1">
        <v>0</v>
      </c>
    </row>
    <row r="6" spans="1:50" s="10" customFormat="1" ht="41.25" customHeight="1" thickBot="1" x14ac:dyDescent="0.45">
      <c r="A6" s="10" t="s">
        <v>598</v>
      </c>
      <c r="B6" s="39" t="s">
        <v>1823</v>
      </c>
      <c r="C6" s="19" t="s">
        <v>1824</v>
      </c>
      <c r="D6" s="19" t="s">
        <v>1825</v>
      </c>
      <c r="E6" s="19" t="s">
        <v>1826</v>
      </c>
      <c r="F6" s="19" t="s">
        <v>1828</v>
      </c>
      <c r="G6" s="19" t="s">
        <v>1829</v>
      </c>
      <c r="H6" s="21" t="s">
        <v>1830</v>
      </c>
      <c r="I6" s="21" t="s">
        <v>1831</v>
      </c>
      <c r="J6" s="107" t="s">
        <v>1962</v>
      </c>
      <c r="K6" s="10" t="s">
        <v>1832</v>
      </c>
      <c r="L6" s="10" t="s">
        <v>1833</v>
      </c>
      <c r="M6" s="10" t="s">
        <v>1834</v>
      </c>
      <c r="N6" s="10" t="s">
        <v>1835</v>
      </c>
      <c r="O6" s="10" t="s">
        <v>1847</v>
      </c>
      <c r="P6" s="10" t="s">
        <v>1848</v>
      </c>
      <c r="Q6" s="10" t="s">
        <v>2149</v>
      </c>
      <c r="R6" s="10" t="s">
        <v>1849</v>
      </c>
      <c r="S6" s="10" t="s">
        <v>1850</v>
      </c>
      <c r="T6" s="41" t="s">
        <v>1851</v>
      </c>
      <c r="U6" s="10" t="s">
        <v>1852</v>
      </c>
      <c r="V6" s="41" t="s">
        <v>1858</v>
      </c>
      <c r="W6" s="73" t="s">
        <v>1870</v>
      </c>
      <c r="X6" s="10" t="s">
        <v>1871</v>
      </c>
      <c r="Y6" s="10" t="s">
        <v>1872</v>
      </c>
      <c r="Z6" s="19" t="s">
        <v>1873</v>
      </c>
      <c r="AA6" s="39" t="s">
        <v>1877</v>
      </c>
      <c r="AB6" s="19" t="s">
        <v>1829</v>
      </c>
      <c r="AD6" s="19"/>
      <c r="AE6" s="19"/>
      <c r="AF6" s="19"/>
      <c r="AG6" s="21"/>
      <c r="AH6" s="21"/>
      <c r="AR6" s="41"/>
      <c r="AT6" s="41"/>
      <c r="AU6" s="73"/>
      <c r="AX6" s="19"/>
    </row>
    <row r="7" spans="1:50" s="16" customFormat="1" ht="14.25" customHeight="1" thickTop="1" x14ac:dyDescent="0.4">
      <c r="A7"/>
      <c r="B7" s="22">
        <v>0</v>
      </c>
      <c r="C7" s="22" t="s">
        <v>2165</v>
      </c>
      <c r="D7" s="22">
        <v>0</v>
      </c>
      <c r="E7" s="24">
        <v>40476</v>
      </c>
      <c r="F7" s="24" t="s">
        <v>393</v>
      </c>
      <c r="G7" s="24">
        <v>40479</v>
      </c>
      <c r="H7" s="37">
        <v>41</v>
      </c>
      <c r="I7" s="23" t="e">
        <v>#REF!</v>
      </c>
      <c r="J7" s="37" t="e">
        <v>#REF!</v>
      </c>
      <c r="K7" s="24" t="s">
        <v>1367</v>
      </c>
      <c r="L7" s="24" t="s">
        <v>1993</v>
      </c>
      <c r="M7" s="24">
        <v>40403</v>
      </c>
      <c r="N7" s="22" t="s">
        <v>671</v>
      </c>
      <c r="O7" s="4">
        <v>9110174</v>
      </c>
      <c r="P7" s="22">
        <v>1020</v>
      </c>
      <c r="Q7" s="22">
        <v>42</v>
      </c>
      <c r="R7" s="22" t="s">
        <v>299</v>
      </c>
      <c r="S7" s="4" t="s">
        <v>1894</v>
      </c>
      <c r="T7" s="4" t="s">
        <v>404</v>
      </c>
      <c r="U7" s="59">
        <v>40405</v>
      </c>
      <c r="V7" s="4" t="s">
        <v>404</v>
      </c>
      <c r="W7" s="57">
        <v>40500</v>
      </c>
      <c r="X7" s="74"/>
      <c r="Y7" s="28"/>
      <c r="Z7" s="28"/>
      <c r="AA7" s="24" t="s">
        <v>393</v>
      </c>
      <c r="AB7" s="28">
        <v>40479</v>
      </c>
      <c r="AC7" s="69"/>
      <c r="AJ7" s="10" t="s">
        <v>1456</v>
      </c>
      <c r="AK7" s="10" t="s">
        <v>1451</v>
      </c>
    </row>
    <row r="8" spans="1:50" s="16" customFormat="1" ht="14.25" customHeight="1" x14ac:dyDescent="0.4">
      <c r="A8" s="4"/>
      <c r="B8" s="22">
        <v>0</v>
      </c>
      <c r="C8" s="22" t="s">
        <v>2165</v>
      </c>
      <c r="D8" s="22">
        <v>0</v>
      </c>
      <c r="E8" s="24">
        <v>40477</v>
      </c>
      <c r="F8" s="24" t="s">
        <v>393</v>
      </c>
      <c r="G8" s="24">
        <v>0</v>
      </c>
      <c r="H8" s="37">
        <v>42</v>
      </c>
      <c r="I8" s="23" t="e">
        <v>#REF!</v>
      </c>
      <c r="J8" s="37" t="e">
        <v>#REF!</v>
      </c>
      <c r="K8" s="24" t="s">
        <v>1367</v>
      </c>
      <c r="L8" s="24" t="s">
        <v>1993</v>
      </c>
      <c r="M8" s="24">
        <v>40403</v>
      </c>
      <c r="N8" s="22" t="s">
        <v>671</v>
      </c>
      <c r="O8" s="4">
        <v>9110175</v>
      </c>
      <c r="P8" s="22">
        <v>1020</v>
      </c>
      <c r="Q8" s="22">
        <v>42</v>
      </c>
      <c r="R8" s="22" t="s">
        <v>300</v>
      </c>
      <c r="S8" s="4" t="s">
        <v>2114</v>
      </c>
      <c r="T8" s="38" t="s">
        <v>404</v>
      </c>
      <c r="U8" s="44">
        <v>40787</v>
      </c>
      <c r="V8" s="38" t="s">
        <v>404</v>
      </c>
      <c r="W8" s="44">
        <v>40787</v>
      </c>
      <c r="X8" s="74"/>
      <c r="Y8" s="28"/>
      <c r="Z8" s="9"/>
      <c r="AA8" s="24" t="s">
        <v>393</v>
      </c>
      <c r="AB8" s="28">
        <v>0</v>
      </c>
      <c r="AC8" s="69"/>
      <c r="AI8" s="13">
        <v>40330</v>
      </c>
      <c r="AJ8" s="16">
        <v>3</v>
      </c>
      <c r="AK8" s="16">
        <v>0</v>
      </c>
    </row>
    <row r="9" spans="1:50" ht="14.25" customHeight="1" x14ac:dyDescent="0.4">
      <c r="B9" s="22">
        <v>0</v>
      </c>
      <c r="C9" s="22">
        <v>0</v>
      </c>
      <c r="D9" s="22">
        <v>0</v>
      </c>
      <c r="E9" s="24">
        <v>40620</v>
      </c>
      <c r="F9" s="24" t="s">
        <v>393</v>
      </c>
      <c r="G9" s="24">
        <v>40624</v>
      </c>
      <c r="H9" s="37">
        <v>240</v>
      </c>
      <c r="I9" s="23" t="s">
        <v>2001</v>
      </c>
      <c r="J9" s="37">
        <v>42</v>
      </c>
      <c r="K9" s="24" t="s">
        <v>1367</v>
      </c>
      <c r="L9" s="24" t="s">
        <v>2785</v>
      </c>
      <c r="M9" s="24">
        <v>40403</v>
      </c>
      <c r="N9" s="22" t="s">
        <v>671</v>
      </c>
      <c r="O9" s="4">
        <v>9110176</v>
      </c>
      <c r="P9" s="22">
        <v>1020</v>
      </c>
      <c r="Q9" s="22">
        <v>50</v>
      </c>
      <c r="R9" s="22" t="s">
        <v>301</v>
      </c>
      <c r="S9" s="47" t="s">
        <v>2010</v>
      </c>
      <c r="T9" s="3" t="s">
        <v>404</v>
      </c>
      <c r="U9" s="42">
        <v>40522</v>
      </c>
      <c r="V9" s="38" t="s">
        <v>404</v>
      </c>
      <c r="W9" s="28">
        <v>40634</v>
      </c>
      <c r="X9" s="74"/>
      <c r="Y9" s="28"/>
      <c r="Z9" s="9"/>
      <c r="AA9" s="24" t="s">
        <v>393</v>
      </c>
      <c r="AB9" s="28">
        <v>40624</v>
      </c>
      <c r="AC9" s="69"/>
      <c r="AI9" s="13">
        <v>40360</v>
      </c>
      <c r="AJ9" s="16">
        <v>20</v>
      </c>
      <c r="AK9" s="16">
        <v>0</v>
      </c>
    </row>
    <row r="10" spans="1:50" ht="14.25" customHeight="1" x14ac:dyDescent="0.4">
      <c r="B10" s="22">
        <v>0</v>
      </c>
      <c r="C10" s="22">
        <v>0</v>
      </c>
      <c r="D10" s="22">
        <v>0</v>
      </c>
      <c r="E10" s="24">
        <v>40710</v>
      </c>
      <c r="F10" s="24" t="s">
        <v>393</v>
      </c>
      <c r="G10" s="24">
        <v>40718</v>
      </c>
      <c r="H10" s="37">
        <v>403</v>
      </c>
      <c r="I10" s="23" t="s">
        <v>2004</v>
      </c>
      <c r="J10" s="37">
        <v>17</v>
      </c>
      <c r="K10" s="24" t="s">
        <v>1367</v>
      </c>
      <c r="L10" s="24" t="s">
        <v>2785</v>
      </c>
      <c r="M10" s="24">
        <v>40403</v>
      </c>
      <c r="N10" s="22" t="s">
        <v>671</v>
      </c>
      <c r="O10" s="4">
        <v>9110177</v>
      </c>
      <c r="P10" s="22">
        <v>1020</v>
      </c>
      <c r="Q10" s="22">
        <v>50</v>
      </c>
      <c r="R10" s="22" t="s">
        <v>302</v>
      </c>
      <c r="S10" s="47" t="s">
        <v>81</v>
      </c>
      <c r="T10" s="3" t="s">
        <v>404</v>
      </c>
      <c r="U10" s="42">
        <v>40616</v>
      </c>
      <c r="V10" s="3"/>
      <c r="W10" s="28">
        <v>40739</v>
      </c>
      <c r="X10" s="74"/>
      <c r="Y10" s="28"/>
      <c r="Z10" s="28"/>
      <c r="AA10" s="24" t="s">
        <v>393</v>
      </c>
      <c r="AB10" s="28">
        <v>40718</v>
      </c>
      <c r="AC10" s="69"/>
      <c r="AI10" s="13">
        <v>40391</v>
      </c>
      <c r="AJ10" s="16">
        <v>297</v>
      </c>
      <c r="AK10" s="16">
        <v>13</v>
      </c>
    </row>
    <row r="11" spans="1:50" ht="14.25" customHeight="1" x14ac:dyDescent="0.4">
      <c r="B11" s="22">
        <v>0</v>
      </c>
      <c r="C11" s="22">
        <v>0</v>
      </c>
      <c r="D11" s="22">
        <v>0</v>
      </c>
      <c r="E11" s="24">
        <v>40620</v>
      </c>
      <c r="F11" s="24" t="s">
        <v>393</v>
      </c>
      <c r="G11" s="24">
        <v>40623</v>
      </c>
      <c r="H11" s="37">
        <v>239</v>
      </c>
      <c r="I11" s="23" t="s">
        <v>2001</v>
      </c>
      <c r="J11" s="37">
        <v>41</v>
      </c>
      <c r="K11" s="24" t="s">
        <v>1367</v>
      </c>
      <c r="L11" s="24" t="s">
        <v>2786</v>
      </c>
      <c r="M11" s="24">
        <v>40403</v>
      </c>
      <c r="N11" s="22" t="s">
        <v>671</v>
      </c>
      <c r="O11" s="4">
        <v>9110178</v>
      </c>
      <c r="P11" s="22">
        <v>1020</v>
      </c>
      <c r="Q11" s="22">
        <v>42</v>
      </c>
      <c r="R11" s="22" t="s">
        <v>303</v>
      </c>
      <c r="S11" s="4" t="s">
        <v>1959</v>
      </c>
      <c r="T11" s="4" t="s">
        <v>404</v>
      </c>
      <c r="U11" s="9">
        <v>40484</v>
      </c>
      <c r="V11" s="4" t="s">
        <v>404</v>
      </c>
      <c r="W11" s="9">
        <v>40648</v>
      </c>
      <c r="Y11" s="28"/>
      <c r="Z11" s="28"/>
      <c r="AA11" s="24" t="s">
        <v>393</v>
      </c>
      <c r="AB11" s="28">
        <v>40623</v>
      </c>
      <c r="AC11" s="69"/>
      <c r="AI11" s="13">
        <v>40422</v>
      </c>
      <c r="AJ11" s="16">
        <v>24</v>
      </c>
      <c r="AK11" s="16">
        <v>41</v>
      </c>
    </row>
    <row r="12" spans="1:50" ht="14.25" customHeight="1" x14ac:dyDescent="0.4">
      <c r="A12" s="4"/>
      <c r="B12" s="24">
        <v>40604</v>
      </c>
      <c r="C12" s="24">
        <v>40604</v>
      </c>
      <c r="D12" s="24">
        <v>40604</v>
      </c>
      <c r="E12" s="24">
        <v>40604</v>
      </c>
      <c r="F12" s="24" t="s">
        <v>393</v>
      </c>
      <c r="G12" s="24">
        <v>40605</v>
      </c>
      <c r="H12" s="37">
        <v>202</v>
      </c>
      <c r="I12" s="23" t="s">
        <v>2001</v>
      </c>
      <c r="J12" s="37">
        <v>4</v>
      </c>
      <c r="K12" s="24" t="s">
        <v>1367</v>
      </c>
      <c r="L12" s="24">
        <v>0</v>
      </c>
      <c r="M12" s="24">
        <v>40435</v>
      </c>
      <c r="N12" s="22" t="s">
        <v>671</v>
      </c>
      <c r="O12" s="4">
        <v>9110367</v>
      </c>
      <c r="P12" s="22">
        <v>1020</v>
      </c>
      <c r="Q12" s="22">
        <v>42</v>
      </c>
      <c r="R12" s="22" t="s">
        <v>1933</v>
      </c>
      <c r="S12" s="4" t="s">
        <v>1933</v>
      </c>
      <c r="T12" s="38" t="s">
        <v>404</v>
      </c>
      <c r="U12" s="44">
        <v>40451</v>
      </c>
      <c r="V12" s="38" t="s">
        <v>404</v>
      </c>
      <c r="W12" s="9">
        <v>40634</v>
      </c>
      <c r="X12" s="74">
        <v>0</v>
      </c>
      <c r="Y12" s="28"/>
      <c r="Z12" s="9"/>
      <c r="AA12" s="24" t="s">
        <v>393</v>
      </c>
      <c r="AB12" s="28">
        <v>40605</v>
      </c>
      <c r="AC12" s="69"/>
      <c r="AI12" s="13">
        <v>40452</v>
      </c>
      <c r="AJ12" s="16">
        <v>22</v>
      </c>
      <c r="AK12" s="16">
        <v>23</v>
      </c>
    </row>
    <row r="13" spans="1:50" ht="14.25" customHeight="1" x14ac:dyDescent="0.4">
      <c r="B13" s="24">
        <v>40603</v>
      </c>
      <c r="C13" s="24">
        <v>40603</v>
      </c>
      <c r="D13" s="24">
        <v>40603</v>
      </c>
      <c r="E13" s="24">
        <v>40603</v>
      </c>
      <c r="F13" s="24" t="s">
        <v>393</v>
      </c>
      <c r="G13" s="24">
        <v>40606</v>
      </c>
      <c r="H13" s="37">
        <v>201</v>
      </c>
      <c r="I13" s="23" t="s">
        <v>2001</v>
      </c>
      <c r="J13" s="37">
        <v>3</v>
      </c>
      <c r="K13" s="24" t="s">
        <v>1367</v>
      </c>
      <c r="L13" s="24" t="s">
        <v>2001</v>
      </c>
      <c r="M13" s="24">
        <v>40505</v>
      </c>
      <c r="N13" s="22" t="s">
        <v>671</v>
      </c>
      <c r="O13" s="4">
        <v>9110393</v>
      </c>
      <c r="P13" s="22">
        <v>1220</v>
      </c>
      <c r="Q13" s="22">
        <v>50</v>
      </c>
      <c r="R13" s="22" t="s">
        <v>304</v>
      </c>
      <c r="S13" s="4" t="s">
        <v>1978</v>
      </c>
      <c r="T13" s="38" t="s">
        <v>404</v>
      </c>
      <c r="U13" s="44">
        <v>40514</v>
      </c>
      <c r="V13" s="38" t="s">
        <v>404</v>
      </c>
      <c r="W13" s="9">
        <v>40648</v>
      </c>
      <c r="X13" s="74">
        <v>0</v>
      </c>
      <c r="Y13" s="28"/>
      <c r="Z13" s="9"/>
      <c r="AA13" s="24" t="s">
        <v>393</v>
      </c>
      <c r="AB13" s="28">
        <v>40606</v>
      </c>
      <c r="AC13" s="69"/>
      <c r="AI13" s="13">
        <v>40483</v>
      </c>
      <c r="AJ13" s="16">
        <v>2</v>
      </c>
      <c r="AK13" s="16">
        <v>25</v>
      </c>
    </row>
    <row r="14" spans="1:50" ht="14.25" customHeight="1" x14ac:dyDescent="0.4">
      <c r="B14" s="24">
        <v>40631</v>
      </c>
      <c r="C14" s="24">
        <v>40631</v>
      </c>
      <c r="D14" s="24">
        <v>40631</v>
      </c>
      <c r="E14" s="24">
        <v>40631</v>
      </c>
      <c r="F14" s="24" t="s">
        <v>393</v>
      </c>
      <c r="G14" s="24">
        <v>40634</v>
      </c>
      <c r="H14" s="37">
        <v>259</v>
      </c>
      <c r="I14" s="23" t="s">
        <v>2001</v>
      </c>
      <c r="J14" s="37">
        <v>61</v>
      </c>
      <c r="K14" s="24" t="s">
        <v>1367</v>
      </c>
      <c r="L14" s="24" t="s">
        <v>2002</v>
      </c>
      <c r="M14" s="24">
        <v>40529</v>
      </c>
      <c r="N14" s="22" t="s">
        <v>671</v>
      </c>
      <c r="O14" s="4">
        <v>9110500</v>
      </c>
      <c r="P14" s="22">
        <v>1020</v>
      </c>
      <c r="Q14" s="22">
        <v>42</v>
      </c>
      <c r="R14" s="22" t="s">
        <v>305</v>
      </c>
      <c r="S14" s="4" t="s">
        <v>1695</v>
      </c>
      <c r="T14" s="38" t="s">
        <v>404</v>
      </c>
      <c r="U14" s="9">
        <v>40529</v>
      </c>
      <c r="V14" s="38" t="s">
        <v>404</v>
      </c>
      <c r="W14" s="9">
        <v>40663</v>
      </c>
      <c r="X14" s="74">
        <v>0</v>
      </c>
      <c r="Y14" s="28"/>
      <c r="Z14" s="9"/>
      <c r="AA14" s="24" t="s">
        <v>393</v>
      </c>
      <c r="AB14" s="28">
        <v>40634</v>
      </c>
      <c r="AC14" s="69"/>
      <c r="AI14" s="13">
        <v>40513</v>
      </c>
      <c r="AJ14" s="16">
        <v>21</v>
      </c>
      <c r="AK14" s="16">
        <v>62</v>
      </c>
    </row>
    <row r="15" spans="1:50" ht="14.25" customHeight="1" x14ac:dyDescent="0.4">
      <c r="B15" s="24">
        <v>40680</v>
      </c>
      <c r="C15" s="24">
        <v>40680</v>
      </c>
      <c r="D15" s="24">
        <v>40680</v>
      </c>
      <c r="E15" s="24">
        <v>40680</v>
      </c>
      <c r="F15" s="24" t="s">
        <v>393</v>
      </c>
      <c r="G15" s="24">
        <v>40690</v>
      </c>
      <c r="H15" s="37">
        <v>363</v>
      </c>
      <c r="I15" s="23" t="s">
        <v>2003</v>
      </c>
      <c r="J15" s="37">
        <v>33</v>
      </c>
      <c r="K15" s="24" t="s">
        <v>1367</v>
      </c>
      <c r="L15" s="24">
        <v>0</v>
      </c>
      <c r="M15" s="24">
        <v>40645</v>
      </c>
      <c r="N15" s="22" t="s">
        <v>671</v>
      </c>
      <c r="O15" s="4">
        <v>9110438</v>
      </c>
      <c r="P15" s="22">
        <v>1020</v>
      </c>
      <c r="Q15" s="22">
        <v>42</v>
      </c>
      <c r="R15" s="22" t="s">
        <v>306</v>
      </c>
      <c r="S15" s="3" t="s">
        <v>127</v>
      </c>
      <c r="T15" s="38" t="s">
        <v>404</v>
      </c>
      <c r="U15" s="13">
        <v>40643</v>
      </c>
      <c r="V15" s="1" t="s">
        <v>404</v>
      </c>
      <c r="W15" s="43">
        <v>40709</v>
      </c>
      <c r="Y15" s="28"/>
      <c r="AA15" s="24" t="s">
        <v>393</v>
      </c>
      <c r="AB15" s="28">
        <v>40690</v>
      </c>
      <c r="AC15" s="69"/>
      <c r="AI15" s="13">
        <v>40544</v>
      </c>
      <c r="AJ15" s="16">
        <v>9</v>
      </c>
      <c r="AK15" s="16">
        <v>26</v>
      </c>
    </row>
    <row r="16" spans="1:50" ht="14.25" customHeight="1" x14ac:dyDescent="0.4">
      <c r="B16" s="24">
        <v>40675</v>
      </c>
      <c r="C16" s="24">
        <v>40675</v>
      </c>
      <c r="D16" s="24">
        <v>40675</v>
      </c>
      <c r="E16" s="24">
        <v>40675</v>
      </c>
      <c r="F16" s="24" t="s">
        <v>393</v>
      </c>
      <c r="G16" s="24">
        <v>40690</v>
      </c>
      <c r="H16" s="37">
        <v>352</v>
      </c>
      <c r="I16" s="23" t="s">
        <v>2003</v>
      </c>
      <c r="J16" s="37">
        <v>22</v>
      </c>
      <c r="K16" s="24" t="s">
        <v>1367</v>
      </c>
      <c r="L16" s="24">
        <v>0</v>
      </c>
      <c r="M16" s="24">
        <v>40645</v>
      </c>
      <c r="N16" s="22" t="s">
        <v>671</v>
      </c>
      <c r="O16" s="4">
        <v>9110439</v>
      </c>
      <c r="P16" s="22">
        <v>720</v>
      </c>
      <c r="Q16" s="22">
        <v>42</v>
      </c>
      <c r="R16" s="22" t="s">
        <v>307</v>
      </c>
      <c r="S16" s="3" t="s">
        <v>128</v>
      </c>
      <c r="T16" s="38" t="s">
        <v>404</v>
      </c>
      <c r="U16" s="13">
        <v>40643</v>
      </c>
      <c r="V16" s="1" t="s">
        <v>404</v>
      </c>
      <c r="W16" s="43">
        <v>40709</v>
      </c>
      <c r="Y16" s="28"/>
      <c r="AA16" s="24" t="s">
        <v>393</v>
      </c>
      <c r="AB16" s="28">
        <v>40690</v>
      </c>
      <c r="AC16" s="69"/>
      <c r="AI16" s="13">
        <v>40575</v>
      </c>
      <c r="AJ16" s="16">
        <v>7</v>
      </c>
      <c r="AK16" s="16">
        <v>39</v>
      </c>
    </row>
    <row r="17" spans="1:37" ht="14.25" customHeight="1" x14ac:dyDescent="0.4">
      <c r="B17" s="22">
        <v>0</v>
      </c>
      <c r="C17" s="22" t="s">
        <v>2165</v>
      </c>
      <c r="D17" s="22">
        <v>0</v>
      </c>
      <c r="E17" s="24">
        <v>40406</v>
      </c>
      <c r="F17" s="24" t="s">
        <v>393</v>
      </c>
      <c r="G17" s="24">
        <v>40438</v>
      </c>
      <c r="H17" s="37">
        <v>4</v>
      </c>
      <c r="I17" s="23" t="e">
        <v>#REF!</v>
      </c>
      <c r="J17" s="37" t="e">
        <v>#REF!</v>
      </c>
      <c r="K17" s="24" t="s">
        <v>1367</v>
      </c>
      <c r="L17" s="24">
        <v>40435</v>
      </c>
      <c r="M17" s="24">
        <v>40385</v>
      </c>
      <c r="N17" s="22" t="s">
        <v>585</v>
      </c>
      <c r="O17" s="4">
        <v>9110034</v>
      </c>
      <c r="P17" s="22">
        <v>1020</v>
      </c>
      <c r="Q17" s="22">
        <v>42</v>
      </c>
      <c r="R17" s="22" t="s">
        <v>308</v>
      </c>
      <c r="S17" s="4" t="s">
        <v>198</v>
      </c>
      <c r="T17" s="38" t="s">
        <v>404</v>
      </c>
      <c r="U17" s="28">
        <v>40626</v>
      </c>
      <c r="V17" s="3" t="s">
        <v>404</v>
      </c>
      <c r="W17" s="28" t="s">
        <v>282</v>
      </c>
      <c r="X17" s="74"/>
      <c r="Y17" s="28"/>
      <c r="Z17" s="28"/>
      <c r="AA17" s="24" t="s">
        <v>393</v>
      </c>
      <c r="AB17" s="28">
        <v>40438</v>
      </c>
      <c r="AC17" s="69"/>
      <c r="AI17" s="13">
        <v>40603</v>
      </c>
      <c r="AJ17" s="16">
        <v>9</v>
      </c>
      <c r="AK17" s="16">
        <v>33</v>
      </c>
    </row>
    <row r="18" spans="1:37" ht="14.25" customHeight="1" x14ac:dyDescent="0.4">
      <c r="A18" s="4"/>
      <c r="B18" s="22">
        <v>0</v>
      </c>
      <c r="C18" s="22" t="s">
        <v>2102</v>
      </c>
      <c r="D18" s="22">
        <v>0</v>
      </c>
      <c r="E18" s="24">
        <v>40400</v>
      </c>
      <c r="F18" s="24" t="s">
        <v>393</v>
      </c>
      <c r="G18" s="24">
        <v>40417</v>
      </c>
      <c r="H18" s="37">
        <v>1</v>
      </c>
      <c r="I18" s="23" t="e">
        <v>#REF!</v>
      </c>
      <c r="J18" s="37">
        <v>1</v>
      </c>
      <c r="K18" s="24" t="s">
        <v>1367</v>
      </c>
      <c r="L18" s="24">
        <v>40435</v>
      </c>
      <c r="M18" s="24">
        <v>40385</v>
      </c>
      <c r="N18" s="22" t="s">
        <v>585</v>
      </c>
      <c r="O18" s="4">
        <v>9110035</v>
      </c>
      <c r="P18" s="22">
        <v>720</v>
      </c>
      <c r="Q18" s="22">
        <v>42</v>
      </c>
      <c r="R18" s="22" t="s">
        <v>309</v>
      </c>
      <c r="S18" s="4" t="s">
        <v>199</v>
      </c>
      <c r="T18" s="38" t="s">
        <v>404</v>
      </c>
      <c r="U18" s="43">
        <v>40626</v>
      </c>
      <c r="V18" s="4" t="s">
        <v>404</v>
      </c>
      <c r="W18" s="57">
        <v>40694</v>
      </c>
      <c r="X18" s="74"/>
      <c r="Y18" s="28"/>
      <c r="Z18" s="9"/>
      <c r="AA18" s="24" t="s">
        <v>393</v>
      </c>
      <c r="AB18" s="28">
        <v>40417</v>
      </c>
      <c r="AC18" s="69"/>
      <c r="AI18" s="13">
        <v>40634</v>
      </c>
      <c r="AJ18" s="16">
        <v>10</v>
      </c>
      <c r="AK18" s="16">
        <v>32</v>
      </c>
    </row>
    <row r="19" spans="1:37" ht="14.25" customHeight="1" x14ac:dyDescent="0.4">
      <c r="B19" s="22">
        <v>0</v>
      </c>
      <c r="C19" s="22" t="s">
        <v>2165</v>
      </c>
      <c r="D19" s="22">
        <v>0</v>
      </c>
      <c r="E19" s="24">
        <v>40485</v>
      </c>
      <c r="F19" s="24" t="s">
        <v>393</v>
      </c>
      <c r="G19" s="24">
        <v>40493</v>
      </c>
      <c r="H19" s="37">
        <v>55</v>
      </c>
      <c r="I19" s="23" t="e">
        <v>#REF!</v>
      </c>
      <c r="J19" s="37" t="e">
        <v>#REF!</v>
      </c>
      <c r="K19" s="24" t="s">
        <v>1367</v>
      </c>
      <c r="L19" s="24" t="s">
        <v>1993</v>
      </c>
      <c r="M19" s="24">
        <v>40402</v>
      </c>
      <c r="N19" s="22" t="s">
        <v>585</v>
      </c>
      <c r="O19" s="4">
        <v>9110085</v>
      </c>
      <c r="P19" s="22">
        <v>1020</v>
      </c>
      <c r="Q19" s="22">
        <v>42</v>
      </c>
      <c r="R19" s="22" t="s">
        <v>310</v>
      </c>
      <c r="S19" s="1" t="s">
        <v>1895</v>
      </c>
      <c r="T19" s="91" t="s">
        <v>404</v>
      </c>
      <c r="U19" s="92">
        <v>40405</v>
      </c>
      <c r="V19" s="38" t="s">
        <v>404</v>
      </c>
      <c r="W19" s="92">
        <v>40513</v>
      </c>
      <c r="X19" s="74"/>
      <c r="Y19" s="28"/>
      <c r="Z19" s="28"/>
      <c r="AA19" s="24" t="s">
        <v>393</v>
      </c>
      <c r="AB19" s="28">
        <v>40493</v>
      </c>
      <c r="AC19" s="69"/>
      <c r="AI19" s="13">
        <v>40664</v>
      </c>
      <c r="AJ19" s="16">
        <v>1</v>
      </c>
      <c r="AK19" s="16">
        <v>18</v>
      </c>
    </row>
    <row r="20" spans="1:37" ht="14.25" customHeight="1" x14ac:dyDescent="0.4">
      <c r="B20" s="22">
        <v>0</v>
      </c>
      <c r="C20" s="22" t="s">
        <v>2102</v>
      </c>
      <c r="D20" s="22">
        <v>0</v>
      </c>
      <c r="E20" s="24">
        <v>40435</v>
      </c>
      <c r="F20" s="24" t="s">
        <v>393</v>
      </c>
      <c r="G20" s="24">
        <v>40451</v>
      </c>
      <c r="H20" s="37">
        <v>10</v>
      </c>
      <c r="I20" s="23" t="s">
        <v>1992</v>
      </c>
      <c r="J20" s="37" t="e">
        <v>#REF!</v>
      </c>
      <c r="K20" s="24" t="s">
        <v>1367</v>
      </c>
      <c r="L20" s="24" t="s">
        <v>2787</v>
      </c>
      <c r="M20" s="24">
        <v>40402</v>
      </c>
      <c r="N20" s="22" t="s">
        <v>585</v>
      </c>
      <c r="O20" s="4">
        <v>9110086</v>
      </c>
      <c r="P20" s="22">
        <v>1020</v>
      </c>
      <c r="Q20" s="22">
        <v>42</v>
      </c>
      <c r="R20" s="22" t="s">
        <v>311</v>
      </c>
      <c r="S20" s="1" t="s">
        <v>1896</v>
      </c>
      <c r="T20" s="91" t="s">
        <v>404</v>
      </c>
      <c r="U20" s="92">
        <v>40424</v>
      </c>
      <c r="V20" s="38" t="s">
        <v>404</v>
      </c>
      <c r="W20" s="92">
        <v>40452</v>
      </c>
      <c r="X20" s="74"/>
      <c r="Y20" s="28"/>
      <c r="Z20" s="28"/>
      <c r="AA20" s="24" t="s">
        <v>393</v>
      </c>
      <c r="AB20" s="28">
        <v>40451</v>
      </c>
      <c r="AC20" s="69"/>
      <c r="AI20" s="13">
        <v>40695</v>
      </c>
      <c r="AJ20" s="16">
        <v>0</v>
      </c>
      <c r="AK20" s="16">
        <v>16</v>
      </c>
    </row>
    <row r="21" spans="1:37" ht="14.25" customHeight="1" x14ac:dyDescent="0.4">
      <c r="B21" s="22">
        <v>0</v>
      </c>
      <c r="C21" s="22" t="s">
        <v>2102</v>
      </c>
      <c r="D21" s="22">
        <v>0</v>
      </c>
      <c r="E21" s="24">
        <v>40487</v>
      </c>
      <c r="F21" s="24" t="s">
        <v>393</v>
      </c>
      <c r="G21" s="24">
        <v>40498</v>
      </c>
      <c r="H21" s="37">
        <v>58</v>
      </c>
      <c r="I21" s="23" t="s">
        <v>1997</v>
      </c>
      <c r="J21" s="37" t="e">
        <v>#REF!</v>
      </c>
      <c r="K21" s="24" t="s">
        <v>1367</v>
      </c>
      <c r="L21" s="24" t="s">
        <v>1993</v>
      </c>
      <c r="M21" s="24">
        <v>40402</v>
      </c>
      <c r="N21" s="22" t="s">
        <v>585</v>
      </c>
      <c r="O21" s="4">
        <v>9110087</v>
      </c>
      <c r="P21" s="22">
        <v>720</v>
      </c>
      <c r="Q21" s="22">
        <v>42</v>
      </c>
      <c r="R21" s="22" t="s">
        <v>313</v>
      </c>
      <c r="S21" s="1" t="s">
        <v>1897</v>
      </c>
      <c r="T21" s="91" t="s">
        <v>404</v>
      </c>
      <c r="U21" s="92">
        <v>40405</v>
      </c>
      <c r="V21" s="38" t="s">
        <v>404</v>
      </c>
      <c r="W21" s="92">
        <v>40589</v>
      </c>
      <c r="X21" s="74"/>
      <c r="Y21" s="28"/>
      <c r="Z21" s="28"/>
      <c r="AA21" s="24" t="s">
        <v>393</v>
      </c>
      <c r="AB21" s="28">
        <v>40498</v>
      </c>
      <c r="AC21" s="69"/>
      <c r="AI21" s="13">
        <v>40725</v>
      </c>
      <c r="AJ21" s="16">
        <v>0</v>
      </c>
      <c r="AK21" s="16">
        <v>7</v>
      </c>
    </row>
    <row r="22" spans="1:37" ht="14.25" customHeight="1" x14ac:dyDescent="0.4">
      <c r="B22" s="22">
        <v>0</v>
      </c>
      <c r="C22" s="22" t="s">
        <v>2102</v>
      </c>
      <c r="D22" s="22">
        <v>0</v>
      </c>
      <c r="E22" s="24">
        <v>40490</v>
      </c>
      <c r="F22" s="24" t="s">
        <v>393</v>
      </c>
      <c r="G22" s="24">
        <v>40498</v>
      </c>
      <c r="H22" s="37">
        <v>59</v>
      </c>
      <c r="I22" s="23" t="s">
        <v>1997</v>
      </c>
      <c r="J22" s="37" t="e">
        <v>#REF!</v>
      </c>
      <c r="K22" s="24" t="s">
        <v>1367</v>
      </c>
      <c r="L22" s="24" t="s">
        <v>1993</v>
      </c>
      <c r="M22" s="24">
        <v>40402</v>
      </c>
      <c r="N22" s="22" t="s">
        <v>585</v>
      </c>
      <c r="O22" s="4">
        <v>9110088</v>
      </c>
      <c r="P22" s="22">
        <v>1020</v>
      </c>
      <c r="Q22" s="22">
        <v>42</v>
      </c>
      <c r="R22" s="22" t="s">
        <v>314</v>
      </c>
      <c r="S22" s="1" t="s">
        <v>1898</v>
      </c>
      <c r="T22" s="91" t="s">
        <v>404</v>
      </c>
      <c r="U22" s="92">
        <v>40424</v>
      </c>
      <c r="V22" s="38" t="s">
        <v>404</v>
      </c>
      <c r="W22" s="92">
        <v>40544</v>
      </c>
      <c r="X22" s="74"/>
      <c r="Y22" s="28"/>
      <c r="Z22" s="9"/>
      <c r="AA22" s="24" t="s">
        <v>393</v>
      </c>
      <c r="AB22" s="28">
        <v>40498</v>
      </c>
      <c r="AC22" s="69"/>
      <c r="AI22" s="13">
        <v>40756</v>
      </c>
      <c r="AJ22" s="16">
        <v>0</v>
      </c>
      <c r="AK22" s="16">
        <v>14</v>
      </c>
    </row>
    <row r="23" spans="1:37" ht="14.25" customHeight="1" x14ac:dyDescent="0.4">
      <c r="B23" s="22">
        <v>0</v>
      </c>
      <c r="C23" s="22">
        <v>0</v>
      </c>
      <c r="D23" s="22">
        <v>0</v>
      </c>
      <c r="E23" s="24">
        <v>40491</v>
      </c>
      <c r="F23" s="24" t="s">
        <v>393</v>
      </c>
      <c r="G23" s="24">
        <v>40497</v>
      </c>
      <c r="H23" s="37">
        <v>61</v>
      </c>
      <c r="I23" s="23" t="s">
        <v>1997</v>
      </c>
      <c r="J23" s="37" t="e">
        <v>#REF!</v>
      </c>
      <c r="K23" s="24" t="s">
        <v>1367</v>
      </c>
      <c r="L23" s="24" t="s">
        <v>1993</v>
      </c>
      <c r="M23" s="24">
        <v>40402</v>
      </c>
      <c r="N23" s="22" t="s">
        <v>585</v>
      </c>
      <c r="O23" s="4">
        <v>9110089</v>
      </c>
      <c r="P23" s="22">
        <v>720</v>
      </c>
      <c r="Q23" s="22">
        <v>42</v>
      </c>
      <c r="R23" s="22" t="s">
        <v>315</v>
      </c>
      <c r="S23" s="4" t="s">
        <v>1899</v>
      </c>
      <c r="T23" s="4" t="s">
        <v>404</v>
      </c>
      <c r="U23" s="57">
        <v>40424</v>
      </c>
      <c r="V23" s="4" t="s">
        <v>404</v>
      </c>
      <c r="W23" s="57">
        <v>40513</v>
      </c>
      <c r="X23" s="74"/>
      <c r="Y23" s="28"/>
      <c r="Z23" s="28"/>
      <c r="AA23" s="24" t="s">
        <v>393</v>
      </c>
      <c r="AB23" s="28">
        <v>40497</v>
      </c>
      <c r="AC23" s="69"/>
      <c r="AI23" s="13">
        <v>40787</v>
      </c>
      <c r="AJ23" s="16">
        <v>0</v>
      </c>
      <c r="AK23" s="16">
        <v>13</v>
      </c>
    </row>
    <row r="24" spans="1:37" ht="14.25" customHeight="1" x14ac:dyDescent="0.4">
      <c r="B24" s="22">
        <v>0</v>
      </c>
      <c r="C24" s="22" t="s">
        <v>2165</v>
      </c>
      <c r="D24" s="22">
        <v>0</v>
      </c>
      <c r="E24" s="24">
        <v>40512</v>
      </c>
      <c r="F24" s="24" t="s">
        <v>393</v>
      </c>
      <c r="G24" s="24">
        <v>40515</v>
      </c>
      <c r="H24" s="37">
        <v>79</v>
      </c>
      <c r="I24" s="23" t="s">
        <v>1997</v>
      </c>
      <c r="J24" s="37" t="e">
        <v>#REF!</v>
      </c>
      <c r="K24" s="24" t="s">
        <v>1367</v>
      </c>
      <c r="L24" s="24" t="s">
        <v>1993</v>
      </c>
      <c r="M24" s="24">
        <v>40402</v>
      </c>
      <c r="N24" s="22" t="s">
        <v>585</v>
      </c>
      <c r="O24" s="4">
        <v>9110091</v>
      </c>
      <c r="P24" s="22">
        <v>1020</v>
      </c>
      <c r="Q24" s="22">
        <v>42</v>
      </c>
      <c r="R24" s="22" t="s">
        <v>316</v>
      </c>
      <c r="S24" s="4" t="s">
        <v>1411</v>
      </c>
      <c r="T24" s="4" t="s">
        <v>404</v>
      </c>
      <c r="U24" s="57">
        <v>40439</v>
      </c>
      <c r="V24" s="4" t="s">
        <v>404</v>
      </c>
      <c r="W24" s="57">
        <v>40513</v>
      </c>
      <c r="X24" s="74"/>
      <c r="Y24" s="28"/>
      <c r="Z24" s="28"/>
      <c r="AA24" s="24" t="s">
        <v>393</v>
      </c>
      <c r="AB24" s="28">
        <v>40515</v>
      </c>
      <c r="AC24" s="69"/>
      <c r="AI24" s="13">
        <v>40817</v>
      </c>
      <c r="AJ24" s="16">
        <v>0</v>
      </c>
      <c r="AK24" s="16">
        <v>10</v>
      </c>
    </row>
    <row r="25" spans="1:37" s="69" customFormat="1" ht="14.25" customHeight="1" x14ac:dyDescent="0.4">
      <c r="A25"/>
      <c r="B25" s="22">
        <v>0</v>
      </c>
      <c r="C25" s="22" t="s">
        <v>2165</v>
      </c>
      <c r="D25" s="22">
        <v>0</v>
      </c>
      <c r="E25" s="24">
        <v>40491</v>
      </c>
      <c r="F25" s="24" t="s">
        <v>393</v>
      </c>
      <c r="G25" s="24">
        <v>40506</v>
      </c>
      <c r="H25" s="37">
        <v>62</v>
      </c>
      <c r="I25" s="23" t="s">
        <v>1997</v>
      </c>
      <c r="J25" s="37" t="e">
        <v>#REF!</v>
      </c>
      <c r="K25" s="24" t="s">
        <v>1367</v>
      </c>
      <c r="L25" s="24" t="s">
        <v>1993</v>
      </c>
      <c r="M25" s="24">
        <v>40402</v>
      </c>
      <c r="N25" s="22" t="s">
        <v>585</v>
      </c>
      <c r="O25" s="4">
        <v>9110090</v>
      </c>
      <c r="P25" s="22">
        <v>1020</v>
      </c>
      <c r="Q25" s="22">
        <v>42</v>
      </c>
      <c r="R25" s="22" t="s">
        <v>317</v>
      </c>
      <c r="S25" s="4" t="s">
        <v>1915</v>
      </c>
      <c r="T25" s="4" t="s">
        <v>404</v>
      </c>
      <c r="U25" s="57">
        <v>40439</v>
      </c>
      <c r="V25" s="4" t="s">
        <v>404</v>
      </c>
      <c r="W25" s="57">
        <v>40483</v>
      </c>
      <c r="X25" s="74"/>
      <c r="Y25" s="28"/>
      <c r="Z25" s="9"/>
      <c r="AA25" s="24" t="s">
        <v>393</v>
      </c>
      <c r="AB25" s="28">
        <v>40506</v>
      </c>
      <c r="AI25" s="13">
        <v>40848</v>
      </c>
      <c r="AJ25" s="16">
        <v>0</v>
      </c>
      <c r="AK25" s="16">
        <v>8</v>
      </c>
    </row>
    <row r="26" spans="1:37" ht="14.25" customHeight="1" x14ac:dyDescent="0.4">
      <c r="B26" s="22">
        <v>0</v>
      </c>
      <c r="C26" s="22">
        <v>0</v>
      </c>
      <c r="D26" s="22" t="s">
        <v>23</v>
      </c>
      <c r="E26" s="24">
        <v>40526</v>
      </c>
      <c r="F26" s="24" t="s">
        <v>393</v>
      </c>
      <c r="G26" s="24">
        <v>40541</v>
      </c>
      <c r="H26" s="37">
        <v>95</v>
      </c>
      <c r="I26" s="23" t="s">
        <v>1998</v>
      </c>
      <c r="J26" s="37">
        <v>16</v>
      </c>
      <c r="K26" s="24" t="s">
        <v>1367</v>
      </c>
      <c r="L26" s="24" t="s">
        <v>1993</v>
      </c>
      <c r="M26" s="24">
        <v>40402</v>
      </c>
      <c r="N26" s="22" t="s">
        <v>585</v>
      </c>
      <c r="O26" s="4">
        <v>9110092</v>
      </c>
      <c r="P26" s="22">
        <v>1020</v>
      </c>
      <c r="Q26" s="22">
        <v>42</v>
      </c>
      <c r="R26" s="22" t="s">
        <v>318</v>
      </c>
      <c r="S26" s="4" t="s">
        <v>1916</v>
      </c>
      <c r="T26" s="4" t="s">
        <v>404</v>
      </c>
      <c r="U26" s="57">
        <v>40436</v>
      </c>
      <c r="V26" s="4" t="s">
        <v>404</v>
      </c>
      <c r="W26" s="57">
        <v>40544</v>
      </c>
      <c r="X26" s="74"/>
      <c r="Y26" s="28"/>
      <c r="Z26" s="9"/>
      <c r="AA26" s="24" t="s">
        <v>393</v>
      </c>
      <c r="AB26" s="28">
        <v>40541</v>
      </c>
      <c r="AC26" s="69"/>
      <c r="AI26" s="13">
        <v>40878</v>
      </c>
      <c r="AJ26" s="16">
        <v>0</v>
      </c>
      <c r="AK26" s="16">
        <v>21</v>
      </c>
    </row>
    <row r="27" spans="1:37" ht="14.25" customHeight="1" x14ac:dyDescent="0.4">
      <c r="A27" s="4"/>
      <c r="B27" s="22">
        <v>0</v>
      </c>
      <c r="C27" s="22" t="s">
        <v>2165</v>
      </c>
      <c r="D27" s="22">
        <v>0</v>
      </c>
      <c r="E27" s="24">
        <v>40546</v>
      </c>
      <c r="F27" s="24" t="s">
        <v>393</v>
      </c>
      <c r="G27" s="24">
        <v>40547</v>
      </c>
      <c r="H27" s="37">
        <v>109</v>
      </c>
      <c r="I27" s="23" t="s">
        <v>1998</v>
      </c>
      <c r="J27" s="37">
        <v>30</v>
      </c>
      <c r="K27" s="24" t="s">
        <v>1367</v>
      </c>
      <c r="L27" s="24" t="s">
        <v>1993</v>
      </c>
      <c r="M27" s="24">
        <v>40402</v>
      </c>
      <c r="N27" s="22" t="s">
        <v>585</v>
      </c>
      <c r="O27" s="4">
        <v>9110093</v>
      </c>
      <c r="P27" s="22">
        <v>1020</v>
      </c>
      <c r="Q27" s="22">
        <v>42</v>
      </c>
      <c r="R27" s="22" t="s">
        <v>319</v>
      </c>
      <c r="S27" s="4" t="s">
        <v>1934</v>
      </c>
      <c r="T27" s="3" t="s">
        <v>404</v>
      </c>
      <c r="U27" s="43">
        <v>40451</v>
      </c>
      <c r="V27" s="38" t="s">
        <v>404</v>
      </c>
      <c r="W27" s="62">
        <v>40575</v>
      </c>
      <c r="X27" s="74"/>
      <c r="Y27" s="28"/>
      <c r="Z27" s="28"/>
      <c r="AA27" s="24" t="s">
        <v>393</v>
      </c>
      <c r="AB27" s="28">
        <v>40547</v>
      </c>
      <c r="AC27" s="69"/>
      <c r="AI27" s="13">
        <v>40909</v>
      </c>
      <c r="AJ27" s="16">
        <v>0</v>
      </c>
      <c r="AK27" s="16">
        <v>1</v>
      </c>
    </row>
    <row r="28" spans="1:37" ht="14.25" customHeight="1" x14ac:dyDescent="0.4">
      <c r="B28" s="22">
        <v>0</v>
      </c>
      <c r="C28" s="22" t="s">
        <v>2165</v>
      </c>
      <c r="D28" s="22">
        <v>0</v>
      </c>
      <c r="E28" s="24">
        <v>40527</v>
      </c>
      <c r="F28" s="24" t="s">
        <v>393</v>
      </c>
      <c r="G28" s="24">
        <v>40533</v>
      </c>
      <c r="H28" s="37">
        <v>96</v>
      </c>
      <c r="I28" s="23" t="s">
        <v>1998</v>
      </c>
      <c r="J28" s="37">
        <v>17</v>
      </c>
      <c r="K28" s="24" t="s">
        <v>1367</v>
      </c>
      <c r="L28" s="24" t="s">
        <v>1993</v>
      </c>
      <c r="M28" s="24">
        <v>40402</v>
      </c>
      <c r="N28" s="22" t="s">
        <v>585</v>
      </c>
      <c r="O28" s="4">
        <v>9110094</v>
      </c>
      <c r="P28" s="22">
        <v>720</v>
      </c>
      <c r="Q28" s="22">
        <v>42</v>
      </c>
      <c r="R28" s="22" t="s">
        <v>320</v>
      </c>
      <c r="S28" s="4" t="s">
        <v>1917</v>
      </c>
      <c r="T28" s="4" t="s">
        <v>404</v>
      </c>
      <c r="U28" s="43">
        <v>40439</v>
      </c>
      <c r="V28" s="4" t="s">
        <v>404</v>
      </c>
      <c r="W28" s="59">
        <v>40575</v>
      </c>
      <c r="X28" s="74"/>
      <c r="Y28" s="28"/>
      <c r="Z28" s="28"/>
      <c r="AA28" s="24" t="s">
        <v>393</v>
      </c>
      <c r="AB28" s="28">
        <v>40533</v>
      </c>
      <c r="AC28" s="69"/>
      <c r="AI28" s="13">
        <v>40940</v>
      </c>
      <c r="AJ28" s="16">
        <v>0</v>
      </c>
      <c r="AK28" s="16">
        <v>2</v>
      </c>
    </row>
    <row r="29" spans="1:37" ht="14.25" customHeight="1" x14ac:dyDescent="0.4">
      <c r="A29" s="5"/>
      <c r="B29" s="22">
        <v>0</v>
      </c>
      <c r="C29" s="22" t="s">
        <v>2165</v>
      </c>
      <c r="D29" s="22">
        <v>0</v>
      </c>
      <c r="E29" s="24">
        <v>40500</v>
      </c>
      <c r="F29" s="24" t="s">
        <v>393</v>
      </c>
      <c r="G29" s="24">
        <v>40506</v>
      </c>
      <c r="H29" s="37">
        <v>71</v>
      </c>
      <c r="I29" s="23" t="s">
        <v>1997</v>
      </c>
      <c r="J29" s="37" t="e">
        <v>#REF!</v>
      </c>
      <c r="K29" s="24" t="s">
        <v>1367</v>
      </c>
      <c r="L29" s="24" t="s">
        <v>1993</v>
      </c>
      <c r="M29" s="24">
        <v>40402</v>
      </c>
      <c r="N29" s="22" t="s">
        <v>585</v>
      </c>
      <c r="O29" s="4">
        <v>9110095</v>
      </c>
      <c r="P29" s="22">
        <v>1020</v>
      </c>
      <c r="Q29" s="22">
        <v>42</v>
      </c>
      <c r="R29" s="22" t="s">
        <v>321</v>
      </c>
      <c r="S29" s="4" t="s">
        <v>1370</v>
      </c>
      <c r="T29" s="4" t="s">
        <v>404</v>
      </c>
      <c r="U29" s="43">
        <v>40436</v>
      </c>
      <c r="V29" s="4" t="s">
        <v>404</v>
      </c>
      <c r="W29" s="59">
        <v>40555</v>
      </c>
      <c r="X29" s="74"/>
      <c r="Y29" s="28"/>
      <c r="Z29" s="28"/>
      <c r="AA29" s="24" t="s">
        <v>393</v>
      </c>
      <c r="AB29" s="28">
        <v>40506</v>
      </c>
      <c r="AC29" s="69"/>
      <c r="AI29" s="13">
        <v>40969</v>
      </c>
      <c r="AJ29" s="16">
        <v>0</v>
      </c>
      <c r="AK29" s="16">
        <v>2</v>
      </c>
    </row>
    <row r="30" spans="1:37" ht="14.25" customHeight="1" x14ac:dyDescent="0.4">
      <c r="B30" s="22">
        <v>0</v>
      </c>
      <c r="C30" s="22" t="s">
        <v>2165</v>
      </c>
      <c r="D30" s="22">
        <v>0</v>
      </c>
      <c r="E30" s="24">
        <v>40501</v>
      </c>
      <c r="F30" s="24" t="s">
        <v>393</v>
      </c>
      <c r="G30" s="24">
        <v>40512</v>
      </c>
      <c r="H30" s="37">
        <v>73</v>
      </c>
      <c r="I30" s="23" t="s">
        <v>1997</v>
      </c>
      <c r="J30" s="37" t="e">
        <v>#REF!</v>
      </c>
      <c r="K30" s="24" t="s">
        <v>1367</v>
      </c>
      <c r="L30" s="24" t="s">
        <v>1993</v>
      </c>
      <c r="M30" s="24">
        <v>40402</v>
      </c>
      <c r="N30" s="22" t="s">
        <v>585</v>
      </c>
      <c r="O30" s="4">
        <v>9110096</v>
      </c>
      <c r="P30" s="22">
        <v>1020</v>
      </c>
      <c r="Q30" s="22">
        <v>42</v>
      </c>
      <c r="R30" s="22" t="s">
        <v>322</v>
      </c>
      <c r="S30" s="3" t="s">
        <v>1935</v>
      </c>
      <c r="T30" s="4" t="s">
        <v>404</v>
      </c>
      <c r="U30" s="43">
        <v>40439</v>
      </c>
      <c r="V30" s="4" t="s">
        <v>404</v>
      </c>
      <c r="W30" s="59">
        <v>40544</v>
      </c>
      <c r="X30" s="74"/>
      <c r="Y30" s="28"/>
      <c r="Z30" s="28"/>
      <c r="AA30" s="24" t="s">
        <v>393</v>
      </c>
      <c r="AB30" s="28">
        <v>40512</v>
      </c>
      <c r="AC30" s="69"/>
      <c r="AI30" s="13">
        <v>41000</v>
      </c>
      <c r="AJ30" s="16">
        <v>0</v>
      </c>
      <c r="AK30" s="16">
        <v>3</v>
      </c>
    </row>
    <row r="31" spans="1:37" ht="14.25" customHeight="1" x14ac:dyDescent="0.4">
      <c r="B31" s="22">
        <v>0</v>
      </c>
      <c r="C31" s="22" t="s">
        <v>2165</v>
      </c>
      <c r="D31" s="22">
        <v>0</v>
      </c>
      <c r="E31" s="24">
        <v>40504</v>
      </c>
      <c r="F31" s="24" t="s">
        <v>393</v>
      </c>
      <c r="G31" s="24">
        <v>40511</v>
      </c>
      <c r="H31" s="37">
        <v>74</v>
      </c>
      <c r="I31" s="23" t="s">
        <v>1997</v>
      </c>
      <c r="J31" s="37" t="e">
        <v>#REF!</v>
      </c>
      <c r="K31" s="24" t="s">
        <v>1367</v>
      </c>
      <c r="L31" s="24" t="s">
        <v>1993</v>
      </c>
      <c r="M31" s="24">
        <v>40402</v>
      </c>
      <c r="N31" s="22" t="s">
        <v>585</v>
      </c>
      <c r="O31" s="4">
        <v>9110097</v>
      </c>
      <c r="P31" s="22">
        <v>1020</v>
      </c>
      <c r="Q31" s="22">
        <v>42</v>
      </c>
      <c r="R31" s="22" t="s">
        <v>323</v>
      </c>
      <c r="S31" s="4" t="s">
        <v>1918</v>
      </c>
      <c r="T31" s="38" t="s">
        <v>404</v>
      </c>
      <c r="U31" s="43">
        <v>40439</v>
      </c>
      <c r="V31" s="38" t="s">
        <v>404</v>
      </c>
      <c r="W31" s="62">
        <v>40190</v>
      </c>
      <c r="X31" s="74"/>
      <c r="Y31" s="28"/>
      <c r="Z31" s="9"/>
      <c r="AA31" s="24" t="s">
        <v>393</v>
      </c>
      <c r="AB31" s="28">
        <v>40511</v>
      </c>
      <c r="AC31" s="69"/>
      <c r="AI31" s="13">
        <v>41030</v>
      </c>
      <c r="AJ31" s="16">
        <v>0</v>
      </c>
      <c r="AK31" s="16">
        <v>3</v>
      </c>
    </row>
    <row r="32" spans="1:37" ht="14.25" customHeight="1" x14ac:dyDescent="0.4">
      <c r="A32" s="4"/>
      <c r="B32" s="22">
        <v>0</v>
      </c>
      <c r="C32" s="22" t="s">
        <v>2165</v>
      </c>
      <c r="D32" s="22">
        <v>0</v>
      </c>
      <c r="E32" s="24">
        <v>40504</v>
      </c>
      <c r="F32" s="24" t="s">
        <v>393</v>
      </c>
      <c r="G32" s="24">
        <v>40511</v>
      </c>
      <c r="H32" s="37">
        <v>75</v>
      </c>
      <c r="I32" s="23" t="s">
        <v>1997</v>
      </c>
      <c r="J32" s="37" t="e">
        <v>#REF!</v>
      </c>
      <c r="K32" s="24" t="s">
        <v>1367</v>
      </c>
      <c r="L32" s="24" t="s">
        <v>1993</v>
      </c>
      <c r="M32" s="24">
        <v>40402</v>
      </c>
      <c r="N32" s="22" t="s">
        <v>585</v>
      </c>
      <c r="O32" s="4">
        <v>9110098</v>
      </c>
      <c r="P32" s="22">
        <v>1020</v>
      </c>
      <c r="Q32" s="22">
        <v>42</v>
      </c>
      <c r="R32" s="22" t="s">
        <v>324</v>
      </c>
      <c r="S32" s="4" t="s">
        <v>1919</v>
      </c>
      <c r="T32" s="3" t="s">
        <v>404</v>
      </c>
      <c r="U32" s="43">
        <v>40451</v>
      </c>
      <c r="V32" s="38" t="s">
        <v>404</v>
      </c>
      <c r="W32" s="62">
        <v>40575</v>
      </c>
      <c r="X32" s="74"/>
      <c r="Y32" s="28"/>
      <c r="Z32" s="28"/>
      <c r="AA32" s="24" t="s">
        <v>393</v>
      </c>
      <c r="AB32" s="28">
        <v>40511</v>
      </c>
      <c r="AC32" s="69"/>
      <c r="AI32" s="13">
        <v>41061</v>
      </c>
    </row>
    <row r="33" spans="1:29" ht="14.25" customHeight="1" x14ac:dyDescent="0.4">
      <c r="B33" s="22">
        <v>0</v>
      </c>
      <c r="C33" s="22" t="s">
        <v>2165</v>
      </c>
      <c r="D33" s="22">
        <v>0</v>
      </c>
      <c r="E33" s="24">
        <v>40505</v>
      </c>
      <c r="F33" s="24" t="s">
        <v>393</v>
      </c>
      <c r="G33" s="24">
        <v>40532</v>
      </c>
      <c r="H33" s="37">
        <v>76</v>
      </c>
      <c r="I33" s="23" t="s">
        <v>1997</v>
      </c>
      <c r="J33" s="37" t="e">
        <v>#REF!</v>
      </c>
      <c r="K33" s="24" t="s">
        <v>1367</v>
      </c>
      <c r="L33" s="24" t="s">
        <v>1993</v>
      </c>
      <c r="M33" s="24">
        <v>40402</v>
      </c>
      <c r="N33" s="22" t="s">
        <v>585</v>
      </c>
      <c r="O33" s="4">
        <v>9110099</v>
      </c>
      <c r="P33" s="22">
        <v>1020</v>
      </c>
      <c r="Q33" s="22">
        <v>42</v>
      </c>
      <c r="R33" s="22" t="s">
        <v>325</v>
      </c>
      <c r="S33" s="4" t="s">
        <v>1920</v>
      </c>
      <c r="T33" s="38" t="s">
        <v>404</v>
      </c>
      <c r="U33" s="44">
        <v>40439</v>
      </c>
      <c r="V33" s="38" t="s">
        <v>404</v>
      </c>
      <c r="W33" s="9">
        <v>40575</v>
      </c>
      <c r="X33" s="74"/>
      <c r="Y33" s="28"/>
      <c r="Z33" s="9"/>
      <c r="AA33" s="24" t="s">
        <v>393</v>
      </c>
      <c r="AB33" s="28">
        <v>40532</v>
      </c>
      <c r="AC33" s="69"/>
    </row>
    <row r="34" spans="1:29" ht="14.25" customHeight="1" x14ac:dyDescent="0.4">
      <c r="B34" s="22">
        <v>0</v>
      </c>
      <c r="C34" s="22" t="s">
        <v>2165</v>
      </c>
      <c r="D34" s="22">
        <v>0</v>
      </c>
      <c r="E34" s="24">
        <v>40506</v>
      </c>
      <c r="F34" s="24" t="s">
        <v>393</v>
      </c>
      <c r="G34" s="24">
        <v>40515</v>
      </c>
      <c r="H34" s="37">
        <v>77</v>
      </c>
      <c r="I34" s="23" t="s">
        <v>1997</v>
      </c>
      <c r="J34" s="37" t="e">
        <v>#REF!</v>
      </c>
      <c r="K34" s="24" t="s">
        <v>1367</v>
      </c>
      <c r="L34" s="24" t="s">
        <v>1993</v>
      </c>
      <c r="M34" s="24">
        <v>40402</v>
      </c>
      <c r="N34" s="22" t="s">
        <v>585</v>
      </c>
      <c r="O34" s="4">
        <v>9110100</v>
      </c>
      <c r="P34" s="22">
        <v>1020</v>
      </c>
      <c r="Q34" s="22">
        <v>42</v>
      </c>
      <c r="R34" s="22" t="s">
        <v>326</v>
      </c>
      <c r="S34" s="38" t="s">
        <v>1921</v>
      </c>
      <c r="T34" s="38" t="s">
        <v>404</v>
      </c>
      <c r="U34" s="44">
        <v>40439</v>
      </c>
      <c r="V34" s="38" t="s">
        <v>404</v>
      </c>
      <c r="W34" s="59">
        <v>40513</v>
      </c>
      <c r="X34" s="74"/>
      <c r="Y34" s="28"/>
      <c r="AA34" s="24" t="s">
        <v>393</v>
      </c>
      <c r="AB34" s="28">
        <v>40515</v>
      </c>
      <c r="AC34" s="69"/>
    </row>
    <row r="35" spans="1:29" ht="14.25" customHeight="1" x14ac:dyDescent="0.4">
      <c r="B35" s="22">
        <v>0</v>
      </c>
      <c r="C35" s="22" t="s">
        <v>2102</v>
      </c>
      <c r="D35" s="22">
        <v>0</v>
      </c>
      <c r="E35" s="24">
        <v>40506</v>
      </c>
      <c r="F35" s="24" t="s">
        <v>393</v>
      </c>
      <c r="G35" s="24">
        <v>40512</v>
      </c>
      <c r="H35" s="37">
        <v>78</v>
      </c>
      <c r="I35" s="23" t="s">
        <v>1997</v>
      </c>
      <c r="J35" s="37" t="e">
        <v>#REF!</v>
      </c>
      <c r="K35" s="24" t="s">
        <v>1367</v>
      </c>
      <c r="L35" s="24" t="s">
        <v>1993</v>
      </c>
      <c r="M35" s="24">
        <v>40402</v>
      </c>
      <c r="N35" s="22" t="s">
        <v>585</v>
      </c>
      <c r="O35" s="4">
        <v>9110101</v>
      </c>
      <c r="P35" s="22">
        <v>720</v>
      </c>
      <c r="Q35" s="22">
        <v>42</v>
      </c>
      <c r="R35" s="22" t="s">
        <v>327</v>
      </c>
      <c r="S35" s="4" t="s">
        <v>1936</v>
      </c>
      <c r="T35" s="38" t="s">
        <v>404</v>
      </c>
      <c r="U35" s="44">
        <v>40451</v>
      </c>
      <c r="V35" s="38" t="s">
        <v>404</v>
      </c>
      <c r="W35" s="9">
        <v>40544</v>
      </c>
      <c r="X35" s="74"/>
      <c r="Y35" s="28"/>
      <c r="Z35" s="9"/>
      <c r="AA35" s="24" t="s">
        <v>393</v>
      </c>
      <c r="AB35" s="28">
        <v>40512</v>
      </c>
      <c r="AC35" s="69"/>
    </row>
    <row r="36" spans="1:29" ht="14.25" customHeight="1" x14ac:dyDescent="0.4">
      <c r="B36" s="22">
        <v>0</v>
      </c>
      <c r="C36" s="22">
        <v>0</v>
      </c>
      <c r="D36" s="22">
        <v>0</v>
      </c>
      <c r="E36" s="24">
        <v>40541</v>
      </c>
      <c r="F36" s="24" t="s">
        <v>393</v>
      </c>
      <c r="G36" s="24">
        <v>40546</v>
      </c>
      <c r="H36" s="37">
        <v>108</v>
      </c>
      <c r="I36" s="23" t="s">
        <v>1998</v>
      </c>
      <c r="J36" s="37">
        <v>29</v>
      </c>
      <c r="K36" s="24" t="s">
        <v>1367</v>
      </c>
      <c r="L36" s="24" t="s">
        <v>1993</v>
      </c>
      <c r="M36" s="24">
        <v>40402</v>
      </c>
      <c r="N36" s="22" t="s">
        <v>585</v>
      </c>
      <c r="O36" s="4">
        <v>9110102</v>
      </c>
      <c r="P36" s="22">
        <v>1020</v>
      </c>
      <c r="Q36" s="22">
        <v>42</v>
      </c>
      <c r="R36" s="22" t="s">
        <v>328</v>
      </c>
      <c r="S36" s="4" t="s">
        <v>1939</v>
      </c>
      <c r="T36" s="38" t="s">
        <v>404</v>
      </c>
      <c r="U36" s="57">
        <v>40464</v>
      </c>
      <c r="V36" s="4" t="s">
        <v>404</v>
      </c>
      <c r="W36" s="57">
        <v>40603</v>
      </c>
      <c r="Y36" s="28"/>
      <c r="Z36" s="9"/>
      <c r="AA36" s="24" t="s">
        <v>393</v>
      </c>
      <c r="AB36" s="28">
        <v>40546</v>
      </c>
      <c r="AC36" s="69"/>
    </row>
    <row r="37" spans="1:29" ht="14.25" customHeight="1" x14ac:dyDescent="0.4">
      <c r="B37" s="22">
        <v>0</v>
      </c>
      <c r="C37" s="22" t="s">
        <v>2165</v>
      </c>
      <c r="D37" s="22">
        <v>0</v>
      </c>
      <c r="E37" s="24">
        <v>40563</v>
      </c>
      <c r="F37" s="24" t="s">
        <v>393</v>
      </c>
      <c r="G37" s="24">
        <v>40567</v>
      </c>
      <c r="H37" s="37">
        <v>136</v>
      </c>
      <c r="I37" s="23" t="s">
        <v>1999</v>
      </c>
      <c r="J37" s="37">
        <v>27</v>
      </c>
      <c r="K37" s="24" t="s">
        <v>1367</v>
      </c>
      <c r="L37" s="24" t="s">
        <v>1997</v>
      </c>
      <c r="M37" s="24">
        <v>40402</v>
      </c>
      <c r="N37" s="22" t="s">
        <v>585</v>
      </c>
      <c r="O37" s="4">
        <v>9110103</v>
      </c>
      <c r="P37" s="22">
        <v>720</v>
      </c>
      <c r="Q37" s="22">
        <v>42</v>
      </c>
      <c r="R37" s="22" t="s">
        <v>329</v>
      </c>
      <c r="S37" s="4" t="s">
        <v>1940</v>
      </c>
      <c r="T37" s="38" t="s">
        <v>404</v>
      </c>
      <c r="U37" s="57">
        <v>40462</v>
      </c>
      <c r="V37" s="4" t="s">
        <v>404</v>
      </c>
      <c r="W37" s="57">
        <v>40603</v>
      </c>
      <c r="X37" s="74"/>
      <c r="Y37" s="28"/>
      <c r="Z37" s="28"/>
      <c r="AA37" s="24" t="s">
        <v>393</v>
      </c>
      <c r="AB37" s="28">
        <v>40567</v>
      </c>
      <c r="AC37" s="69"/>
    </row>
    <row r="38" spans="1:29" ht="14.25" customHeight="1" x14ac:dyDescent="0.4">
      <c r="B38" s="22">
        <v>0</v>
      </c>
      <c r="C38" s="22">
        <v>0</v>
      </c>
      <c r="D38" s="22">
        <v>0</v>
      </c>
      <c r="E38" s="24">
        <v>40564</v>
      </c>
      <c r="F38" s="24" t="s">
        <v>393</v>
      </c>
      <c r="G38" s="24">
        <v>40572</v>
      </c>
      <c r="H38" s="37">
        <v>138</v>
      </c>
      <c r="I38" s="23" t="s">
        <v>1999</v>
      </c>
      <c r="J38" s="37">
        <v>29</v>
      </c>
      <c r="K38" s="24" t="s">
        <v>1367</v>
      </c>
      <c r="L38" s="24" t="s">
        <v>1997</v>
      </c>
      <c r="M38" s="24">
        <v>40402</v>
      </c>
      <c r="N38" s="22" t="s">
        <v>585</v>
      </c>
      <c r="O38" s="4">
        <v>9110104</v>
      </c>
      <c r="P38" s="22">
        <v>1020</v>
      </c>
      <c r="Q38" s="22">
        <v>42</v>
      </c>
      <c r="R38" s="22" t="s">
        <v>330</v>
      </c>
      <c r="S38" s="3" t="s">
        <v>1941</v>
      </c>
      <c r="T38" s="38" t="s">
        <v>404</v>
      </c>
      <c r="U38" s="94">
        <v>40465</v>
      </c>
      <c r="V38" s="38" t="s">
        <v>404</v>
      </c>
      <c r="W38" s="92">
        <v>40575</v>
      </c>
      <c r="X38" s="74"/>
      <c r="Y38" s="28"/>
      <c r="Z38" s="28"/>
      <c r="AA38" s="24" t="s">
        <v>393</v>
      </c>
      <c r="AB38" s="28">
        <v>40572</v>
      </c>
      <c r="AC38" s="69"/>
    </row>
    <row r="39" spans="1:29" ht="14.25" customHeight="1" x14ac:dyDescent="0.4">
      <c r="B39" s="22">
        <v>0</v>
      </c>
      <c r="C39" s="22" t="s">
        <v>2165</v>
      </c>
      <c r="D39" s="22">
        <v>0</v>
      </c>
      <c r="E39" s="24">
        <v>40563</v>
      </c>
      <c r="F39" s="24" t="s">
        <v>393</v>
      </c>
      <c r="G39" s="24">
        <v>40564</v>
      </c>
      <c r="H39" s="37">
        <v>137</v>
      </c>
      <c r="I39" s="23" t="s">
        <v>1999</v>
      </c>
      <c r="J39" s="37">
        <v>28</v>
      </c>
      <c r="K39" s="24" t="s">
        <v>1367</v>
      </c>
      <c r="L39" s="24" t="s">
        <v>1997</v>
      </c>
      <c r="M39" s="24">
        <v>40402</v>
      </c>
      <c r="N39" s="22" t="s">
        <v>585</v>
      </c>
      <c r="O39" s="4">
        <v>9110105</v>
      </c>
      <c r="P39" s="22">
        <v>720</v>
      </c>
      <c r="Q39" s="22">
        <v>42</v>
      </c>
      <c r="R39" s="22" t="s">
        <v>331</v>
      </c>
      <c r="S39" s="4" t="s">
        <v>1960</v>
      </c>
      <c r="T39" s="4" t="s">
        <v>404</v>
      </c>
      <c r="U39" s="57">
        <v>40484</v>
      </c>
      <c r="V39" s="4" t="s">
        <v>404</v>
      </c>
      <c r="W39" s="57">
        <v>40575</v>
      </c>
      <c r="Y39" s="28"/>
      <c r="Z39" s="28"/>
      <c r="AA39" s="24" t="s">
        <v>393</v>
      </c>
      <c r="AB39" s="28">
        <v>40564</v>
      </c>
      <c r="AC39" s="69"/>
    </row>
    <row r="40" spans="1:29" ht="14.25" customHeight="1" x14ac:dyDescent="0.4">
      <c r="A40" s="4"/>
      <c r="B40" s="22">
        <v>0</v>
      </c>
      <c r="C40" s="22" t="s">
        <v>2165</v>
      </c>
      <c r="D40" s="22">
        <v>0</v>
      </c>
      <c r="E40" s="24">
        <v>40567</v>
      </c>
      <c r="F40" s="24" t="s">
        <v>393</v>
      </c>
      <c r="G40" s="24">
        <v>40572</v>
      </c>
      <c r="H40" s="37">
        <v>140</v>
      </c>
      <c r="I40" s="23" t="s">
        <v>1999</v>
      </c>
      <c r="J40" s="37">
        <v>31</v>
      </c>
      <c r="K40" s="24" t="s">
        <v>1367</v>
      </c>
      <c r="L40" s="24" t="s">
        <v>1997</v>
      </c>
      <c r="M40" s="24">
        <v>40402</v>
      </c>
      <c r="N40" s="22" t="s">
        <v>585</v>
      </c>
      <c r="O40" s="4">
        <v>9110106</v>
      </c>
      <c r="P40" s="22">
        <v>1020</v>
      </c>
      <c r="Q40" s="22">
        <v>42</v>
      </c>
      <c r="R40" s="22" t="s">
        <v>332</v>
      </c>
      <c r="S40" s="4" t="s">
        <v>1942</v>
      </c>
      <c r="T40" s="38" t="s">
        <v>404</v>
      </c>
      <c r="U40" s="44">
        <v>40464</v>
      </c>
      <c r="V40" s="38" t="s">
        <v>404</v>
      </c>
      <c r="W40" s="9">
        <v>40575</v>
      </c>
      <c r="X40" s="74"/>
      <c r="Y40" s="28"/>
      <c r="Z40" s="9"/>
      <c r="AA40" s="24" t="s">
        <v>393</v>
      </c>
      <c r="AB40" s="28">
        <v>40572</v>
      </c>
      <c r="AC40" s="69"/>
    </row>
    <row r="41" spans="1:29" ht="14.25" customHeight="1" x14ac:dyDescent="0.4">
      <c r="A41" s="4"/>
      <c r="B41" s="22">
        <v>0</v>
      </c>
      <c r="C41" s="22">
        <v>0</v>
      </c>
      <c r="D41" s="22">
        <v>0</v>
      </c>
      <c r="E41" s="24">
        <v>40589</v>
      </c>
      <c r="F41" s="24" t="s">
        <v>393</v>
      </c>
      <c r="G41" s="24">
        <v>40592</v>
      </c>
      <c r="H41" s="37">
        <v>172</v>
      </c>
      <c r="I41" s="23" t="s">
        <v>2000</v>
      </c>
      <c r="J41" s="37">
        <v>20</v>
      </c>
      <c r="K41" s="24" t="s">
        <v>1367</v>
      </c>
      <c r="L41" s="24" t="s">
        <v>1998</v>
      </c>
      <c r="M41" s="24">
        <v>40402</v>
      </c>
      <c r="N41" s="22" t="s">
        <v>585</v>
      </c>
      <c r="O41" s="4">
        <v>9110107</v>
      </c>
      <c r="P41" s="22">
        <v>1020</v>
      </c>
      <c r="Q41" s="22">
        <v>42</v>
      </c>
      <c r="R41" s="22" t="s">
        <v>333</v>
      </c>
      <c r="S41" s="55" t="s">
        <v>1943</v>
      </c>
      <c r="T41" s="91" t="s">
        <v>404</v>
      </c>
      <c r="U41" s="92">
        <v>40465</v>
      </c>
      <c r="V41" s="38" t="s">
        <v>404</v>
      </c>
      <c r="W41" s="92">
        <v>40603</v>
      </c>
      <c r="X41" s="74"/>
      <c r="Y41" s="28"/>
      <c r="Z41" s="28"/>
      <c r="AA41" s="24" t="s">
        <v>393</v>
      </c>
      <c r="AB41" s="28">
        <v>40592</v>
      </c>
      <c r="AC41" s="69"/>
    </row>
    <row r="42" spans="1:29" ht="14.25" customHeight="1" x14ac:dyDescent="0.4">
      <c r="B42" s="22">
        <v>0</v>
      </c>
      <c r="C42" s="22" t="s">
        <v>2102</v>
      </c>
      <c r="D42" s="22">
        <v>0</v>
      </c>
      <c r="E42" s="24">
        <v>40590</v>
      </c>
      <c r="F42" s="24" t="s">
        <v>393</v>
      </c>
      <c r="G42" s="24">
        <v>40591</v>
      </c>
      <c r="H42" s="37">
        <v>173</v>
      </c>
      <c r="I42" s="23" t="s">
        <v>2000</v>
      </c>
      <c r="J42" s="37">
        <v>21</v>
      </c>
      <c r="K42" s="24" t="s">
        <v>1367</v>
      </c>
      <c r="L42" s="24" t="s">
        <v>1998</v>
      </c>
      <c r="M42" s="24">
        <v>40402</v>
      </c>
      <c r="N42" s="22" t="s">
        <v>585</v>
      </c>
      <c r="O42" s="4">
        <v>9110108</v>
      </c>
      <c r="P42" s="22">
        <v>1020</v>
      </c>
      <c r="Q42" s="22">
        <v>42</v>
      </c>
      <c r="R42" s="22" t="s">
        <v>334</v>
      </c>
      <c r="S42" s="4" t="s">
        <v>772</v>
      </c>
      <c r="T42" s="38" t="s">
        <v>404</v>
      </c>
      <c r="U42" s="92">
        <v>40484</v>
      </c>
      <c r="V42" s="38" t="s">
        <v>404</v>
      </c>
      <c r="W42" s="92">
        <v>40603</v>
      </c>
      <c r="X42" s="74"/>
      <c r="Y42" s="28"/>
      <c r="Z42" s="28"/>
      <c r="AA42" s="24" t="s">
        <v>393</v>
      </c>
      <c r="AB42" s="28">
        <v>40591</v>
      </c>
      <c r="AC42" s="69"/>
    </row>
    <row r="43" spans="1:29" ht="14.25" customHeight="1" x14ac:dyDescent="0.4">
      <c r="B43" s="22">
        <v>0</v>
      </c>
      <c r="C43" s="22">
        <v>0</v>
      </c>
      <c r="D43" s="22">
        <v>0</v>
      </c>
      <c r="E43" s="24">
        <v>40591</v>
      </c>
      <c r="F43" s="24" t="s">
        <v>393</v>
      </c>
      <c r="G43" s="24">
        <v>40595</v>
      </c>
      <c r="H43" s="37">
        <v>176</v>
      </c>
      <c r="I43" s="23" t="s">
        <v>2000</v>
      </c>
      <c r="J43" s="37">
        <v>24</v>
      </c>
      <c r="K43" s="24" t="s">
        <v>1367</v>
      </c>
      <c r="L43" s="24" t="s">
        <v>1998</v>
      </c>
      <c r="M43" s="24">
        <v>40402</v>
      </c>
      <c r="N43" s="22" t="s">
        <v>585</v>
      </c>
      <c r="O43" s="4">
        <v>9110109</v>
      </c>
      <c r="P43" s="22">
        <v>720</v>
      </c>
      <c r="Q43" s="22">
        <v>42</v>
      </c>
      <c r="R43" s="22" t="s">
        <v>335</v>
      </c>
      <c r="S43" s="4" t="s">
        <v>1970</v>
      </c>
      <c r="T43" s="3" t="s">
        <v>404</v>
      </c>
      <c r="U43" s="28">
        <v>40497</v>
      </c>
      <c r="V43" s="38" t="s">
        <v>404</v>
      </c>
      <c r="W43" s="9">
        <v>40603</v>
      </c>
      <c r="X43" s="74"/>
      <c r="Y43" s="28"/>
      <c r="Z43" s="9"/>
      <c r="AA43" s="24" t="s">
        <v>393</v>
      </c>
      <c r="AB43" s="28">
        <v>40595</v>
      </c>
      <c r="AC43" s="69"/>
    </row>
    <row r="44" spans="1:29" ht="14.25" customHeight="1" x14ac:dyDescent="0.4">
      <c r="B44" s="22"/>
      <c r="C44" s="22"/>
      <c r="D44" s="22"/>
      <c r="E44" s="24">
        <v>40591</v>
      </c>
      <c r="F44" s="24" t="s">
        <v>393</v>
      </c>
      <c r="G44" s="24">
        <v>40597</v>
      </c>
      <c r="H44" s="37">
        <v>177</v>
      </c>
      <c r="I44" s="23" t="s">
        <v>2000</v>
      </c>
      <c r="J44" s="37">
        <v>25</v>
      </c>
      <c r="K44" s="24" t="s">
        <v>1367</v>
      </c>
      <c r="L44" s="24" t="s">
        <v>1998</v>
      </c>
      <c r="M44" s="24">
        <v>40402</v>
      </c>
      <c r="N44" s="22" t="s">
        <v>585</v>
      </c>
      <c r="O44" s="4">
        <v>9110110</v>
      </c>
      <c r="P44" s="22">
        <v>720</v>
      </c>
      <c r="Q44" s="22">
        <v>42</v>
      </c>
      <c r="R44" s="22" t="s">
        <v>336</v>
      </c>
      <c r="S44" s="4" t="s">
        <v>760</v>
      </c>
      <c r="T44" s="4" t="s">
        <v>404</v>
      </c>
      <c r="U44" s="59">
        <v>40504</v>
      </c>
      <c r="V44" s="4" t="s">
        <v>404</v>
      </c>
      <c r="W44" s="57">
        <v>40603</v>
      </c>
      <c r="X44" s="74"/>
      <c r="Y44" s="28"/>
      <c r="Z44" s="28"/>
      <c r="AA44" s="24" t="s">
        <v>393</v>
      </c>
      <c r="AB44" s="28">
        <v>40597</v>
      </c>
      <c r="AC44" s="69"/>
    </row>
    <row r="45" spans="1:29" ht="14.25" customHeight="1" x14ac:dyDescent="0.4">
      <c r="B45" s="22">
        <v>0</v>
      </c>
      <c r="C45" s="22">
        <v>0</v>
      </c>
      <c r="D45" s="22">
        <v>0</v>
      </c>
      <c r="E45" s="24">
        <v>40592</v>
      </c>
      <c r="F45" s="24" t="s">
        <v>393</v>
      </c>
      <c r="G45" s="24">
        <v>40599</v>
      </c>
      <c r="H45" s="37">
        <v>178</v>
      </c>
      <c r="I45" s="23" t="s">
        <v>2000</v>
      </c>
      <c r="J45" s="37">
        <v>26</v>
      </c>
      <c r="K45" s="24" t="s">
        <v>1367</v>
      </c>
      <c r="L45" s="24" t="s">
        <v>1998</v>
      </c>
      <c r="M45" s="24">
        <v>40402</v>
      </c>
      <c r="N45" s="22" t="s">
        <v>585</v>
      </c>
      <c r="O45" s="4">
        <v>9110111</v>
      </c>
      <c r="P45" s="22">
        <v>1020</v>
      </c>
      <c r="Q45" s="22">
        <v>42</v>
      </c>
      <c r="R45" s="22" t="s">
        <v>341</v>
      </c>
      <c r="S45" s="1" t="s">
        <v>1979</v>
      </c>
      <c r="T45" s="3" t="s">
        <v>404</v>
      </c>
      <c r="U45" s="94">
        <v>40514</v>
      </c>
      <c r="V45" s="38" t="s">
        <v>404</v>
      </c>
      <c r="W45" s="92">
        <v>40603</v>
      </c>
      <c r="X45" s="74"/>
      <c r="Y45" s="28"/>
      <c r="Z45" s="28"/>
      <c r="AA45" s="24" t="s">
        <v>393</v>
      </c>
      <c r="AB45" s="28">
        <v>40599</v>
      </c>
      <c r="AC45" s="69"/>
    </row>
    <row r="46" spans="1:29" ht="14.25" customHeight="1" x14ac:dyDescent="0.4">
      <c r="B46" s="22">
        <v>0</v>
      </c>
      <c r="C46" s="22" t="s">
        <v>2165</v>
      </c>
      <c r="D46" s="22">
        <v>0</v>
      </c>
      <c r="E46" s="24">
        <v>40592</v>
      </c>
      <c r="F46" s="24" t="s">
        <v>393</v>
      </c>
      <c r="G46" s="24">
        <v>40602</v>
      </c>
      <c r="H46" s="37">
        <v>179</v>
      </c>
      <c r="I46" s="23" t="s">
        <v>2000</v>
      </c>
      <c r="J46" s="37">
        <v>27</v>
      </c>
      <c r="K46" s="24" t="s">
        <v>1367</v>
      </c>
      <c r="L46" s="24" t="s">
        <v>1998</v>
      </c>
      <c r="M46" s="24">
        <v>40402</v>
      </c>
      <c r="N46" s="22" t="s">
        <v>585</v>
      </c>
      <c r="O46" s="4">
        <v>9110112</v>
      </c>
      <c r="P46" s="22">
        <v>720</v>
      </c>
      <c r="Q46" s="22">
        <v>42</v>
      </c>
      <c r="R46" s="22" t="s">
        <v>342</v>
      </c>
      <c r="S46" s="1" t="s">
        <v>1980</v>
      </c>
      <c r="T46" s="3" t="s">
        <v>404</v>
      </c>
      <c r="U46" s="42">
        <v>40514</v>
      </c>
      <c r="V46" s="38" t="s">
        <v>404</v>
      </c>
      <c r="W46" s="28">
        <v>40603</v>
      </c>
      <c r="X46" s="74"/>
      <c r="Y46" s="28"/>
      <c r="Z46" s="28"/>
      <c r="AA46" s="24" t="s">
        <v>393</v>
      </c>
      <c r="AB46" s="28">
        <v>40602</v>
      </c>
      <c r="AC46" s="69"/>
    </row>
    <row r="47" spans="1:29" ht="14.25" customHeight="1" x14ac:dyDescent="0.4">
      <c r="B47" s="22">
        <v>0</v>
      </c>
      <c r="C47" s="22" t="s">
        <v>2165</v>
      </c>
      <c r="D47" s="22">
        <v>0</v>
      </c>
      <c r="E47" s="24">
        <v>40609</v>
      </c>
      <c r="F47" s="24" t="s">
        <v>393</v>
      </c>
      <c r="G47" s="24">
        <v>40611</v>
      </c>
      <c r="H47" s="37">
        <v>211</v>
      </c>
      <c r="I47" s="23" t="s">
        <v>2001</v>
      </c>
      <c r="J47" s="37">
        <v>13</v>
      </c>
      <c r="K47" s="24" t="s">
        <v>1367</v>
      </c>
      <c r="L47" s="24" t="s">
        <v>1999</v>
      </c>
      <c r="M47" s="24">
        <v>40402</v>
      </c>
      <c r="N47" s="22" t="s">
        <v>585</v>
      </c>
      <c r="O47" s="4">
        <v>9110113</v>
      </c>
      <c r="P47" s="22">
        <v>1020</v>
      </c>
      <c r="Q47" s="22">
        <v>42</v>
      </c>
      <c r="R47" s="22" t="s">
        <v>343</v>
      </c>
      <c r="S47" s="4" t="s">
        <v>1981</v>
      </c>
      <c r="T47" s="4" t="s">
        <v>404</v>
      </c>
      <c r="U47" s="44">
        <v>40514</v>
      </c>
      <c r="V47" s="4" t="s">
        <v>404</v>
      </c>
      <c r="W47" s="9">
        <v>40603</v>
      </c>
      <c r="X47" s="74"/>
      <c r="Y47" s="28"/>
      <c r="Z47" s="9"/>
      <c r="AA47" s="24" t="s">
        <v>393</v>
      </c>
      <c r="AB47" s="28">
        <v>40611</v>
      </c>
      <c r="AC47" s="69"/>
    </row>
    <row r="48" spans="1:29" ht="14.25" customHeight="1" x14ac:dyDescent="0.4">
      <c r="A48" s="4"/>
      <c r="B48" s="22">
        <v>0</v>
      </c>
      <c r="C48" s="22">
        <v>0</v>
      </c>
      <c r="D48" s="22">
        <v>0</v>
      </c>
      <c r="E48" s="24">
        <v>40609</v>
      </c>
      <c r="F48" s="24" t="s">
        <v>393</v>
      </c>
      <c r="G48" s="24">
        <v>40613</v>
      </c>
      <c r="H48" s="37">
        <v>212</v>
      </c>
      <c r="I48" s="23" t="s">
        <v>2001</v>
      </c>
      <c r="J48" s="37">
        <v>14</v>
      </c>
      <c r="K48" s="24" t="s">
        <v>1367</v>
      </c>
      <c r="L48" s="24" t="s">
        <v>1999</v>
      </c>
      <c r="M48" s="24">
        <v>40402</v>
      </c>
      <c r="N48" s="22" t="s">
        <v>585</v>
      </c>
      <c r="O48" s="4">
        <v>9110114</v>
      </c>
      <c r="P48" s="22">
        <v>1020</v>
      </c>
      <c r="Q48" s="22">
        <v>42</v>
      </c>
      <c r="R48" s="22" t="s">
        <v>344</v>
      </c>
      <c r="S48" s="4" t="s">
        <v>1982</v>
      </c>
      <c r="T48" s="4" t="s">
        <v>404</v>
      </c>
      <c r="U48" s="44">
        <v>40514</v>
      </c>
      <c r="V48" s="4" t="s">
        <v>404</v>
      </c>
      <c r="W48" s="9">
        <v>40634</v>
      </c>
      <c r="X48" s="74"/>
      <c r="Y48" s="28"/>
      <c r="Z48" s="9"/>
      <c r="AA48" s="24" t="s">
        <v>393</v>
      </c>
      <c r="AB48" s="28">
        <v>40613</v>
      </c>
      <c r="AC48" s="69"/>
    </row>
    <row r="49" spans="1:29" ht="14.25" customHeight="1" x14ac:dyDescent="0.4">
      <c r="A49" s="4"/>
      <c r="B49" s="22">
        <v>0</v>
      </c>
      <c r="C49" s="22" t="s">
        <v>2165</v>
      </c>
      <c r="D49" s="22" t="s">
        <v>23</v>
      </c>
      <c r="E49" s="24">
        <v>40623</v>
      </c>
      <c r="F49" s="24" t="s">
        <v>393</v>
      </c>
      <c r="G49" s="24">
        <v>40626</v>
      </c>
      <c r="H49" s="37">
        <v>243</v>
      </c>
      <c r="I49" s="23" t="s">
        <v>2001</v>
      </c>
      <c r="J49" s="37">
        <v>45</v>
      </c>
      <c r="K49" s="24" t="s">
        <v>1367</v>
      </c>
      <c r="L49" s="24" t="s">
        <v>2000</v>
      </c>
      <c r="M49" s="24">
        <v>40402</v>
      </c>
      <c r="N49" s="22" t="s">
        <v>585</v>
      </c>
      <c r="O49" s="4">
        <v>9110115</v>
      </c>
      <c r="P49" s="22">
        <v>1020</v>
      </c>
      <c r="Q49" s="22">
        <v>42</v>
      </c>
      <c r="R49" s="22" t="s">
        <v>345</v>
      </c>
      <c r="S49" s="4" t="s">
        <v>1983</v>
      </c>
      <c r="T49" s="4" t="s">
        <v>404</v>
      </c>
      <c r="U49" s="28">
        <v>40515</v>
      </c>
      <c r="V49" s="4" t="s">
        <v>404</v>
      </c>
      <c r="W49" s="9">
        <v>40634</v>
      </c>
      <c r="X49" s="74"/>
      <c r="Y49" s="28"/>
      <c r="Z49" s="28"/>
      <c r="AA49" s="24" t="s">
        <v>393</v>
      </c>
      <c r="AB49" s="28">
        <v>40626</v>
      </c>
      <c r="AC49" s="69"/>
    </row>
    <row r="50" spans="1:29" ht="14.25" customHeight="1" x14ac:dyDescent="0.4">
      <c r="A50" s="4"/>
      <c r="B50" s="22">
        <v>0</v>
      </c>
      <c r="C50" s="22" t="s">
        <v>2165</v>
      </c>
      <c r="D50" s="22">
        <v>0</v>
      </c>
      <c r="E50" s="24">
        <v>40625</v>
      </c>
      <c r="F50" s="24" t="s">
        <v>393</v>
      </c>
      <c r="G50" s="24">
        <v>40632</v>
      </c>
      <c r="H50" s="37">
        <v>249</v>
      </c>
      <c r="I50" s="23" t="s">
        <v>2001</v>
      </c>
      <c r="J50" s="37">
        <v>51</v>
      </c>
      <c r="K50" s="24" t="s">
        <v>1367</v>
      </c>
      <c r="L50" s="24" t="s">
        <v>2000</v>
      </c>
      <c r="M50" s="24">
        <v>40402</v>
      </c>
      <c r="N50" s="22" t="s">
        <v>585</v>
      </c>
      <c r="O50" s="4">
        <v>9110116</v>
      </c>
      <c r="P50" s="22">
        <v>1020</v>
      </c>
      <c r="Q50" s="22">
        <v>42</v>
      </c>
      <c r="R50" s="22" t="s">
        <v>346</v>
      </c>
      <c r="S50" s="4" t="s">
        <v>2011</v>
      </c>
      <c r="T50" s="4" t="s">
        <v>404</v>
      </c>
      <c r="U50" s="28">
        <v>40527</v>
      </c>
      <c r="V50" s="4" t="s">
        <v>404</v>
      </c>
      <c r="W50" s="9">
        <v>40634</v>
      </c>
      <c r="X50" s="74"/>
      <c r="Y50" s="28"/>
      <c r="Z50" s="9"/>
      <c r="AA50" s="24" t="s">
        <v>393</v>
      </c>
      <c r="AB50" s="28">
        <v>40632</v>
      </c>
      <c r="AC50" s="69"/>
    </row>
    <row r="51" spans="1:29" ht="14.25" customHeight="1" x14ac:dyDescent="0.4">
      <c r="B51" s="22">
        <v>0</v>
      </c>
      <c r="C51" s="22" t="s">
        <v>2165</v>
      </c>
      <c r="D51" s="22">
        <v>0</v>
      </c>
      <c r="E51" s="24">
        <v>40623</v>
      </c>
      <c r="F51" s="24" t="s">
        <v>393</v>
      </c>
      <c r="G51" s="24">
        <v>40625</v>
      </c>
      <c r="H51" s="37">
        <v>242</v>
      </c>
      <c r="I51" s="23" t="s">
        <v>2001</v>
      </c>
      <c r="J51" s="37">
        <v>44</v>
      </c>
      <c r="K51" s="24" t="s">
        <v>1367</v>
      </c>
      <c r="L51" s="24" t="s">
        <v>2000</v>
      </c>
      <c r="M51" s="24">
        <v>40402</v>
      </c>
      <c r="N51" s="22" t="s">
        <v>585</v>
      </c>
      <c r="O51" s="4">
        <v>9110117</v>
      </c>
      <c r="P51" s="22">
        <v>720</v>
      </c>
      <c r="Q51" s="22">
        <v>42</v>
      </c>
      <c r="R51" s="22" t="s">
        <v>347</v>
      </c>
      <c r="S51" s="4" t="s">
        <v>2012</v>
      </c>
      <c r="T51" s="4" t="s">
        <v>404</v>
      </c>
      <c r="U51" s="9">
        <v>40527</v>
      </c>
      <c r="V51" s="4" t="s">
        <v>404</v>
      </c>
      <c r="W51" s="9">
        <v>40634</v>
      </c>
      <c r="Y51" s="28"/>
      <c r="Z51" s="9"/>
      <c r="AA51" s="24" t="s">
        <v>393</v>
      </c>
      <c r="AB51" s="28">
        <v>40625</v>
      </c>
      <c r="AC51" s="69"/>
    </row>
    <row r="52" spans="1:29" ht="14.25" customHeight="1" x14ac:dyDescent="0.4">
      <c r="B52" s="22">
        <v>0</v>
      </c>
      <c r="C52" s="22" t="s">
        <v>2165</v>
      </c>
      <c r="D52" s="22">
        <v>0</v>
      </c>
      <c r="E52" s="24">
        <v>40626</v>
      </c>
      <c r="F52" s="24" t="s">
        <v>393</v>
      </c>
      <c r="G52" s="24">
        <v>40633</v>
      </c>
      <c r="H52" s="37">
        <v>250</v>
      </c>
      <c r="I52" s="23" t="s">
        <v>2001</v>
      </c>
      <c r="J52" s="37">
        <v>52</v>
      </c>
      <c r="K52" s="24" t="s">
        <v>1367</v>
      </c>
      <c r="L52" s="24" t="s">
        <v>2000</v>
      </c>
      <c r="M52" s="24">
        <v>40402</v>
      </c>
      <c r="N52" s="22" t="s">
        <v>585</v>
      </c>
      <c r="O52" s="4">
        <v>9110118</v>
      </c>
      <c r="P52" s="22">
        <v>1020</v>
      </c>
      <c r="Q52" s="22">
        <v>42</v>
      </c>
      <c r="R52" s="22" t="s">
        <v>348</v>
      </c>
      <c r="S52" s="4" t="s">
        <v>2013</v>
      </c>
      <c r="T52" s="4" t="s">
        <v>404</v>
      </c>
      <c r="U52" s="9">
        <v>40527</v>
      </c>
      <c r="V52" s="4" t="s">
        <v>404</v>
      </c>
      <c r="W52" s="9">
        <v>40634</v>
      </c>
      <c r="X52" s="74"/>
      <c r="Y52" s="28"/>
      <c r="Z52" s="28"/>
      <c r="AA52" s="24" t="s">
        <v>393</v>
      </c>
      <c r="AB52" s="28">
        <v>40633</v>
      </c>
      <c r="AC52" s="69"/>
    </row>
    <row r="53" spans="1:29" ht="14.25" customHeight="1" x14ac:dyDescent="0.4">
      <c r="A53" s="4"/>
      <c r="B53" s="24">
        <v>40641</v>
      </c>
      <c r="C53" s="24">
        <v>40641</v>
      </c>
      <c r="D53" s="24">
        <v>40641</v>
      </c>
      <c r="E53" s="24">
        <v>40641</v>
      </c>
      <c r="F53" s="24" t="s">
        <v>393</v>
      </c>
      <c r="G53" s="24">
        <v>40676</v>
      </c>
      <c r="H53" s="37">
        <v>283</v>
      </c>
      <c r="I53" s="23" t="s">
        <v>2002</v>
      </c>
      <c r="J53" s="37">
        <v>16</v>
      </c>
      <c r="K53" s="24" t="s">
        <v>1367</v>
      </c>
      <c r="L53" s="24" t="s">
        <v>2002</v>
      </c>
      <c r="M53" s="24">
        <v>40430</v>
      </c>
      <c r="N53" s="22" t="s">
        <v>585</v>
      </c>
      <c r="O53" s="4">
        <v>9110355</v>
      </c>
      <c r="P53" s="22">
        <v>1020</v>
      </c>
      <c r="Q53" s="22">
        <v>42</v>
      </c>
      <c r="R53" s="22" t="s">
        <v>349</v>
      </c>
      <c r="S53" s="52" t="s">
        <v>79</v>
      </c>
      <c r="T53" s="53" t="s">
        <v>404</v>
      </c>
      <c r="U53" s="54">
        <v>40606</v>
      </c>
      <c r="V53" s="53" t="s">
        <v>404</v>
      </c>
      <c r="W53" s="96">
        <v>40694</v>
      </c>
      <c r="X53" s="74"/>
      <c r="Y53" s="28"/>
      <c r="Z53" s="28"/>
      <c r="AA53" s="24" t="s">
        <v>393</v>
      </c>
      <c r="AB53" s="28">
        <v>40676</v>
      </c>
      <c r="AC53" s="69"/>
    </row>
    <row r="54" spans="1:29" ht="14.25" customHeight="1" x14ac:dyDescent="0.4">
      <c r="A54" s="4"/>
      <c r="B54" s="24">
        <v>40641</v>
      </c>
      <c r="C54" s="24">
        <v>40641</v>
      </c>
      <c r="D54" s="24">
        <v>40641</v>
      </c>
      <c r="E54" s="24">
        <v>40641</v>
      </c>
      <c r="F54" s="24" t="s">
        <v>393</v>
      </c>
      <c r="G54" s="24">
        <v>40646</v>
      </c>
      <c r="H54" s="37">
        <v>284</v>
      </c>
      <c r="I54" s="23" t="s">
        <v>2002</v>
      </c>
      <c r="J54" s="37">
        <v>17</v>
      </c>
      <c r="K54" s="24" t="s">
        <v>1367</v>
      </c>
      <c r="L54" s="24" t="s">
        <v>2002</v>
      </c>
      <c r="M54" s="24">
        <v>40430</v>
      </c>
      <c r="N54" s="22" t="s">
        <v>585</v>
      </c>
      <c r="O54" s="4">
        <v>9110356</v>
      </c>
      <c r="P54" s="22">
        <v>1020</v>
      </c>
      <c r="Q54" s="22">
        <v>42</v>
      </c>
      <c r="R54" s="22" t="s">
        <v>350</v>
      </c>
      <c r="S54" s="4" t="s">
        <v>1990</v>
      </c>
      <c r="T54" s="3" t="s">
        <v>404</v>
      </c>
      <c r="U54" s="43">
        <v>40522</v>
      </c>
      <c r="V54" s="3" t="s">
        <v>404</v>
      </c>
      <c r="W54" s="43">
        <v>40694</v>
      </c>
      <c r="X54" s="74"/>
      <c r="Y54" s="28"/>
      <c r="Z54" s="28"/>
      <c r="AA54" s="24" t="s">
        <v>393</v>
      </c>
      <c r="AB54" s="28">
        <v>40646</v>
      </c>
      <c r="AC54" s="69"/>
    </row>
    <row r="55" spans="1:29" ht="14.25" customHeight="1" x14ac:dyDescent="0.4">
      <c r="A55" s="4"/>
      <c r="B55" s="24">
        <v>40654</v>
      </c>
      <c r="C55" s="24">
        <v>40654</v>
      </c>
      <c r="D55" s="24">
        <v>40654</v>
      </c>
      <c r="E55" s="24">
        <v>40654</v>
      </c>
      <c r="F55" s="24" t="s">
        <v>393</v>
      </c>
      <c r="G55" s="24">
        <v>40660</v>
      </c>
      <c r="H55" s="37">
        <v>312</v>
      </c>
      <c r="I55" s="23" t="s">
        <v>2002</v>
      </c>
      <c r="J55" s="37">
        <v>45</v>
      </c>
      <c r="K55" s="24" t="s">
        <v>1367</v>
      </c>
      <c r="L55" s="24" t="s">
        <v>2003</v>
      </c>
      <c r="M55" s="24">
        <v>40430</v>
      </c>
      <c r="N55" s="22" t="s">
        <v>585</v>
      </c>
      <c r="O55" s="4">
        <v>9110357</v>
      </c>
      <c r="P55" s="22">
        <v>1020</v>
      </c>
      <c r="Q55" s="22">
        <v>42</v>
      </c>
      <c r="R55" s="22" t="s">
        <v>351</v>
      </c>
      <c r="S55" s="47" t="s">
        <v>2014</v>
      </c>
      <c r="T55" s="38" t="s">
        <v>404</v>
      </c>
      <c r="U55" s="43">
        <v>40527</v>
      </c>
      <c r="V55" s="38" t="s">
        <v>404</v>
      </c>
      <c r="W55" s="43">
        <v>40634</v>
      </c>
      <c r="X55" s="74"/>
      <c r="Y55" s="28"/>
      <c r="Z55" s="9"/>
      <c r="AA55" s="24" t="s">
        <v>393</v>
      </c>
      <c r="AB55" s="28">
        <v>40660</v>
      </c>
      <c r="AC55" s="69"/>
    </row>
    <row r="56" spans="1:29" ht="14.25" customHeight="1" x14ac:dyDescent="0.4">
      <c r="A56" s="4"/>
      <c r="B56" s="24">
        <v>40655</v>
      </c>
      <c r="C56" s="24">
        <v>40655</v>
      </c>
      <c r="D56" s="24">
        <v>40655</v>
      </c>
      <c r="E56" s="24">
        <v>40655</v>
      </c>
      <c r="F56" s="24" t="s">
        <v>393</v>
      </c>
      <c r="G56" s="24">
        <v>40660</v>
      </c>
      <c r="H56" s="37">
        <v>313</v>
      </c>
      <c r="I56" s="23" t="s">
        <v>2002</v>
      </c>
      <c r="J56" s="37">
        <v>46</v>
      </c>
      <c r="K56" s="24" t="s">
        <v>1367</v>
      </c>
      <c r="L56" s="24" t="s">
        <v>2003</v>
      </c>
      <c r="M56" s="24">
        <v>40430</v>
      </c>
      <c r="N56" s="22" t="s">
        <v>585</v>
      </c>
      <c r="O56" s="4">
        <v>9110358</v>
      </c>
      <c r="P56" s="22">
        <v>720</v>
      </c>
      <c r="Q56" s="22">
        <v>42</v>
      </c>
      <c r="R56" s="22" t="s">
        <v>352</v>
      </c>
      <c r="S56" s="4" t="s">
        <v>2015</v>
      </c>
      <c r="T56" s="38" t="s">
        <v>404</v>
      </c>
      <c r="U56" s="43">
        <v>40527</v>
      </c>
      <c r="V56" s="38" t="s">
        <v>404</v>
      </c>
      <c r="W56" s="43">
        <v>40634</v>
      </c>
      <c r="X56" s="74"/>
      <c r="Y56" s="28"/>
      <c r="Z56" s="9"/>
      <c r="AA56" s="24" t="s">
        <v>393</v>
      </c>
      <c r="AB56" s="28">
        <v>40660</v>
      </c>
      <c r="AC56" s="69"/>
    </row>
    <row r="57" spans="1:29" ht="14.25" customHeight="1" x14ac:dyDescent="0.4">
      <c r="A57" s="4"/>
      <c r="B57" s="24">
        <v>40655</v>
      </c>
      <c r="C57" s="24">
        <v>40655</v>
      </c>
      <c r="D57" s="24">
        <v>40655</v>
      </c>
      <c r="E57" s="24">
        <v>40655</v>
      </c>
      <c r="F57" s="24" t="s">
        <v>393</v>
      </c>
      <c r="G57" s="24">
        <v>40659</v>
      </c>
      <c r="H57" s="37">
        <v>314</v>
      </c>
      <c r="I57" s="23" t="s">
        <v>2002</v>
      </c>
      <c r="J57" s="37">
        <v>47</v>
      </c>
      <c r="K57" s="24" t="s">
        <v>1367</v>
      </c>
      <c r="L57" s="24" t="s">
        <v>2003</v>
      </c>
      <c r="M57" s="24">
        <v>40430</v>
      </c>
      <c r="N57" s="22" t="s">
        <v>585</v>
      </c>
      <c r="O57" s="4">
        <v>9110359</v>
      </c>
      <c r="P57" s="22">
        <v>1020</v>
      </c>
      <c r="Q57" s="22">
        <v>42</v>
      </c>
      <c r="R57" s="22" t="s">
        <v>353</v>
      </c>
      <c r="S57" s="4" t="s">
        <v>2016</v>
      </c>
      <c r="T57" s="3" t="s">
        <v>404</v>
      </c>
      <c r="U57" s="43">
        <v>40527</v>
      </c>
      <c r="V57" s="38" t="s">
        <v>404</v>
      </c>
      <c r="W57" s="62">
        <v>40634</v>
      </c>
      <c r="X57" s="74"/>
      <c r="Y57" s="28"/>
      <c r="Z57" s="28"/>
      <c r="AA57" s="24" t="s">
        <v>393</v>
      </c>
      <c r="AB57" s="28">
        <v>40659</v>
      </c>
      <c r="AC57" s="69"/>
    </row>
    <row r="58" spans="1:29" ht="14.25" customHeight="1" x14ac:dyDescent="0.4">
      <c r="A58" s="4"/>
      <c r="B58" s="24">
        <v>40655</v>
      </c>
      <c r="C58" s="24">
        <v>40655</v>
      </c>
      <c r="D58" s="24">
        <v>40655</v>
      </c>
      <c r="E58" s="24">
        <v>40655</v>
      </c>
      <c r="F58" s="24" t="s">
        <v>393</v>
      </c>
      <c r="G58" s="24">
        <v>40659</v>
      </c>
      <c r="H58" s="37">
        <v>315</v>
      </c>
      <c r="I58" s="23" t="s">
        <v>2002</v>
      </c>
      <c r="J58" s="37">
        <v>48</v>
      </c>
      <c r="K58" s="24" t="s">
        <v>1367</v>
      </c>
      <c r="L58" s="24" t="s">
        <v>2003</v>
      </c>
      <c r="M58" s="24">
        <v>40430</v>
      </c>
      <c r="N58" s="22" t="s">
        <v>585</v>
      </c>
      <c r="O58" s="4">
        <v>9110360</v>
      </c>
      <c r="P58" s="22">
        <v>720</v>
      </c>
      <c r="Q58" s="22">
        <v>42</v>
      </c>
      <c r="R58" s="22" t="s">
        <v>354</v>
      </c>
      <c r="S58" s="4" t="s">
        <v>2017</v>
      </c>
      <c r="T58" s="11" t="s">
        <v>404</v>
      </c>
      <c r="U58" s="99">
        <v>40527</v>
      </c>
      <c r="V58" s="4" t="s">
        <v>404</v>
      </c>
      <c r="W58" s="59">
        <v>40634</v>
      </c>
      <c r="X58" s="74"/>
      <c r="Y58" s="28"/>
      <c r="Z58" s="29"/>
      <c r="AA58" s="24" t="s">
        <v>393</v>
      </c>
      <c r="AB58" s="28">
        <v>40659</v>
      </c>
      <c r="AC58" s="69"/>
    </row>
    <row r="59" spans="1:29" ht="14.25" customHeight="1" x14ac:dyDescent="0.4">
      <c r="A59" s="4"/>
      <c r="B59" s="24">
        <v>40658</v>
      </c>
      <c r="C59" s="24">
        <v>40658</v>
      </c>
      <c r="D59" s="24">
        <v>40658</v>
      </c>
      <c r="E59" s="24">
        <v>40658</v>
      </c>
      <c r="F59" s="24" t="s">
        <v>393</v>
      </c>
      <c r="G59" s="24">
        <v>40659</v>
      </c>
      <c r="H59" s="37">
        <v>316</v>
      </c>
      <c r="I59" s="23" t="s">
        <v>2002</v>
      </c>
      <c r="J59" s="37">
        <v>49</v>
      </c>
      <c r="K59" s="24" t="s">
        <v>1367</v>
      </c>
      <c r="L59" s="24" t="s">
        <v>2003</v>
      </c>
      <c r="M59" s="24">
        <v>40430</v>
      </c>
      <c r="N59" s="22" t="s">
        <v>585</v>
      </c>
      <c r="O59" s="4">
        <v>9110361</v>
      </c>
      <c r="P59" s="22">
        <v>1020</v>
      </c>
      <c r="Q59" s="22">
        <v>42</v>
      </c>
      <c r="R59" s="22" t="s">
        <v>355</v>
      </c>
      <c r="S59" s="48" t="s">
        <v>2090</v>
      </c>
      <c r="T59" s="56" t="s">
        <v>404</v>
      </c>
      <c r="U59" s="43">
        <v>40536</v>
      </c>
      <c r="V59" s="48" t="s">
        <v>404</v>
      </c>
      <c r="W59" s="70">
        <v>40634</v>
      </c>
      <c r="X59" s="74"/>
      <c r="Y59" s="28"/>
      <c r="Z59" s="29"/>
      <c r="AA59" s="24" t="s">
        <v>393</v>
      </c>
      <c r="AB59" s="28">
        <v>40659</v>
      </c>
      <c r="AC59" s="69"/>
    </row>
    <row r="60" spans="1:29" ht="14.25" customHeight="1" x14ac:dyDescent="0.4">
      <c r="B60" s="24">
        <v>40659</v>
      </c>
      <c r="C60" s="24">
        <v>40659</v>
      </c>
      <c r="D60" s="24">
        <v>40659</v>
      </c>
      <c r="E60" s="24">
        <v>40659</v>
      </c>
      <c r="F60" s="24" t="s">
        <v>393</v>
      </c>
      <c r="G60" s="24">
        <v>40661</v>
      </c>
      <c r="H60" s="37">
        <v>320</v>
      </c>
      <c r="I60" s="23" t="s">
        <v>2002</v>
      </c>
      <c r="J60" s="37">
        <v>53</v>
      </c>
      <c r="K60" s="24" t="s">
        <v>1367</v>
      </c>
      <c r="L60" s="24" t="s">
        <v>2003</v>
      </c>
      <c r="M60" s="24">
        <v>40430</v>
      </c>
      <c r="N60" s="22" t="s">
        <v>585</v>
      </c>
      <c r="O60" s="4">
        <v>9110362</v>
      </c>
      <c r="P60" s="22">
        <v>720</v>
      </c>
      <c r="Q60" s="22">
        <v>42</v>
      </c>
      <c r="R60" s="22" t="s">
        <v>356</v>
      </c>
      <c r="S60" s="4" t="s">
        <v>80</v>
      </c>
      <c r="T60" s="38" t="s">
        <v>404</v>
      </c>
      <c r="U60" s="44">
        <v>40606</v>
      </c>
      <c r="V60" s="38" t="s">
        <v>404</v>
      </c>
      <c r="W60" s="9">
        <v>40634</v>
      </c>
      <c r="X60" s="74"/>
      <c r="Y60" s="28"/>
      <c r="Z60" s="9"/>
      <c r="AA60" s="24" t="s">
        <v>393</v>
      </c>
      <c r="AB60" s="28">
        <v>40661</v>
      </c>
      <c r="AC60" s="69"/>
    </row>
    <row r="61" spans="1:29" ht="14.25" customHeight="1" x14ac:dyDescent="0.4">
      <c r="B61" s="24">
        <v>40659</v>
      </c>
      <c r="C61" s="24">
        <v>40659</v>
      </c>
      <c r="D61" s="24">
        <v>40659</v>
      </c>
      <c r="E61" s="24">
        <v>40659</v>
      </c>
      <c r="F61" s="24" t="s">
        <v>393</v>
      </c>
      <c r="G61" s="24">
        <v>40662</v>
      </c>
      <c r="H61" s="37">
        <v>321</v>
      </c>
      <c r="I61" s="23" t="s">
        <v>2002</v>
      </c>
      <c r="J61" s="37">
        <v>54</v>
      </c>
      <c r="K61" s="24" t="s">
        <v>1367</v>
      </c>
      <c r="L61" s="24" t="s">
        <v>2003</v>
      </c>
      <c r="M61" s="24">
        <v>40430</v>
      </c>
      <c r="N61" s="22" t="s">
        <v>585</v>
      </c>
      <c r="O61" s="4">
        <v>9110363</v>
      </c>
      <c r="P61" s="22">
        <v>720</v>
      </c>
      <c r="Q61" s="22">
        <v>42</v>
      </c>
      <c r="R61" s="22" t="s">
        <v>357</v>
      </c>
      <c r="S61" s="4" t="s">
        <v>2160</v>
      </c>
      <c r="T61" s="38" t="s">
        <v>404</v>
      </c>
      <c r="U61" s="44">
        <v>40606</v>
      </c>
      <c r="V61" s="38" t="s">
        <v>404</v>
      </c>
      <c r="W61" s="9">
        <v>40648</v>
      </c>
      <c r="X61" s="74">
        <v>0</v>
      </c>
      <c r="Y61" s="28"/>
      <c r="Z61" s="9"/>
      <c r="AA61" s="24" t="s">
        <v>393</v>
      </c>
      <c r="AB61" s="28">
        <v>40662</v>
      </c>
      <c r="AC61" s="69"/>
    </row>
    <row r="62" spans="1:29" ht="14.25" customHeight="1" x14ac:dyDescent="0.4">
      <c r="A62" s="4"/>
      <c r="B62" s="24">
        <v>40660</v>
      </c>
      <c r="C62" s="24">
        <v>40660</v>
      </c>
      <c r="D62" s="24">
        <v>40660</v>
      </c>
      <c r="E62" s="24">
        <v>40660</v>
      </c>
      <c r="F62" s="24" t="s">
        <v>393</v>
      </c>
      <c r="G62" s="24">
        <v>40662</v>
      </c>
      <c r="H62" s="37">
        <v>323</v>
      </c>
      <c r="I62" s="23" t="s">
        <v>2002</v>
      </c>
      <c r="J62" s="37">
        <v>56</v>
      </c>
      <c r="K62" s="24" t="s">
        <v>1367</v>
      </c>
      <c r="L62" s="24" t="s">
        <v>2003</v>
      </c>
      <c r="M62" s="24">
        <v>40430</v>
      </c>
      <c r="N62" s="22" t="s">
        <v>585</v>
      </c>
      <c r="O62" s="4">
        <v>9110364</v>
      </c>
      <c r="P62" s="22">
        <v>1020</v>
      </c>
      <c r="Q62" s="22">
        <v>42</v>
      </c>
      <c r="R62" s="22" t="s">
        <v>358</v>
      </c>
      <c r="S62" s="4" t="s">
        <v>200</v>
      </c>
      <c r="T62" s="38" t="s">
        <v>404</v>
      </c>
      <c r="U62" s="44">
        <v>40613</v>
      </c>
      <c r="V62" s="38" t="s">
        <v>404</v>
      </c>
      <c r="W62" s="9">
        <v>40648</v>
      </c>
      <c r="X62" s="74">
        <v>0</v>
      </c>
      <c r="Y62" s="28"/>
      <c r="Z62" s="9"/>
      <c r="AA62" s="24" t="s">
        <v>393</v>
      </c>
      <c r="AB62" s="28">
        <v>40662</v>
      </c>
      <c r="AC62" s="69"/>
    </row>
    <row r="63" spans="1:29" ht="14.25" customHeight="1" x14ac:dyDescent="0.4">
      <c r="A63" s="4"/>
      <c r="B63" s="24">
        <v>40660</v>
      </c>
      <c r="C63" s="24">
        <v>40660</v>
      </c>
      <c r="D63" s="24">
        <v>40660</v>
      </c>
      <c r="E63" s="24">
        <v>40660</v>
      </c>
      <c r="F63" s="24" t="s">
        <v>393</v>
      </c>
      <c r="G63" s="24">
        <v>40662</v>
      </c>
      <c r="H63" s="37">
        <v>324</v>
      </c>
      <c r="I63" s="23" t="s">
        <v>2002</v>
      </c>
      <c r="J63" s="37">
        <v>57</v>
      </c>
      <c r="K63" s="24" t="s">
        <v>1367</v>
      </c>
      <c r="L63" s="24" t="s">
        <v>2003</v>
      </c>
      <c r="M63" s="24">
        <v>40430</v>
      </c>
      <c r="N63" s="22" t="s">
        <v>585</v>
      </c>
      <c r="O63" s="4">
        <v>9110365</v>
      </c>
      <c r="P63" s="22">
        <v>720</v>
      </c>
      <c r="Q63" s="22">
        <v>42</v>
      </c>
      <c r="R63" s="22" t="s">
        <v>359</v>
      </c>
      <c r="S63" s="38" t="s">
        <v>201</v>
      </c>
      <c r="T63" s="38" t="s">
        <v>404</v>
      </c>
      <c r="U63" s="57">
        <v>40613</v>
      </c>
      <c r="V63" s="38" t="s">
        <v>404</v>
      </c>
      <c r="W63" s="9">
        <v>40648</v>
      </c>
      <c r="X63" s="74">
        <v>0</v>
      </c>
      <c r="Y63" s="28"/>
      <c r="Z63" s="4"/>
      <c r="AA63" s="24" t="s">
        <v>393</v>
      </c>
      <c r="AB63" s="28">
        <v>40662</v>
      </c>
      <c r="AC63" s="69"/>
    </row>
    <row r="64" spans="1:29" ht="14.25" customHeight="1" x14ac:dyDescent="0.4">
      <c r="A64" s="4"/>
      <c r="B64" s="24">
        <v>40472</v>
      </c>
      <c r="C64" s="24">
        <v>40472</v>
      </c>
      <c r="D64" s="24">
        <v>40472</v>
      </c>
      <c r="E64" s="24">
        <v>40472</v>
      </c>
      <c r="F64" s="24" t="s">
        <v>393</v>
      </c>
      <c r="G64" s="24">
        <v>40477</v>
      </c>
      <c r="H64" s="37">
        <v>36</v>
      </c>
      <c r="I64" s="23" t="s">
        <v>1993</v>
      </c>
      <c r="J64" s="37" t="e">
        <v>#REF!</v>
      </c>
      <c r="K64" s="24" t="s">
        <v>1367</v>
      </c>
      <c r="L64" s="24" t="s">
        <v>1993</v>
      </c>
      <c r="M64" s="24">
        <v>40430</v>
      </c>
      <c r="N64" s="22" t="s">
        <v>585</v>
      </c>
      <c r="O64" s="4">
        <v>9110351</v>
      </c>
      <c r="P64" s="22">
        <v>720</v>
      </c>
      <c r="Q64" s="22">
        <v>42</v>
      </c>
      <c r="R64" s="22" t="s">
        <v>360</v>
      </c>
      <c r="S64" s="3" t="s">
        <v>776</v>
      </c>
      <c r="T64" s="108" t="s">
        <v>404</v>
      </c>
      <c r="U64" s="43">
        <v>40439</v>
      </c>
      <c r="V64" s="108" t="s">
        <v>404</v>
      </c>
      <c r="W64" s="48" t="s">
        <v>2152</v>
      </c>
      <c r="X64" s="74"/>
      <c r="Y64" s="28"/>
      <c r="Z64" s="28"/>
      <c r="AA64" s="24" t="s">
        <v>393</v>
      </c>
      <c r="AB64" s="28">
        <v>40477</v>
      </c>
      <c r="AC64" s="69"/>
    </row>
    <row r="65" spans="1:29" ht="14.25" customHeight="1" x14ac:dyDescent="0.4">
      <c r="B65" s="24">
        <v>40472</v>
      </c>
      <c r="C65" s="24">
        <v>40472</v>
      </c>
      <c r="D65" s="24">
        <v>40472</v>
      </c>
      <c r="E65" s="24">
        <v>40472</v>
      </c>
      <c r="F65" s="24" t="s">
        <v>393</v>
      </c>
      <c r="G65" s="24">
        <v>40477</v>
      </c>
      <c r="H65" s="37">
        <v>37</v>
      </c>
      <c r="I65" s="23" t="s">
        <v>1993</v>
      </c>
      <c r="J65" s="37" t="e">
        <v>#REF!</v>
      </c>
      <c r="K65" s="24" t="s">
        <v>1367</v>
      </c>
      <c r="L65" s="24" t="s">
        <v>1993</v>
      </c>
      <c r="M65" s="24">
        <v>40430</v>
      </c>
      <c r="N65" s="22" t="s">
        <v>585</v>
      </c>
      <c r="O65" s="4">
        <v>9110352</v>
      </c>
      <c r="P65" s="22">
        <v>1020</v>
      </c>
      <c r="Q65" s="22">
        <v>42</v>
      </c>
      <c r="R65" s="22" t="s">
        <v>361</v>
      </c>
      <c r="S65" s="48" t="s">
        <v>1922</v>
      </c>
      <c r="T65" s="47" t="s">
        <v>404</v>
      </c>
      <c r="U65" s="57">
        <v>40451</v>
      </c>
      <c r="V65" s="4" t="s">
        <v>404</v>
      </c>
      <c r="W65" s="57">
        <v>40513</v>
      </c>
      <c r="X65" s="74"/>
      <c r="Y65" s="28"/>
      <c r="Z65" s="9"/>
      <c r="AA65" s="24" t="s">
        <v>393</v>
      </c>
      <c r="AB65" s="28">
        <v>40477</v>
      </c>
      <c r="AC65" s="69"/>
    </row>
    <row r="66" spans="1:29" ht="14.25" customHeight="1" x14ac:dyDescent="0.4">
      <c r="B66" s="22">
        <v>0</v>
      </c>
      <c r="C66" s="22" t="s">
        <v>2165</v>
      </c>
      <c r="D66" s="22">
        <v>0</v>
      </c>
      <c r="E66" s="24">
        <v>40625</v>
      </c>
      <c r="F66" s="24" t="s">
        <v>393</v>
      </c>
      <c r="G66" s="24">
        <v>40625</v>
      </c>
      <c r="H66" s="37">
        <v>247</v>
      </c>
      <c r="I66" s="23" t="s">
        <v>2001</v>
      </c>
      <c r="J66" s="37">
        <v>49</v>
      </c>
      <c r="K66" s="24" t="s">
        <v>1367</v>
      </c>
      <c r="L66" s="24" t="s">
        <v>2001</v>
      </c>
      <c r="M66" s="24">
        <v>40430</v>
      </c>
      <c r="N66" s="22" t="s">
        <v>585</v>
      </c>
      <c r="O66" s="4">
        <v>9110353</v>
      </c>
      <c r="P66" s="22">
        <v>720</v>
      </c>
      <c r="Q66" s="22">
        <v>42</v>
      </c>
      <c r="R66" s="22" t="s">
        <v>362</v>
      </c>
      <c r="S66" s="4" t="s">
        <v>2018</v>
      </c>
      <c r="T66" s="4" t="s">
        <v>404</v>
      </c>
      <c r="U66" s="44">
        <v>40527</v>
      </c>
      <c r="V66" s="4" t="s">
        <v>404</v>
      </c>
      <c r="W66" s="9">
        <v>40634</v>
      </c>
      <c r="X66" s="74"/>
      <c r="Y66" s="28"/>
      <c r="Z66" s="9"/>
      <c r="AA66" s="24" t="s">
        <v>393</v>
      </c>
      <c r="AB66" s="28">
        <v>40625</v>
      </c>
      <c r="AC66" s="69"/>
    </row>
    <row r="67" spans="1:29" ht="14.25" customHeight="1" x14ac:dyDescent="0.4">
      <c r="A67" s="4"/>
      <c r="B67" s="24">
        <v>40625</v>
      </c>
      <c r="C67" s="24">
        <v>40625</v>
      </c>
      <c r="D67" s="24">
        <v>40625</v>
      </c>
      <c r="E67" s="24">
        <v>40625</v>
      </c>
      <c r="F67" s="24" t="s">
        <v>393</v>
      </c>
      <c r="G67" s="24">
        <v>40632</v>
      </c>
      <c r="H67" s="37">
        <v>248</v>
      </c>
      <c r="I67" s="23" t="s">
        <v>2001</v>
      </c>
      <c r="J67" s="37">
        <v>50</v>
      </c>
      <c r="K67" s="24" t="s">
        <v>1367</v>
      </c>
      <c r="L67" s="24" t="s">
        <v>2001</v>
      </c>
      <c r="M67" s="24">
        <v>40430</v>
      </c>
      <c r="N67" s="22" t="s">
        <v>585</v>
      </c>
      <c r="O67" s="4">
        <v>9110354</v>
      </c>
      <c r="P67" s="22">
        <v>1020</v>
      </c>
      <c r="Q67" s="22">
        <v>42</v>
      </c>
      <c r="R67" s="22" t="s">
        <v>363</v>
      </c>
      <c r="S67" s="4" t="s">
        <v>2019</v>
      </c>
      <c r="T67" s="38" t="s">
        <v>404</v>
      </c>
      <c r="U67" s="44">
        <v>40527</v>
      </c>
      <c r="V67" s="38" t="s">
        <v>404</v>
      </c>
      <c r="W67" s="9">
        <v>40634</v>
      </c>
      <c r="X67" s="74"/>
      <c r="Y67" s="28"/>
      <c r="Z67" s="9"/>
      <c r="AA67" s="24" t="s">
        <v>393</v>
      </c>
      <c r="AB67" s="28">
        <v>40632</v>
      </c>
      <c r="AC67" s="69"/>
    </row>
    <row r="68" spans="1:29" ht="14.25" customHeight="1" x14ac:dyDescent="0.4">
      <c r="A68" s="4"/>
      <c r="B68" s="24">
        <v>40627</v>
      </c>
      <c r="C68" s="24">
        <v>40627</v>
      </c>
      <c r="D68" s="24">
        <v>40627</v>
      </c>
      <c r="E68" s="24">
        <v>40627</v>
      </c>
      <c r="F68" s="24" t="s">
        <v>393</v>
      </c>
      <c r="G68" s="24">
        <v>40633</v>
      </c>
      <c r="H68" s="37">
        <v>255</v>
      </c>
      <c r="I68" s="23" t="s">
        <v>2001</v>
      </c>
      <c r="J68" s="37">
        <v>57</v>
      </c>
      <c r="K68" s="24" t="s">
        <v>1367</v>
      </c>
      <c r="L68" s="24" t="s">
        <v>2001</v>
      </c>
      <c r="M68" s="24">
        <v>40529</v>
      </c>
      <c r="N68" s="22" t="s">
        <v>585</v>
      </c>
      <c r="O68" s="4">
        <v>9110400</v>
      </c>
      <c r="P68" s="22">
        <v>1020</v>
      </c>
      <c r="Q68" s="22">
        <v>42</v>
      </c>
      <c r="R68" s="22" t="s">
        <v>364</v>
      </c>
      <c r="S68" s="4" t="s">
        <v>2097</v>
      </c>
      <c r="T68" s="38" t="s">
        <v>404</v>
      </c>
      <c r="U68" s="44">
        <v>40542</v>
      </c>
      <c r="V68" s="38" t="s">
        <v>404</v>
      </c>
      <c r="W68" s="9">
        <v>40634</v>
      </c>
      <c r="X68" s="74">
        <v>0</v>
      </c>
      <c r="Y68" s="28"/>
      <c r="Z68" s="28"/>
      <c r="AA68" s="24" t="s">
        <v>393</v>
      </c>
      <c r="AB68" s="28">
        <v>40633</v>
      </c>
      <c r="AC68" s="69"/>
    </row>
    <row r="69" spans="1:29" ht="14.25" customHeight="1" x14ac:dyDescent="0.4">
      <c r="A69" s="4"/>
      <c r="B69" s="24">
        <v>40630</v>
      </c>
      <c r="C69" s="24">
        <v>40630</v>
      </c>
      <c r="D69" s="24">
        <v>40630</v>
      </c>
      <c r="E69" s="24">
        <v>40630</v>
      </c>
      <c r="F69" s="24" t="s">
        <v>393</v>
      </c>
      <c r="G69" s="24">
        <v>40633</v>
      </c>
      <c r="H69" s="37">
        <v>256</v>
      </c>
      <c r="I69" s="23" t="s">
        <v>2001</v>
      </c>
      <c r="J69" s="37">
        <v>58</v>
      </c>
      <c r="K69" s="24" t="s">
        <v>1367</v>
      </c>
      <c r="L69" s="24" t="s">
        <v>2001</v>
      </c>
      <c r="M69" s="24">
        <v>40529</v>
      </c>
      <c r="N69" s="22" t="s">
        <v>585</v>
      </c>
      <c r="O69" s="4">
        <v>9110401</v>
      </c>
      <c r="P69" s="22">
        <v>720</v>
      </c>
      <c r="Q69" s="22">
        <v>42</v>
      </c>
      <c r="R69" s="22" t="s">
        <v>365</v>
      </c>
      <c r="S69" s="4" t="s">
        <v>2115</v>
      </c>
      <c r="T69" s="38" t="s">
        <v>404</v>
      </c>
      <c r="U69" s="44">
        <v>40542</v>
      </c>
      <c r="V69" s="38" t="s">
        <v>404</v>
      </c>
      <c r="W69" s="9">
        <v>40634</v>
      </c>
      <c r="X69" s="74">
        <v>0</v>
      </c>
      <c r="Y69" s="28"/>
      <c r="Z69" s="9"/>
      <c r="AA69" s="24" t="s">
        <v>393</v>
      </c>
      <c r="AB69" s="28">
        <v>40633</v>
      </c>
      <c r="AC69" s="69"/>
    </row>
    <row r="70" spans="1:29" ht="14.25" customHeight="1" x14ac:dyDescent="0.4">
      <c r="A70" s="4"/>
      <c r="B70" s="24">
        <v>40630</v>
      </c>
      <c r="C70" s="24">
        <v>40630</v>
      </c>
      <c r="D70" s="24">
        <v>40630</v>
      </c>
      <c r="E70" s="24">
        <v>40630</v>
      </c>
      <c r="F70" s="24" t="s">
        <v>393</v>
      </c>
      <c r="G70" s="24">
        <v>40633</v>
      </c>
      <c r="H70" s="37">
        <v>257</v>
      </c>
      <c r="I70" s="23" t="s">
        <v>2001</v>
      </c>
      <c r="J70" s="37">
        <v>59</v>
      </c>
      <c r="K70" s="24" t="s">
        <v>1367</v>
      </c>
      <c r="L70" s="24" t="s">
        <v>2001</v>
      </c>
      <c r="M70" s="24">
        <v>40529</v>
      </c>
      <c r="N70" s="22" t="s">
        <v>585</v>
      </c>
      <c r="O70" s="4">
        <v>9110402</v>
      </c>
      <c r="P70" s="22">
        <v>720</v>
      </c>
      <c r="Q70" s="22">
        <v>42</v>
      </c>
      <c r="R70" s="22" t="s">
        <v>366</v>
      </c>
      <c r="S70" s="4" t="s">
        <v>2116</v>
      </c>
      <c r="T70" s="38" t="s">
        <v>404</v>
      </c>
      <c r="U70" s="44">
        <v>40542</v>
      </c>
      <c r="V70" s="38" t="s">
        <v>404</v>
      </c>
      <c r="W70" s="9">
        <v>40634</v>
      </c>
      <c r="X70" s="74">
        <v>0</v>
      </c>
      <c r="Y70" s="28"/>
      <c r="Z70" s="9"/>
      <c r="AA70" s="24" t="s">
        <v>393</v>
      </c>
      <c r="AB70" s="28">
        <v>40633</v>
      </c>
      <c r="AC70" s="69"/>
    </row>
    <row r="71" spans="1:29" ht="14.25" customHeight="1" x14ac:dyDescent="0.4">
      <c r="A71" s="4"/>
      <c r="B71" s="24">
        <v>40630</v>
      </c>
      <c r="C71" s="24">
        <v>40630</v>
      </c>
      <c r="D71" s="24">
        <v>40630</v>
      </c>
      <c r="E71" s="24">
        <v>40630</v>
      </c>
      <c r="F71" s="24" t="s">
        <v>393</v>
      </c>
      <c r="G71" s="24">
        <v>40633</v>
      </c>
      <c r="H71" s="37">
        <v>258</v>
      </c>
      <c r="I71" s="23" t="s">
        <v>2001</v>
      </c>
      <c r="J71" s="37">
        <v>60</v>
      </c>
      <c r="K71" s="24" t="s">
        <v>1367</v>
      </c>
      <c r="L71" s="24" t="s">
        <v>2001</v>
      </c>
      <c r="M71" s="24">
        <v>40529</v>
      </c>
      <c r="N71" s="22" t="s">
        <v>585</v>
      </c>
      <c r="O71" s="4">
        <v>9110403</v>
      </c>
      <c r="P71" s="22">
        <v>1020</v>
      </c>
      <c r="Q71" s="22">
        <v>42</v>
      </c>
      <c r="R71" s="22" t="s">
        <v>367</v>
      </c>
      <c r="S71" s="4" t="s">
        <v>2136</v>
      </c>
      <c r="T71" s="38" t="s">
        <v>404</v>
      </c>
      <c r="U71" s="44">
        <v>40578</v>
      </c>
      <c r="V71" s="38" t="s">
        <v>404</v>
      </c>
      <c r="W71" s="9">
        <v>40664</v>
      </c>
      <c r="X71" s="74">
        <v>0</v>
      </c>
      <c r="Y71" s="28"/>
      <c r="Z71" s="9"/>
      <c r="AA71" s="24" t="s">
        <v>393</v>
      </c>
      <c r="AB71" s="28">
        <v>40633</v>
      </c>
      <c r="AC71" s="69"/>
    </row>
    <row r="72" spans="1:29" ht="14.25" customHeight="1" x14ac:dyDescent="0.4">
      <c r="B72" s="24">
        <v>40631</v>
      </c>
      <c r="C72" s="24">
        <v>40631</v>
      </c>
      <c r="D72" s="24">
        <v>40631</v>
      </c>
      <c r="E72" s="24">
        <v>40631</v>
      </c>
      <c r="F72" s="24" t="s">
        <v>393</v>
      </c>
      <c r="G72" s="24">
        <v>40659</v>
      </c>
      <c r="H72" s="37">
        <v>260</v>
      </c>
      <c r="I72" s="23" t="s">
        <v>2001</v>
      </c>
      <c r="J72" s="37">
        <v>62</v>
      </c>
      <c r="K72" s="24" t="s">
        <v>1367</v>
      </c>
      <c r="L72" s="24" t="s">
        <v>2001</v>
      </c>
      <c r="M72" s="24">
        <v>40529</v>
      </c>
      <c r="N72" s="22" t="s">
        <v>585</v>
      </c>
      <c r="O72" s="4">
        <v>9110404</v>
      </c>
      <c r="P72" s="22">
        <v>1020</v>
      </c>
      <c r="Q72" s="22">
        <v>42</v>
      </c>
      <c r="R72" s="22" t="s">
        <v>368</v>
      </c>
      <c r="S72" s="4" t="s">
        <v>2124</v>
      </c>
      <c r="T72" s="38" t="s">
        <v>404</v>
      </c>
      <c r="U72" s="44">
        <v>40570</v>
      </c>
      <c r="V72" s="38" t="s">
        <v>404</v>
      </c>
      <c r="W72" s="9">
        <v>40664</v>
      </c>
      <c r="X72" s="74">
        <v>0</v>
      </c>
      <c r="Y72" s="28"/>
      <c r="Z72" s="9"/>
      <c r="AA72" s="24" t="s">
        <v>393</v>
      </c>
      <c r="AB72" s="28">
        <v>40659</v>
      </c>
      <c r="AC72" s="69"/>
    </row>
    <row r="73" spans="1:29" ht="14.25" customHeight="1" x14ac:dyDescent="0.4">
      <c r="A73" s="4"/>
      <c r="B73" s="24">
        <v>40631</v>
      </c>
      <c r="C73" s="24">
        <v>40631</v>
      </c>
      <c r="D73" s="24">
        <v>40631</v>
      </c>
      <c r="E73" s="24">
        <v>40631</v>
      </c>
      <c r="F73" s="24" t="s">
        <v>393</v>
      </c>
      <c r="G73" s="24">
        <v>40633</v>
      </c>
      <c r="H73" s="37">
        <v>261</v>
      </c>
      <c r="I73" s="23" t="s">
        <v>2001</v>
      </c>
      <c r="J73" s="37">
        <v>63</v>
      </c>
      <c r="K73" s="24" t="s">
        <v>1367</v>
      </c>
      <c r="L73" s="24" t="s">
        <v>2001</v>
      </c>
      <c r="M73" s="24">
        <v>40529</v>
      </c>
      <c r="N73" s="22" t="s">
        <v>585</v>
      </c>
      <c r="O73" s="4">
        <v>9110405</v>
      </c>
      <c r="P73" s="22">
        <v>1020</v>
      </c>
      <c r="Q73" s="22">
        <v>42</v>
      </c>
      <c r="R73" s="22" t="s">
        <v>369</v>
      </c>
      <c r="S73" s="4" t="s">
        <v>2125</v>
      </c>
      <c r="T73" s="38" t="s">
        <v>404</v>
      </c>
      <c r="U73" s="44">
        <v>40564</v>
      </c>
      <c r="V73" s="38" t="s">
        <v>404</v>
      </c>
      <c r="W73" s="9">
        <v>40664</v>
      </c>
      <c r="X73" s="74">
        <v>0</v>
      </c>
      <c r="Y73" s="28"/>
      <c r="Z73" s="9"/>
      <c r="AA73" s="24" t="s">
        <v>393</v>
      </c>
      <c r="AB73" s="28">
        <v>40633</v>
      </c>
      <c r="AC73" s="69"/>
    </row>
    <row r="74" spans="1:29" ht="14.25" customHeight="1" x14ac:dyDescent="0.4">
      <c r="A74" s="4"/>
      <c r="B74" s="24">
        <v>40611</v>
      </c>
      <c r="C74" s="24">
        <v>40611</v>
      </c>
      <c r="D74" s="24">
        <v>40611</v>
      </c>
      <c r="E74" s="24">
        <v>40611</v>
      </c>
      <c r="F74" s="24" t="s">
        <v>393</v>
      </c>
      <c r="G74" s="24">
        <v>40617</v>
      </c>
      <c r="H74" s="37">
        <v>217</v>
      </c>
      <c r="I74" s="23" t="s">
        <v>2001</v>
      </c>
      <c r="J74" s="37">
        <v>19</v>
      </c>
      <c r="K74" s="24" t="s">
        <v>1367</v>
      </c>
      <c r="L74" s="24" t="s">
        <v>2002</v>
      </c>
      <c r="M74" s="24">
        <v>40529</v>
      </c>
      <c r="N74" s="22" t="s">
        <v>585</v>
      </c>
      <c r="O74" s="4">
        <v>9110406</v>
      </c>
      <c r="P74" s="22">
        <v>720</v>
      </c>
      <c r="Q74" s="22">
        <v>42</v>
      </c>
      <c r="R74" s="22" t="s">
        <v>370</v>
      </c>
      <c r="S74" s="4" t="s">
        <v>2153</v>
      </c>
      <c r="T74" s="38" t="s">
        <v>404</v>
      </c>
      <c r="U74" s="44">
        <v>40591</v>
      </c>
      <c r="V74" s="38" t="s">
        <v>404</v>
      </c>
      <c r="W74" s="9">
        <v>40634</v>
      </c>
      <c r="X74" s="74">
        <v>0</v>
      </c>
      <c r="Y74" s="28"/>
      <c r="Z74" s="9"/>
      <c r="AA74" s="24" t="s">
        <v>393</v>
      </c>
      <c r="AB74" s="28">
        <v>40617</v>
      </c>
      <c r="AC74" s="69"/>
    </row>
    <row r="75" spans="1:29" ht="14.25" customHeight="1" x14ac:dyDescent="0.4">
      <c r="A75" s="4"/>
      <c r="B75" s="24">
        <v>40611</v>
      </c>
      <c r="C75" s="24">
        <v>40611</v>
      </c>
      <c r="D75" s="24">
        <v>40611</v>
      </c>
      <c r="E75" s="24">
        <v>40611</v>
      </c>
      <c r="F75" s="24" t="s">
        <v>393</v>
      </c>
      <c r="G75" s="24">
        <v>40630</v>
      </c>
      <c r="H75" s="37">
        <v>218</v>
      </c>
      <c r="I75" s="23" t="s">
        <v>2001</v>
      </c>
      <c r="J75" s="37">
        <v>20</v>
      </c>
      <c r="K75" s="24" t="s">
        <v>1367</v>
      </c>
      <c r="L75" s="24" t="s">
        <v>2002</v>
      </c>
      <c r="M75" s="24">
        <v>40529</v>
      </c>
      <c r="N75" s="22" t="s">
        <v>585</v>
      </c>
      <c r="O75" s="4">
        <v>9110407</v>
      </c>
      <c r="P75" s="22">
        <v>1020</v>
      </c>
      <c r="Q75" s="22">
        <v>42</v>
      </c>
      <c r="R75" s="22" t="s">
        <v>371</v>
      </c>
      <c r="S75" s="4" t="s">
        <v>43</v>
      </c>
      <c r="T75" s="38" t="s">
        <v>404</v>
      </c>
      <c r="U75" s="44">
        <v>40596</v>
      </c>
      <c r="V75" s="38" t="s">
        <v>404</v>
      </c>
      <c r="W75" s="9">
        <v>40634</v>
      </c>
      <c r="X75" s="74">
        <v>0</v>
      </c>
      <c r="Y75" s="28"/>
      <c r="Z75" s="9"/>
      <c r="AA75" s="24" t="s">
        <v>393</v>
      </c>
      <c r="AB75" s="28">
        <v>40630</v>
      </c>
      <c r="AC75" s="69"/>
    </row>
    <row r="76" spans="1:29" ht="14.25" customHeight="1" x14ac:dyDescent="0.4">
      <c r="B76" s="24">
        <v>40612</v>
      </c>
      <c r="C76" s="24">
        <v>40612</v>
      </c>
      <c r="D76" s="24">
        <v>40612</v>
      </c>
      <c r="E76" s="24">
        <v>40612</v>
      </c>
      <c r="F76" s="24" t="s">
        <v>393</v>
      </c>
      <c r="G76" s="24">
        <v>40613</v>
      </c>
      <c r="H76" s="37">
        <v>222</v>
      </c>
      <c r="I76" s="23" t="s">
        <v>2001</v>
      </c>
      <c r="J76" s="37">
        <v>24</v>
      </c>
      <c r="K76" s="24" t="s">
        <v>1367</v>
      </c>
      <c r="L76" s="24" t="s">
        <v>2002</v>
      </c>
      <c r="M76" s="24">
        <v>40529</v>
      </c>
      <c r="N76" s="22" t="s">
        <v>585</v>
      </c>
      <c r="O76" s="4">
        <v>9110408</v>
      </c>
      <c r="P76" s="22">
        <v>1020</v>
      </c>
      <c r="Q76" s="22">
        <v>42</v>
      </c>
      <c r="R76" s="22" t="s">
        <v>372</v>
      </c>
      <c r="S76" s="4" t="s">
        <v>44</v>
      </c>
      <c r="T76" s="38" t="s">
        <v>404</v>
      </c>
      <c r="U76" s="44">
        <v>40598</v>
      </c>
      <c r="V76" s="38" t="s">
        <v>404</v>
      </c>
      <c r="W76" s="9">
        <v>40634</v>
      </c>
      <c r="X76" s="74">
        <v>0</v>
      </c>
      <c r="Y76" s="28"/>
      <c r="Z76" s="9"/>
      <c r="AA76" s="24" t="s">
        <v>393</v>
      </c>
      <c r="AB76" s="28">
        <v>40613</v>
      </c>
      <c r="AC76" s="69"/>
    </row>
    <row r="77" spans="1:29" ht="14.25" customHeight="1" x14ac:dyDescent="0.4">
      <c r="B77" s="24">
        <v>40623</v>
      </c>
      <c r="C77" s="24">
        <v>40623</v>
      </c>
      <c r="D77" s="24">
        <v>40623</v>
      </c>
      <c r="E77" s="24">
        <v>40623</v>
      </c>
      <c r="F77" s="24" t="s">
        <v>393</v>
      </c>
      <c r="G77" s="24">
        <v>40624</v>
      </c>
      <c r="H77" s="37">
        <v>241</v>
      </c>
      <c r="I77" s="23" t="s">
        <v>2001</v>
      </c>
      <c r="J77" s="37">
        <v>43</v>
      </c>
      <c r="K77" s="24" t="s">
        <v>1367</v>
      </c>
      <c r="L77" s="24" t="s">
        <v>2002</v>
      </c>
      <c r="M77" s="24">
        <v>40529</v>
      </c>
      <c r="N77" s="22" t="s">
        <v>585</v>
      </c>
      <c r="O77" s="4">
        <v>9110409</v>
      </c>
      <c r="P77" s="22">
        <v>1020</v>
      </c>
      <c r="Q77" s="22">
        <v>42</v>
      </c>
      <c r="R77" s="22" t="s">
        <v>373</v>
      </c>
      <c r="S77" s="4" t="s">
        <v>45</v>
      </c>
      <c r="T77" s="38" t="s">
        <v>404</v>
      </c>
      <c r="U77" s="44">
        <v>40603</v>
      </c>
      <c r="V77" s="38" t="s">
        <v>404</v>
      </c>
      <c r="W77" s="44">
        <v>40634</v>
      </c>
      <c r="X77" s="74">
        <v>0</v>
      </c>
      <c r="Y77" s="28"/>
      <c r="Z77" s="9"/>
      <c r="AA77" s="24" t="s">
        <v>393</v>
      </c>
      <c r="AB77" s="28">
        <v>40624</v>
      </c>
      <c r="AC77" s="69"/>
    </row>
    <row r="78" spans="1:29" ht="14.25" customHeight="1" x14ac:dyDescent="0.4">
      <c r="B78" s="22">
        <v>0</v>
      </c>
      <c r="C78" s="22">
        <v>0</v>
      </c>
      <c r="D78" s="22">
        <v>0</v>
      </c>
      <c r="E78" s="24">
        <v>40638</v>
      </c>
      <c r="F78" s="24" t="s">
        <v>393</v>
      </c>
      <c r="G78" s="24">
        <v>40646</v>
      </c>
      <c r="H78" s="37">
        <v>275</v>
      </c>
      <c r="I78" s="23" t="s">
        <v>2002</v>
      </c>
      <c r="J78" s="37">
        <v>8</v>
      </c>
      <c r="K78" s="24" t="s">
        <v>1367</v>
      </c>
      <c r="L78" s="24" t="s">
        <v>2001</v>
      </c>
      <c r="M78" s="24">
        <v>40403</v>
      </c>
      <c r="N78" s="22" t="s">
        <v>585</v>
      </c>
      <c r="O78" s="4">
        <v>9110144</v>
      </c>
      <c r="P78" s="22">
        <v>1020</v>
      </c>
      <c r="Q78" s="22">
        <v>42</v>
      </c>
      <c r="R78" s="22" t="s">
        <v>374</v>
      </c>
      <c r="S78" s="4" t="s">
        <v>202</v>
      </c>
      <c r="T78" s="38" t="s">
        <v>404</v>
      </c>
      <c r="U78" s="28">
        <v>40655</v>
      </c>
      <c r="V78" s="3" t="s">
        <v>404</v>
      </c>
      <c r="W78" s="28">
        <v>40648</v>
      </c>
      <c r="X78" s="74"/>
      <c r="Y78" s="28"/>
      <c r="Z78" s="9"/>
      <c r="AA78" s="24" t="s">
        <v>393</v>
      </c>
      <c r="AB78" s="28">
        <v>40646</v>
      </c>
      <c r="AC78" s="69"/>
    </row>
    <row r="79" spans="1:29" ht="14.25" customHeight="1" x14ac:dyDescent="0.4">
      <c r="B79" s="24">
        <v>40669</v>
      </c>
      <c r="C79" s="24">
        <v>40669</v>
      </c>
      <c r="D79" s="24">
        <v>40669</v>
      </c>
      <c r="E79" s="24">
        <v>40669</v>
      </c>
      <c r="F79" s="24" t="s">
        <v>393</v>
      </c>
      <c r="G79" s="24">
        <v>40675</v>
      </c>
      <c r="H79" s="37">
        <v>343</v>
      </c>
      <c r="I79" s="23" t="s">
        <v>2003</v>
      </c>
      <c r="J79" s="37">
        <v>13</v>
      </c>
      <c r="K79" s="24" t="s">
        <v>1367</v>
      </c>
      <c r="L79" s="24" t="s">
        <v>2003</v>
      </c>
      <c r="M79" s="24">
        <v>40633</v>
      </c>
      <c r="N79" s="22" t="s">
        <v>585</v>
      </c>
      <c r="O79" s="4">
        <v>9110434</v>
      </c>
      <c r="P79" s="22">
        <v>1020</v>
      </c>
      <c r="Q79" s="22">
        <v>42</v>
      </c>
      <c r="R79" s="22" t="s">
        <v>375</v>
      </c>
      <c r="S79" s="38" t="s">
        <v>129</v>
      </c>
      <c r="T79" s="38" t="s">
        <v>404</v>
      </c>
      <c r="U79" s="13">
        <v>40643</v>
      </c>
      <c r="V79" s="1" t="s">
        <v>404</v>
      </c>
      <c r="Y79" s="28"/>
      <c r="AA79" s="24" t="s">
        <v>393</v>
      </c>
      <c r="AB79" s="28">
        <v>40675</v>
      </c>
      <c r="AC79" s="69"/>
    </row>
    <row r="80" spans="1:29" ht="14.25" customHeight="1" x14ac:dyDescent="0.4">
      <c r="B80" s="24">
        <v>40669</v>
      </c>
      <c r="C80" s="24">
        <v>40669</v>
      </c>
      <c r="D80" s="24">
        <v>40669</v>
      </c>
      <c r="E80" s="24">
        <v>40669</v>
      </c>
      <c r="F80" s="24" t="s">
        <v>393</v>
      </c>
      <c r="G80" s="24">
        <v>40673</v>
      </c>
      <c r="H80" s="37">
        <v>344</v>
      </c>
      <c r="I80" s="23" t="s">
        <v>2003</v>
      </c>
      <c r="J80" s="37">
        <v>14</v>
      </c>
      <c r="K80" s="24" t="s">
        <v>1367</v>
      </c>
      <c r="L80" s="24" t="s">
        <v>2003</v>
      </c>
      <c r="M80" s="24">
        <v>40633</v>
      </c>
      <c r="N80" s="22" t="s">
        <v>585</v>
      </c>
      <c r="O80" s="4">
        <v>9110435</v>
      </c>
      <c r="P80" s="22">
        <v>720</v>
      </c>
      <c r="Q80" s="22">
        <v>42</v>
      </c>
      <c r="R80" s="22" t="s">
        <v>376</v>
      </c>
      <c r="S80" s="38" t="s">
        <v>130</v>
      </c>
      <c r="T80" s="38" t="s">
        <v>404</v>
      </c>
      <c r="U80" s="13">
        <v>40643</v>
      </c>
      <c r="V80" s="1" t="s">
        <v>404</v>
      </c>
      <c r="W80" s="43">
        <v>40664</v>
      </c>
      <c r="Y80" s="28"/>
      <c r="AA80" s="24" t="s">
        <v>393</v>
      </c>
      <c r="AB80" s="28">
        <v>40673</v>
      </c>
      <c r="AC80" s="69"/>
    </row>
    <row r="81" spans="1:29" ht="14.25" customHeight="1" x14ac:dyDescent="0.4">
      <c r="B81" s="24">
        <v>40669</v>
      </c>
      <c r="C81" s="24">
        <v>40669</v>
      </c>
      <c r="D81" s="24">
        <v>40669</v>
      </c>
      <c r="E81" s="24">
        <v>40669</v>
      </c>
      <c r="F81" s="24" t="s">
        <v>393</v>
      </c>
      <c r="G81" s="24">
        <v>40675</v>
      </c>
      <c r="H81" s="37">
        <v>345</v>
      </c>
      <c r="I81" s="23" t="s">
        <v>2003</v>
      </c>
      <c r="J81" s="37">
        <v>15</v>
      </c>
      <c r="K81" s="24" t="s">
        <v>1367</v>
      </c>
      <c r="L81" s="24" t="s">
        <v>2003</v>
      </c>
      <c r="M81" s="24">
        <v>40633</v>
      </c>
      <c r="N81" s="22" t="s">
        <v>585</v>
      </c>
      <c r="O81" s="4">
        <v>9110436</v>
      </c>
      <c r="P81" s="22">
        <v>720</v>
      </c>
      <c r="Q81" s="22">
        <v>42</v>
      </c>
      <c r="R81" s="22" t="s">
        <v>377</v>
      </c>
      <c r="S81" s="3" t="s">
        <v>122</v>
      </c>
      <c r="T81" s="38" t="s">
        <v>404</v>
      </c>
      <c r="U81" s="13">
        <v>40637</v>
      </c>
      <c r="V81" s="1" t="s">
        <v>404</v>
      </c>
      <c r="W81" s="43">
        <v>40695</v>
      </c>
      <c r="Y81" s="28"/>
      <c r="AA81" s="24" t="s">
        <v>393</v>
      </c>
      <c r="AB81" s="28">
        <v>40675</v>
      </c>
      <c r="AC81" s="69"/>
    </row>
    <row r="82" spans="1:29" ht="14.25" customHeight="1" x14ac:dyDescent="0.4">
      <c r="B82" s="24">
        <v>40672</v>
      </c>
      <c r="C82" s="24">
        <v>40672</v>
      </c>
      <c r="D82" s="24">
        <v>40672</v>
      </c>
      <c r="E82" s="24">
        <v>40672</v>
      </c>
      <c r="F82" s="24" t="s">
        <v>393</v>
      </c>
      <c r="G82" s="24">
        <v>40676</v>
      </c>
      <c r="H82" s="37">
        <v>346</v>
      </c>
      <c r="I82" s="23" t="s">
        <v>2003</v>
      </c>
      <c r="J82" s="37">
        <v>16</v>
      </c>
      <c r="K82" s="24" t="s">
        <v>1367</v>
      </c>
      <c r="L82" s="24" t="s">
        <v>2003</v>
      </c>
      <c r="M82" s="24">
        <v>40633</v>
      </c>
      <c r="N82" s="22" t="s">
        <v>585</v>
      </c>
      <c r="O82" s="4">
        <v>9110437</v>
      </c>
      <c r="P82" s="22">
        <v>1020</v>
      </c>
      <c r="Q82" s="22">
        <v>42</v>
      </c>
      <c r="R82" s="22" t="s">
        <v>378</v>
      </c>
      <c r="S82" s="38" t="s">
        <v>203</v>
      </c>
      <c r="T82" s="38" t="s">
        <v>404</v>
      </c>
      <c r="U82" s="13">
        <v>40655</v>
      </c>
      <c r="V82" s="1" t="s">
        <v>404</v>
      </c>
      <c r="W82" s="43">
        <v>40678</v>
      </c>
      <c r="Y82" s="28"/>
      <c r="AA82" s="24" t="s">
        <v>393</v>
      </c>
      <c r="AB82" s="28">
        <v>40676</v>
      </c>
      <c r="AC82" s="69"/>
    </row>
    <row r="83" spans="1:29" ht="14.25" customHeight="1" x14ac:dyDescent="0.4">
      <c r="B83" s="24">
        <v>40682</v>
      </c>
      <c r="C83" s="24">
        <v>40682</v>
      </c>
      <c r="D83" s="24">
        <v>40682</v>
      </c>
      <c r="E83" s="24">
        <v>40682</v>
      </c>
      <c r="F83" s="24" t="s">
        <v>393</v>
      </c>
      <c r="G83" s="24">
        <v>40688</v>
      </c>
      <c r="H83" s="37">
        <v>368</v>
      </c>
      <c r="I83" s="23" t="s">
        <v>2003</v>
      </c>
      <c r="J83" s="37">
        <v>38</v>
      </c>
      <c r="K83" s="24" t="s">
        <v>1367</v>
      </c>
      <c r="L83" s="24">
        <v>0</v>
      </c>
      <c r="M83" s="24">
        <v>40659</v>
      </c>
      <c r="N83" s="22" t="s">
        <v>585</v>
      </c>
      <c r="O83" s="4">
        <v>9110443</v>
      </c>
      <c r="P83" s="22">
        <v>1020</v>
      </c>
      <c r="Q83" s="22">
        <v>42</v>
      </c>
      <c r="R83" s="22" t="s">
        <v>379</v>
      </c>
      <c r="S83" s="38" t="s">
        <v>204</v>
      </c>
      <c r="T83" s="38" t="s">
        <v>404</v>
      </c>
      <c r="U83" s="13">
        <v>40660</v>
      </c>
      <c r="V83" s="1" t="s">
        <v>404</v>
      </c>
      <c r="W83" s="43">
        <v>40678</v>
      </c>
      <c r="Y83" s="28"/>
      <c r="AA83" s="24" t="s">
        <v>393</v>
      </c>
      <c r="AB83" s="28">
        <v>40688</v>
      </c>
      <c r="AC83" s="69"/>
    </row>
    <row r="84" spans="1:29" ht="14.25" customHeight="1" x14ac:dyDescent="0.4">
      <c r="B84" s="24">
        <v>40676</v>
      </c>
      <c r="C84" s="24">
        <v>40676</v>
      </c>
      <c r="D84" s="24">
        <v>40676</v>
      </c>
      <c r="E84" s="24">
        <v>40676</v>
      </c>
      <c r="F84" s="24" t="s">
        <v>393</v>
      </c>
      <c r="G84" s="24">
        <v>40688</v>
      </c>
      <c r="H84" s="37">
        <v>355</v>
      </c>
      <c r="I84" s="23" t="s">
        <v>2003</v>
      </c>
      <c r="J84" s="37">
        <v>25</v>
      </c>
      <c r="K84" s="24" t="s">
        <v>1367</v>
      </c>
      <c r="L84" s="24">
        <v>0</v>
      </c>
      <c r="M84" s="24">
        <v>40659</v>
      </c>
      <c r="N84" s="22" t="s">
        <v>585</v>
      </c>
      <c r="O84" s="11">
        <v>9110444</v>
      </c>
      <c r="P84" s="22">
        <v>1020</v>
      </c>
      <c r="Q84" s="22">
        <v>42</v>
      </c>
      <c r="R84" s="22" t="s">
        <v>380</v>
      </c>
      <c r="S84" s="38" t="s">
        <v>205</v>
      </c>
      <c r="T84" s="38" t="s">
        <v>404</v>
      </c>
      <c r="U84" s="13">
        <v>40660</v>
      </c>
      <c r="V84" s="1" t="s">
        <v>404</v>
      </c>
      <c r="W84" s="43">
        <v>40678</v>
      </c>
      <c r="Y84" s="28"/>
      <c r="AA84" s="24" t="s">
        <v>393</v>
      </c>
      <c r="AB84" s="28">
        <v>40688</v>
      </c>
      <c r="AC84" s="69"/>
    </row>
    <row r="85" spans="1:29" ht="14.25" customHeight="1" x14ac:dyDescent="0.4">
      <c r="B85" s="22">
        <v>0</v>
      </c>
      <c r="C85" s="22">
        <v>0</v>
      </c>
      <c r="D85" s="22">
        <v>0</v>
      </c>
      <c r="E85" s="24">
        <v>40644</v>
      </c>
      <c r="F85" s="24" t="s">
        <v>393</v>
      </c>
      <c r="G85" s="24">
        <v>40652</v>
      </c>
      <c r="H85" s="37">
        <v>286</v>
      </c>
      <c r="I85" s="23" t="s">
        <v>2002</v>
      </c>
      <c r="J85" s="37">
        <v>19</v>
      </c>
      <c r="K85" s="24" t="s">
        <v>1367</v>
      </c>
      <c r="L85" s="24" t="s">
        <v>2002</v>
      </c>
      <c r="M85" s="24">
        <v>40406</v>
      </c>
      <c r="N85" s="22" t="s">
        <v>585</v>
      </c>
      <c r="O85" s="4">
        <v>9110266</v>
      </c>
      <c r="P85" s="22">
        <v>1020</v>
      </c>
      <c r="Q85" s="22">
        <v>42</v>
      </c>
      <c r="R85" s="22" t="s">
        <v>381</v>
      </c>
      <c r="S85" s="4"/>
      <c r="T85" s="1" t="s">
        <v>404</v>
      </c>
      <c r="U85" s="42">
        <v>40661</v>
      </c>
      <c r="V85" s="1" t="s">
        <v>404</v>
      </c>
      <c r="W85" s="28"/>
      <c r="X85" s="74"/>
      <c r="Y85" s="28"/>
      <c r="Z85" s="28"/>
      <c r="AA85" s="24" t="s">
        <v>393</v>
      </c>
      <c r="AB85" s="28">
        <v>40652</v>
      </c>
      <c r="AC85" s="69"/>
    </row>
    <row r="86" spans="1:29" ht="14.25" customHeight="1" x14ac:dyDescent="0.4">
      <c r="B86" s="22">
        <v>0</v>
      </c>
      <c r="C86" s="22" t="s">
        <v>2165</v>
      </c>
      <c r="D86" s="22">
        <v>0</v>
      </c>
      <c r="E86" s="24">
        <v>40471</v>
      </c>
      <c r="F86" s="24" t="s">
        <v>393</v>
      </c>
      <c r="G86" s="24">
        <v>40476</v>
      </c>
      <c r="H86" s="37">
        <v>34</v>
      </c>
      <c r="I86" s="23" t="e">
        <v>#REF!</v>
      </c>
      <c r="J86" s="37" t="e">
        <v>#REF!</v>
      </c>
      <c r="K86" s="24" t="s">
        <v>1367</v>
      </c>
      <c r="L86" s="24" t="s">
        <v>2788</v>
      </c>
      <c r="M86" s="24">
        <v>40408</v>
      </c>
      <c r="N86" s="22" t="s">
        <v>585</v>
      </c>
      <c r="O86" s="4">
        <v>9110301</v>
      </c>
      <c r="P86" s="22">
        <v>720</v>
      </c>
      <c r="Q86" s="22">
        <v>42</v>
      </c>
      <c r="R86" s="22">
        <v>0</v>
      </c>
      <c r="S86" s="4" t="s">
        <v>281</v>
      </c>
      <c r="T86" s="38" t="s">
        <v>404</v>
      </c>
      <c r="U86" s="94">
        <v>40686</v>
      </c>
      <c r="V86" s="3" t="s">
        <v>404</v>
      </c>
      <c r="W86" s="94">
        <v>40709</v>
      </c>
      <c r="X86" s="74"/>
      <c r="Y86" s="28"/>
      <c r="Z86" s="9"/>
      <c r="AA86" s="24" t="s">
        <v>393</v>
      </c>
      <c r="AB86" s="28">
        <v>40476</v>
      </c>
      <c r="AC86" s="69"/>
    </row>
    <row r="87" spans="1:29" ht="14.25" customHeight="1" x14ac:dyDescent="0.4">
      <c r="B87" s="22">
        <v>0</v>
      </c>
      <c r="C87" s="22" t="s">
        <v>2165</v>
      </c>
      <c r="D87" s="22">
        <v>0</v>
      </c>
      <c r="E87" s="24">
        <v>40369</v>
      </c>
      <c r="F87" s="24" t="s">
        <v>393</v>
      </c>
      <c r="G87" s="24">
        <v>0</v>
      </c>
      <c r="H87" s="37">
        <v>422</v>
      </c>
      <c r="I87" s="23" t="s">
        <v>2004</v>
      </c>
      <c r="J87" s="37">
        <v>36</v>
      </c>
      <c r="K87" s="24" t="s">
        <v>1367</v>
      </c>
      <c r="L87" s="24">
        <v>0</v>
      </c>
      <c r="M87" s="24">
        <v>40374</v>
      </c>
      <c r="N87" s="22" t="s">
        <v>585</v>
      </c>
      <c r="O87" s="4">
        <v>9110027</v>
      </c>
      <c r="P87" s="22">
        <v>1020</v>
      </c>
      <c r="Q87" s="22">
        <v>42</v>
      </c>
      <c r="R87" s="22" t="s">
        <v>382</v>
      </c>
      <c r="S87" s="38" t="s">
        <v>279</v>
      </c>
      <c r="T87" s="4" t="s">
        <v>404</v>
      </c>
      <c r="U87" s="44">
        <v>40686</v>
      </c>
      <c r="V87" s="38" t="s">
        <v>404</v>
      </c>
      <c r="W87" s="9">
        <v>40709</v>
      </c>
      <c r="X87" s="74"/>
      <c r="Y87" s="28"/>
      <c r="Z87" s="9"/>
      <c r="AA87" s="24" t="s">
        <v>393</v>
      </c>
      <c r="AB87" s="28">
        <v>0</v>
      </c>
      <c r="AC87" s="69"/>
    </row>
    <row r="88" spans="1:29" ht="14.25" customHeight="1" x14ac:dyDescent="0.4">
      <c r="B88" s="22">
        <v>0</v>
      </c>
      <c r="C88" s="22" t="s">
        <v>2102</v>
      </c>
      <c r="D88" s="22">
        <v>0</v>
      </c>
      <c r="E88" s="24">
        <v>40470</v>
      </c>
      <c r="F88" s="24" t="s">
        <v>393</v>
      </c>
      <c r="G88" s="24">
        <v>40480</v>
      </c>
      <c r="H88" s="37">
        <v>33</v>
      </c>
      <c r="I88" s="23" t="e">
        <v>#REF!</v>
      </c>
      <c r="J88" s="37" t="e">
        <v>#REF!</v>
      </c>
      <c r="K88" s="24" t="s">
        <v>1367</v>
      </c>
      <c r="L88" s="24" t="s">
        <v>2788</v>
      </c>
      <c r="M88" s="24">
        <v>40408</v>
      </c>
      <c r="N88" s="22" t="s">
        <v>628</v>
      </c>
      <c r="O88" s="4">
        <v>9110300</v>
      </c>
      <c r="P88" s="22">
        <v>1020</v>
      </c>
      <c r="Q88" s="22">
        <v>50</v>
      </c>
      <c r="R88" s="22" t="s">
        <v>383</v>
      </c>
      <c r="S88" s="55" t="s">
        <v>1937</v>
      </c>
      <c r="T88" s="91" t="s">
        <v>404</v>
      </c>
      <c r="U88" s="94">
        <v>40455</v>
      </c>
      <c r="V88" s="91" t="s">
        <v>404</v>
      </c>
      <c r="W88" s="92">
        <v>40497</v>
      </c>
      <c r="Y88" s="28"/>
      <c r="Z88" s="9"/>
      <c r="AA88" s="24" t="s">
        <v>393</v>
      </c>
      <c r="AB88" s="28">
        <v>40480</v>
      </c>
      <c r="AC88" s="69"/>
    </row>
    <row r="89" spans="1:29" ht="14.25" customHeight="1" x14ac:dyDescent="0.4">
      <c r="A89" s="4"/>
      <c r="B89" s="22">
        <v>0</v>
      </c>
      <c r="C89" s="22" t="s">
        <v>2165</v>
      </c>
      <c r="D89" s="22">
        <v>0</v>
      </c>
      <c r="E89" s="24">
        <v>40567</v>
      </c>
      <c r="F89" s="24" t="s">
        <v>393</v>
      </c>
      <c r="G89" s="24">
        <v>40569</v>
      </c>
      <c r="H89" s="37">
        <v>141</v>
      </c>
      <c r="I89" s="23" t="s">
        <v>1999</v>
      </c>
      <c r="J89" s="37">
        <v>32</v>
      </c>
      <c r="K89" s="24" t="s">
        <v>1367</v>
      </c>
      <c r="L89" s="24" t="s">
        <v>1997</v>
      </c>
      <c r="M89" s="24">
        <v>40408</v>
      </c>
      <c r="N89" s="22" t="s">
        <v>628</v>
      </c>
      <c r="O89" s="4">
        <v>9110303</v>
      </c>
      <c r="P89" s="22">
        <v>1020</v>
      </c>
      <c r="Q89" s="22">
        <v>50</v>
      </c>
      <c r="R89" s="22" t="s">
        <v>1431</v>
      </c>
      <c r="S89" s="1" t="s">
        <v>1431</v>
      </c>
      <c r="T89" s="3" t="s">
        <v>404</v>
      </c>
      <c r="U89" s="92">
        <v>40465</v>
      </c>
      <c r="V89" s="38" t="s">
        <v>404</v>
      </c>
      <c r="W89" s="92">
        <v>40603</v>
      </c>
      <c r="X89" s="74"/>
      <c r="Y89" s="28"/>
      <c r="Z89" s="28"/>
      <c r="AA89" s="24" t="s">
        <v>393</v>
      </c>
      <c r="AB89" s="28">
        <v>40569</v>
      </c>
      <c r="AC89" s="69"/>
    </row>
    <row r="90" spans="1:29" ht="14.25" customHeight="1" x14ac:dyDescent="0.4">
      <c r="B90" s="22" t="s">
        <v>2165</v>
      </c>
      <c r="C90" s="22" t="s">
        <v>2165</v>
      </c>
      <c r="D90" s="22">
        <v>0</v>
      </c>
      <c r="E90" s="24">
        <v>40568</v>
      </c>
      <c r="F90" s="24" t="s">
        <v>393</v>
      </c>
      <c r="G90" s="24">
        <v>40570</v>
      </c>
      <c r="H90" s="37">
        <v>142</v>
      </c>
      <c r="I90" s="23" t="s">
        <v>1999</v>
      </c>
      <c r="J90" s="37">
        <v>33</v>
      </c>
      <c r="K90" s="24" t="s">
        <v>1367</v>
      </c>
      <c r="L90" s="24" t="s">
        <v>1997</v>
      </c>
      <c r="M90" s="24">
        <v>40408</v>
      </c>
      <c r="N90" s="22" t="s">
        <v>628</v>
      </c>
      <c r="O90" s="4">
        <v>9110304</v>
      </c>
      <c r="P90" s="22">
        <v>1020</v>
      </c>
      <c r="Q90" s="22">
        <v>50</v>
      </c>
      <c r="R90" s="22" t="s">
        <v>384</v>
      </c>
      <c r="S90" s="1" t="s">
        <v>1984</v>
      </c>
      <c r="T90" s="91" t="s">
        <v>404</v>
      </c>
      <c r="U90" s="92">
        <v>40505</v>
      </c>
      <c r="V90" s="3" t="s">
        <v>404</v>
      </c>
      <c r="W90" s="92">
        <v>40603</v>
      </c>
      <c r="X90" s="74"/>
      <c r="Y90" s="28"/>
      <c r="Z90" s="9"/>
      <c r="AA90" s="24" t="s">
        <v>393</v>
      </c>
      <c r="AB90" s="28">
        <v>40570</v>
      </c>
      <c r="AC90" s="69"/>
    </row>
    <row r="91" spans="1:29" ht="14.25" customHeight="1" x14ac:dyDescent="0.4">
      <c r="B91" s="22">
        <v>0</v>
      </c>
      <c r="C91" s="22" t="s">
        <v>2165</v>
      </c>
      <c r="D91" s="22">
        <v>0</v>
      </c>
      <c r="E91" s="24">
        <v>40611</v>
      </c>
      <c r="F91" s="24" t="s">
        <v>393</v>
      </c>
      <c r="G91" s="24">
        <v>40631</v>
      </c>
      <c r="H91" s="37">
        <v>219</v>
      </c>
      <c r="I91" s="23" t="s">
        <v>2001</v>
      </c>
      <c r="J91" s="37">
        <v>21</v>
      </c>
      <c r="K91" s="24" t="s">
        <v>1367</v>
      </c>
      <c r="L91" s="24" t="s">
        <v>1999</v>
      </c>
      <c r="M91" s="24">
        <v>40408</v>
      </c>
      <c r="N91" s="22" t="s">
        <v>628</v>
      </c>
      <c r="O91" s="4">
        <v>9110302</v>
      </c>
      <c r="P91" s="22">
        <v>1020</v>
      </c>
      <c r="Q91" s="22">
        <v>50</v>
      </c>
      <c r="R91" s="22" t="s">
        <v>385</v>
      </c>
      <c r="S91" s="4" t="s">
        <v>2091</v>
      </c>
      <c r="T91" s="38" t="s">
        <v>404</v>
      </c>
      <c r="U91" s="44">
        <v>40536</v>
      </c>
      <c r="V91" s="38" t="s">
        <v>404</v>
      </c>
      <c r="W91" s="9">
        <v>40664</v>
      </c>
      <c r="X91" s="74"/>
      <c r="Y91" s="28"/>
      <c r="Z91" s="9"/>
      <c r="AA91" s="24" t="s">
        <v>393</v>
      </c>
      <c r="AB91" s="28">
        <v>40631</v>
      </c>
      <c r="AC91" s="69"/>
    </row>
    <row r="92" spans="1:29" ht="14.25" customHeight="1" x14ac:dyDescent="0.4">
      <c r="B92" s="22">
        <v>0</v>
      </c>
      <c r="C92" s="22">
        <v>0</v>
      </c>
      <c r="D92" s="22">
        <v>0</v>
      </c>
      <c r="E92" s="24">
        <v>40626</v>
      </c>
      <c r="F92" s="24" t="s">
        <v>393</v>
      </c>
      <c r="G92" s="24">
        <v>40638</v>
      </c>
      <c r="H92" s="37">
        <v>251</v>
      </c>
      <c r="I92" s="23" t="s">
        <v>2001</v>
      </c>
      <c r="J92" s="37">
        <v>53</v>
      </c>
      <c r="K92" s="24" t="s">
        <v>1367</v>
      </c>
      <c r="L92" s="24" t="s">
        <v>2000</v>
      </c>
      <c r="M92" s="24">
        <v>40408</v>
      </c>
      <c r="N92" s="22" t="s">
        <v>628</v>
      </c>
      <c r="O92" s="4">
        <v>9110305</v>
      </c>
      <c r="P92" s="22">
        <v>1020</v>
      </c>
      <c r="Q92" s="22">
        <v>50</v>
      </c>
      <c r="R92" s="22" t="s">
        <v>1443</v>
      </c>
      <c r="S92" s="4" t="s">
        <v>1443</v>
      </c>
      <c r="T92" s="38" t="s">
        <v>404</v>
      </c>
      <c r="U92" s="9">
        <v>40543</v>
      </c>
      <c r="V92" s="4" t="s">
        <v>404</v>
      </c>
      <c r="W92" s="9">
        <v>40664</v>
      </c>
      <c r="Y92" s="28"/>
      <c r="Z92" s="28"/>
      <c r="AA92" s="24" t="s">
        <v>393</v>
      </c>
      <c r="AB92" s="28">
        <v>40638</v>
      </c>
      <c r="AC92" s="69"/>
    </row>
    <row r="93" spans="1:29" ht="14.25" customHeight="1" x14ac:dyDescent="0.4">
      <c r="B93" s="22">
        <v>0</v>
      </c>
      <c r="C93" s="22">
        <v>0</v>
      </c>
      <c r="D93" s="22">
        <v>0</v>
      </c>
      <c r="E93" s="24">
        <v>40701</v>
      </c>
      <c r="F93" s="24" t="s">
        <v>393</v>
      </c>
      <c r="G93" s="24">
        <v>40710</v>
      </c>
      <c r="H93" s="37">
        <v>394</v>
      </c>
      <c r="I93" s="23" t="s">
        <v>2004</v>
      </c>
      <c r="J93" s="37">
        <v>8</v>
      </c>
      <c r="K93" s="24" t="s">
        <v>1367</v>
      </c>
      <c r="L93" s="24" t="s">
        <v>2000</v>
      </c>
      <c r="M93" s="24">
        <v>40408</v>
      </c>
      <c r="N93" s="22" t="s">
        <v>628</v>
      </c>
      <c r="O93" s="4">
        <v>9110306</v>
      </c>
      <c r="P93" s="22">
        <v>1020</v>
      </c>
      <c r="Q93" s="22">
        <v>50</v>
      </c>
      <c r="R93" s="22"/>
      <c r="S93" s="4"/>
      <c r="T93" s="38" t="s">
        <v>404</v>
      </c>
      <c r="U93" s="9">
        <v>40830</v>
      </c>
      <c r="V93" s="38" t="s">
        <v>404</v>
      </c>
      <c r="W93" s="9">
        <v>40830</v>
      </c>
      <c r="X93" s="74"/>
      <c r="Y93" s="28"/>
      <c r="Z93" s="28"/>
      <c r="AA93" s="24" t="s">
        <v>393</v>
      </c>
      <c r="AB93" s="28">
        <v>40710</v>
      </c>
      <c r="AC93" s="69"/>
    </row>
    <row r="94" spans="1:29" ht="14.25" customHeight="1" x14ac:dyDescent="0.4">
      <c r="B94" s="24">
        <v>40723</v>
      </c>
      <c r="C94" s="24">
        <v>40723</v>
      </c>
      <c r="D94" s="24">
        <v>40723</v>
      </c>
      <c r="E94" s="24">
        <v>40723</v>
      </c>
      <c r="F94" s="24" t="s">
        <v>393</v>
      </c>
      <c r="G94" s="24">
        <v>40724</v>
      </c>
      <c r="H94" s="37">
        <v>416</v>
      </c>
      <c r="I94" s="23" t="s">
        <v>2004</v>
      </c>
      <c r="J94" s="37">
        <v>30</v>
      </c>
      <c r="K94" s="24" t="s">
        <v>1367</v>
      </c>
      <c r="L94" s="24">
        <v>0</v>
      </c>
      <c r="M94" s="24">
        <v>40472</v>
      </c>
      <c r="N94" s="22" t="s">
        <v>628</v>
      </c>
      <c r="O94" s="4">
        <v>9110386</v>
      </c>
      <c r="P94" s="22">
        <v>1020</v>
      </c>
      <c r="Q94" s="22">
        <v>50</v>
      </c>
      <c r="R94" s="22" t="s">
        <v>1520</v>
      </c>
      <c r="S94" s="4"/>
      <c r="T94" s="38" t="s">
        <v>404</v>
      </c>
      <c r="U94" s="44">
        <v>40830</v>
      </c>
      <c r="V94" s="4" t="s">
        <v>404</v>
      </c>
      <c r="W94" s="44">
        <v>40830</v>
      </c>
      <c r="X94" s="74">
        <v>0</v>
      </c>
      <c r="Y94" s="28"/>
      <c r="Z94" s="9"/>
      <c r="AA94" s="24" t="s">
        <v>393</v>
      </c>
      <c r="AB94" s="28">
        <v>40724</v>
      </c>
      <c r="AC94" s="69"/>
    </row>
    <row r="95" spans="1:29" ht="14.25" customHeight="1" x14ac:dyDescent="0.4">
      <c r="A95" s="4"/>
      <c r="B95" s="22">
        <v>0</v>
      </c>
      <c r="C95" s="22" t="s">
        <v>2165</v>
      </c>
      <c r="D95" s="22">
        <v>0</v>
      </c>
      <c r="E95" s="24">
        <v>40665</v>
      </c>
      <c r="F95" s="24" t="s">
        <v>393</v>
      </c>
      <c r="G95" s="24">
        <v>40673</v>
      </c>
      <c r="H95" s="37">
        <v>331</v>
      </c>
      <c r="I95" s="23" t="s">
        <v>2003</v>
      </c>
      <c r="J95" s="37">
        <v>1</v>
      </c>
      <c r="K95" s="24" t="s">
        <v>1367</v>
      </c>
      <c r="L95" s="36"/>
      <c r="M95" s="24">
        <v>40616</v>
      </c>
      <c r="N95" s="22" t="s">
        <v>121</v>
      </c>
      <c r="O95" s="4">
        <v>9110271</v>
      </c>
      <c r="P95" s="22">
        <v>1020</v>
      </c>
      <c r="Q95" s="22">
        <v>42</v>
      </c>
      <c r="R95" s="22"/>
      <c r="S95" s="4" t="s">
        <v>280</v>
      </c>
      <c r="T95" s="38" t="s">
        <v>404</v>
      </c>
      <c r="U95" s="44">
        <v>40690</v>
      </c>
      <c r="V95" s="38" t="s">
        <v>404</v>
      </c>
      <c r="W95" s="9">
        <v>40697</v>
      </c>
      <c r="X95" s="74"/>
      <c r="Y95" s="28"/>
      <c r="Z95" s="9"/>
      <c r="AA95" s="24" t="s">
        <v>393</v>
      </c>
      <c r="AB95" s="28">
        <v>40673</v>
      </c>
      <c r="AC95" s="69"/>
    </row>
    <row r="96" spans="1:29" ht="14.25" customHeight="1" x14ac:dyDescent="0.4">
      <c r="B96" s="22">
        <v>0</v>
      </c>
      <c r="C96" s="22" t="s">
        <v>2165</v>
      </c>
      <c r="D96" s="22">
        <v>0</v>
      </c>
      <c r="E96" s="24">
        <v>40665</v>
      </c>
      <c r="F96" s="24" t="s">
        <v>393</v>
      </c>
      <c r="G96" s="24">
        <v>40673</v>
      </c>
      <c r="H96" s="37">
        <v>332</v>
      </c>
      <c r="I96" s="23" t="s">
        <v>2003</v>
      </c>
      <c r="J96" s="37">
        <v>2</v>
      </c>
      <c r="K96" s="24" t="s">
        <v>1367</v>
      </c>
      <c r="L96" s="36"/>
      <c r="M96" s="24">
        <v>40616</v>
      </c>
      <c r="N96" s="22" t="s">
        <v>121</v>
      </c>
      <c r="O96" s="4">
        <v>9110272</v>
      </c>
      <c r="P96" s="22">
        <v>1020</v>
      </c>
      <c r="Q96" s="22">
        <v>42</v>
      </c>
      <c r="R96" s="22"/>
      <c r="S96" s="4"/>
      <c r="T96" s="38" t="s">
        <v>404</v>
      </c>
      <c r="U96" s="44">
        <v>40891</v>
      </c>
      <c r="V96" s="38"/>
      <c r="W96" s="9"/>
      <c r="X96" s="74"/>
      <c r="Y96" s="28"/>
      <c r="Z96" s="9"/>
      <c r="AA96" s="24" t="s">
        <v>393</v>
      </c>
      <c r="AB96" s="28">
        <v>40673</v>
      </c>
      <c r="AC96" s="69"/>
    </row>
    <row r="97" spans="1:29" ht="14.25" customHeight="1" x14ac:dyDescent="0.4">
      <c r="A97" s="4"/>
      <c r="B97" s="22">
        <v>0</v>
      </c>
      <c r="C97" s="22" t="s">
        <v>2165</v>
      </c>
      <c r="D97" s="22">
        <v>0</v>
      </c>
      <c r="E97" s="24">
        <v>40596</v>
      </c>
      <c r="F97" s="24" t="s">
        <v>393</v>
      </c>
      <c r="G97" s="24">
        <v>40598</v>
      </c>
      <c r="H97" s="37">
        <v>186</v>
      </c>
      <c r="I97" s="23" t="s">
        <v>2000</v>
      </c>
      <c r="J97" s="37">
        <v>34</v>
      </c>
      <c r="K97" s="24" t="s">
        <v>2129</v>
      </c>
      <c r="L97" s="24" t="s">
        <v>1991</v>
      </c>
      <c r="M97" s="24">
        <v>40406</v>
      </c>
      <c r="N97" s="22" t="s">
        <v>1366</v>
      </c>
      <c r="O97" s="4">
        <v>9110029</v>
      </c>
      <c r="P97" s="22">
        <v>1020</v>
      </c>
      <c r="Q97" s="22">
        <v>42</v>
      </c>
      <c r="R97" s="22" t="s">
        <v>2789</v>
      </c>
      <c r="S97" s="4" t="s">
        <v>97</v>
      </c>
      <c r="T97" s="4" t="s">
        <v>404</v>
      </c>
      <c r="U97" s="44">
        <v>40627</v>
      </c>
      <c r="V97" s="38"/>
      <c r="W97" s="9"/>
      <c r="X97" s="74"/>
      <c r="Y97" s="28"/>
      <c r="Z97" s="9"/>
      <c r="AA97" s="24" t="s">
        <v>393</v>
      </c>
      <c r="AB97" s="28">
        <v>40598</v>
      </c>
      <c r="AC97" s="69"/>
    </row>
    <row r="98" spans="1:29" ht="14.25" customHeight="1" x14ac:dyDescent="0.4">
      <c r="A98" s="4"/>
      <c r="B98" s="22">
        <v>0</v>
      </c>
      <c r="C98" s="22" t="s">
        <v>2165</v>
      </c>
      <c r="D98" s="22">
        <v>0</v>
      </c>
      <c r="E98" s="24">
        <v>40452</v>
      </c>
      <c r="F98" s="24" t="s">
        <v>393</v>
      </c>
      <c r="G98" s="24">
        <v>40458</v>
      </c>
      <c r="H98" s="37">
        <v>17</v>
      </c>
      <c r="I98" s="23" t="e">
        <v>#REF!</v>
      </c>
      <c r="J98" s="37" t="e">
        <v>#REF!</v>
      </c>
      <c r="K98" s="24" t="s">
        <v>2129</v>
      </c>
      <c r="L98" s="24" t="s">
        <v>1991</v>
      </c>
      <c r="M98" s="24">
        <v>40406</v>
      </c>
      <c r="N98" s="22" t="s">
        <v>1366</v>
      </c>
      <c r="O98" s="4">
        <v>9110030</v>
      </c>
      <c r="P98" s="22">
        <v>1220</v>
      </c>
      <c r="Q98" s="22">
        <v>50</v>
      </c>
      <c r="R98" s="22" t="s">
        <v>2790</v>
      </c>
      <c r="S98" s="4" t="s">
        <v>123</v>
      </c>
      <c r="T98" s="38" t="s">
        <v>404</v>
      </c>
      <c r="U98" s="44">
        <v>40640</v>
      </c>
      <c r="V98" s="38"/>
      <c r="W98" s="9"/>
      <c r="X98" s="74"/>
      <c r="Y98" s="28"/>
      <c r="Z98" s="9"/>
      <c r="AA98" s="24" t="s">
        <v>393</v>
      </c>
      <c r="AB98" s="28">
        <v>40458</v>
      </c>
      <c r="AC98" s="69"/>
    </row>
    <row r="99" spans="1:29" ht="14.25" customHeight="1" x14ac:dyDescent="0.4">
      <c r="B99" s="24">
        <v>40483</v>
      </c>
      <c r="C99" s="24">
        <v>40483</v>
      </c>
      <c r="D99" s="24">
        <v>40483</v>
      </c>
      <c r="E99" s="24">
        <v>40483</v>
      </c>
      <c r="F99" s="24" t="s">
        <v>393</v>
      </c>
      <c r="G99" s="24">
        <v>40491</v>
      </c>
      <c r="H99" s="37">
        <v>50</v>
      </c>
      <c r="I99" s="23" t="e">
        <v>#REF!</v>
      </c>
      <c r="J99" s="37" t="e">
        <v>#REF!</v>
      </c>
      <c r="K99" s="24" t="s">
        <v>2129</v>
      </c>
      <c r="L99" s="24" t="s">
        <v>2791</v>
      </c>
      <c r="M99" s="24">
        <v>40406</v>
      </c>
      <c r="N99" s="22" t="s">
        <v>1366</v>
      </c>
      <c r="O99" s="4">
        <v>9110179</v>
      </c>
      <c r="P99" s="22">
        <v>1020</v>
      </c>
      <c r="Q99" s="22">
        <v>42</v>
      </c>
      <c r="R99" s="22" t="s">
        <v>2792</v>
      </c>
      <c r="S99" s="4" t="s">
        <v>2157</v>
      </c>
      <c r="T99" s="4" t="s">
        <v>404</v>
      </c>
      <c r="U99" s="57">
        <v>40589</v>
      </c>
      <c r="V99" s="4"/>
      <c r="W99" s="57"/>
      <c r="X99" s="74"/>
      <c r="Y99" s="28"/>
      <c r="Z99" s="28"/>
      <c r="AA99" s="24" t="s">
        <v>393</v>
      </c>
      <c r="AB99" s="28">
        <v>40491</v>
      </c>
      <c r="AC99" s="69"/>
    </row>
    <row r="100" spans="1:29" ht="14.25" customHeight="1" x14ac:dyDescent="0.4">
      <c r="B100" s="24">
        <v>40480</v>
      </c>
      <c r="C100" s="24">
        <v>40480</v>
      </c>
      <c r="D100" s="24">
        <v>40480</v>
      </c>
      <c r="E100" s="24">
        <v>40480</v>
      </c>
      <c r="F100" s="24" t="s">
        <v>393</v>
      </c>
      <c r="G100" s="24">
        <v>40486</v>
      </c>
      <c r="H100" s="37">
        <v>49</v>
      </c>
      <c r="I100" s="23" t="e">
        <v>#REF!</v>
      </c>
      <c r="J100" s="37" t="e">
        <v>#REF!</v>
      </c>
      <c r="K100" s="24" t="s">
        <v>2129</v>
      </c>
      <c r="L100" s="24" t="s">
        <v>2791</v>
      </c>
      <c r="M100" s="24">
        <v>40406</v>
      </c>
      <c r="N100" s="22" t="s">
        <v>1366</v>
      </c>
      <c r="O100" s="4">
        <v>9110180</v>
      </c>
      <c r="P100" s="22">
        <v>720</v>
      </c>
      <c r="Q100" s="22">
        <v>42</v>
      </c>
      <c r="R100" s="22" t="s">
        <v>2793</v>
      </c>
      <c r="S100" s="4" t="s">
        <v>2158</v>
      </c>
      <c r="T100" s="4" t="s">
        <v>404</v>
      </c>
      <c r="U100" s="57">
        <v>40589</v>
      </c>
      <c r="V100" s="4"/>
      <c r="W100" s="59"/>
      <c r="X100" s="74"/>
      <c r="Y100" s="28"/>
      <c r="Z100" s="9"/>
      <c r="AA100" s="24" t="s">
        <v>393</v>
      </c>
      <c r="AB100" s="28">
        <v>40486</v>
      </c>
      <c r="AC100" s="69"/>
    </row>
    <row r="101" spans="1:29" ht="14.25" customHeight="1" x14ac:dyDescent="0.4">
      <c r="B101" s="22">
        <v>0</v>
      </c>
      <c r="C101" s="22" t="s">
        <v>2165</v>
      </c>
      <c r="D101" s="22">
        <v>0</v>
      </c>
      <c r="E101" s="24">
        <v>40451</v>
      </c>
      <c r="F101" s="24" t="s">
        <v>393</v>
      </c>
      <c r="G101" s="24">
        <v>40458</v>
      </c>
      <c r="H101" s="37">
        <v>16</v>
      </c>
      <c r="I101" s="23" t="s">
        <v>1992</v>
      </c>
      <c r="J101" s="37" t="e">
        <v>#REF!</v>
      </c>
      <c r="K101" s="24" t="s">
        <v>2129</v>
      </c>
      <c r="L101" s="24">
        <v>40558</v>
      </c>
      <c r="M101" s="24">
        <v>40406</v>
      </c>
      <c r="N101" s="22" t="s">
        <v>1366</v>
      </c>
      <c r="O101" s="4">
        <v>9110181</v>
      </c>
      <c r="P101" s="22">
        <v>1020</v>
      </c>
      <c r="Q101" s="22">
        <v>42</v>
      </c>
      <c r="R101" s="22" t="s">
        <v>2794</v>
      </c>
      <c r="S101" s="4" t="s">
        <v>1890</v>
      </c>
      <c r="T101" s="4" t="s">
        <v>404</v>
      </c>
      <c r="U101" s="57">
        <v>40423</v>
      </c>
      <c r="V101" s="4"/>
      <c r="W101" s="57"/>
      <c r="X101" s="74"/>
      <c r="Y101" s="28"/>
      <c r="Z101" s="9"/>
      <c r="AA101" s="24" t="s">
        <v>393</v>
      </c>
      <c r="AB101" s="28">
        <v>40458</v>
      </c>
      <c r="AC101" s="69"/>
    </row>
    <row r="102" spans="1:29" ht="14.25" customHeight="1" x14ac:dyDescent="0.4">
      <c r="B102" s="22">
        <v>0</v>
      </c>
      <c r="C102" s="22" t="s">
        <v>2165</v>
      </c>
      <c r="D102" s="22">
        <v>0</v>
      </c>
      <c r="E102" s="24">
        <v>40597</v>
      </c>
      <c r="F102" s="24" t="s">
        <v>393</v>
      </c>
      <c r="G102" s="24">
        <v>40598</v>
      </c>
      <c r="H102" s="37">
        <v>187</v>
      </c>
      <c r="I102" s="23" t="s">
        <v>2000</v>
      </c>
      <c r="J102" s="37">
        <v>35</v>
      </c>
      <c r="K102" s="24" t="s">
        <v>2129</v>
      </c>
      <c r="L102" s="24" t="s">
        <v>2795</v>
      </c>
      <c r="M102" s="24">
        <v>40406</v>
      </c>
      <c r="N102" s="22" t="s">
        <v>1366</v>
      </c>
      <c r="O102" s="4">
        <v>9110186</v>
      </c>
      <c r="P102" s="22">
        <v>1020</v>
      </c>
      <c r="Q102" s="22">
        <v>50</v>
      </c>
      <c r="R102" s="22" t="s">
        <v>2796</v>
      </c>
      <c r="S102" s="47" t="s">
        <v>1947</v>
      </c>
      <c r="T102" s="47" t="s">
        <v>404</v>
      </c>
      <c r="U102" s="85">
        <v>40514</v>
      </c>
      <c r="V102" s="47"/>
      <c r="W102" s="85"/>
      <c r="X102" s="86"/>
      <c r="Y102" s="28"/>
      <c r="Z102" s="28"/>
      <c r="AA102" s="24" t="s">
        <v>393</v>
      </c>
      <c r="AB102" s="28">
        <v>40598</v>
      </c>
      <c r="AC102" s="69"/>
    </row>
    <row r="103" spans="1:29" ht="14.25" customHeight="1" x14ac:dyDescent="0.4">
      <c r="B103" s="22">
        <v>0</v>
      </c>
      <c r="C103" s="22">
        <v>0</v>
      </c>
      <c r="D103" s="22">
        <v>0</v>
      </c>
      <c r="E103" s="24">
        <v>40596</v>
      </c>
      <c r="F103" s="24" t="s">
        <v>393</v>
      </c>
      <c r="G103" s="24">
        <v>40598</v>
      </c>
      <c r="H103" s="37">
        <v>185</v>
      </c>
      <c r="I103" s="23" t="s">
        <v>2000</v>
      </c>
      <c r="J103" s="37">
        <v>33</v>
      </c>
      <c r="K103" s="24" t="s">
        <v>2129</v>
      </c>
      <c r="L103" s="24" t="s">
        <v>2795</v>
      </c>
      <c r="M103" s="24">
        <v>40406</v>
      </c>
      <c r="N103" s="22" t="s">
        <v>1366</v>
      </c>
      <c r="O103" s="4">
        <v>9110182</v>
      </c>
      <c r="P103" s="22">
        <v>720</v>
      </c>
      <c r="Q103" s="22">
        <v>42</v>
      </c>
      <c r="R103" s="22" t="s">
        <v>2797</v>
      </c>
      <c r="S103" s="47" t="s">
        <v>49</v>
      </c>
      <c r="T103" s="87" t="s">
        <v>404</v>
      </c>
      <c r="U103" s="88">
        <v>40606</v>
      </c>
      <c r="V103" s="87"/>
      <c r="W103" s="89"/>
      <c r="X103" s="84"/>
      <c r="Y103" s="28"/>
      <c r="Z103" s="28"/>
      <c r="AA103" s="24" t="s">
        <v>393</v>
      </c>
      <c r="AB103" s="28">
        <v>40598</v>
      </c>
      <c r="AC103" s="69"/>
    </row>
    <row r="104" spans="1:29" ht="14.25" customHeight="1" x14ac:dyDescent="0.4">
      <c r="B104" s="22">
        <v>0</v>
      </c>
      <c r="C104" s="22" t="s">
        <v>2165</v>
      </c>
      <c r="D104" s="22">
        <v>0</v>
      </c>
      <c r="E104" s="24">
        <v>40596</v>
      </c>
      <c r="F104" s="24" t="s">
        <v>393</v>
      </c>
      <c r="G104" s="24">
        <v>40609</v>
      </c>
      <c r="H104" s="37">
        <v>184</v>
      </c>
      <c r="I104" s="23" t="s">
        <v>2000</v>
      </c>
      <c r="J104" s="37">
        <v>32</v>
      </c>
      <c r="K104" s="24" t="s">
        <v>2129</v>
      </c>
      <c r="L104" s="24" t="s">
        <v>2795</v>
      </c>
      <c r="M104" s="24">
        <v>40406</v>
      </c>
      <c r="N104" s="22" t="s">
        <v>1366</v>
      </c>
      <c r="O104" s="4">
        <v>9110183</v>
      </c>
      <c r="P104" s="22">
        <v>1220</v>
      </c>
      <c r="Q104" s="22">
        <v>50</v>
      </c>
      <c r="R104" s="22" t="s">
        <v>2798</v>
      </c>
      <c r="S104" s="4" t="s">
        <v>2085</v>
      </c>
      <c r="T104" s="4" t="s">
        <v>404</v>
      </c>
      <c r="U104" s="9">
        <v>40534</v>
      </c>
      <c r="V104" s="87"/>
      <c r="W104" s="89"/>
      <c r="X104" s="84"/>
      <c r="Y104" s="28"/>
      <c r="Z104" s="28"/>
      <c r="AA104" s="24" t="s">
        <v>393</v>
      </c>
      <c r="AB104" s="28">
        <v>40609</v>
      </c>
      <c r="AC104" s="69"/>
    </row>
    <row r="105" spans="1:29" ht="14.25" customHeight="1" x14ac:dyDescent="0.4">
      <c r="B105" s="22">
        <v>0</v>
      </c>
      <c r="C105" s="22">
        <v>0</v>
      </c>
      <c r="D105" s="22">
        <v>0</v>
      </c>
      <c r="E105" s="24">
        <v>40702</v>
      </c>
      <c r="F105" s="24" t="s">
        <v>393</v>
      </c>
      <c r="G105" s="24">
        <v>40709</v>
      </c>
      <c r="H105" s="37">
        <v>395</v>
      </c>
      <c r="I105" s="23" t="s">
        <v>2004</v>
      </c>
      <c r="J105" s="37">
        <v>9</v>
      </c>
      <c r="K105" s="24" t="s">
        <v>2129</v>
      </c>
      <c r="L105" s="24" t="s">
        <v>2795</v>
      </c>
      <c r="M105" s="24">
        <v>40406</v>
      </c>
      <c r="N105" s="22" t="s">
        <v>1366</v>
      </c>
      <c r="O105" s="4">
        <v>9110184</v>
      </c>
      <c r="P105" s="22">
        <v>1020</v>
      </c>
      <c r="Q105" s="22">
        <v>42</v>
      </c>
      <c r="R105" s="22" t="s">
        <v>2799</v>
      </c>
      <c r="S105" s="4" t="s">
        <v>412</v>
      </c>
      <c r="T105" s="4" t="s">
        <v>404</v>
      </c>
      <c r="U105" s="9">
        <v>40756</v>
      </c>
      <c r="V105" s="4"/>
      <c r="W105" s="9"/>
      <c r="Y105" s="28"/>
      <c r="Z105" s="28"/>
      <c r="AA105" s="24" t="s">
        <v>393</v>
      </c>
      <c r="AB105" s="28">
        <v>40709</v>
      </c>
      <c r="AC105" s="69"/>
    </row>
    <row r="106" spans="1:29" ht="14.25" customHeight="1" x14ac:dyDescent="0.4">
      <c r="B106" s="22">
        <v>0</v>
      </c>
      <c r="C106" s="22">
        <v>0</v>
      </c>
      <c r="D106" s="22">
        <v>0</v>
      </c>
      <c r="E106" s="24">
        <v>40707</v>
      </c>
      <c r="F106" s="24" t="s">
        <v>393</v>
      </c>
      <c r="G106" s="24">
        <v>40710</v>
      </c>
      <c r="H106" s="37">
        <v>398</v>
      </c>
      <c r="I106" s="23" t="s">
        <v>2004</v>
      </c>
      <c r="J106" s="37">
        <v>12</v>
      </c>
      <c r="K106" s="24" t="s">
        <v>2129</v>
      </c>
      <c r="L106" s="24" t="s">
        <v>2795</v>
      </c>
      <c r="M106" s="24">
        <v>40406</v>
      </c>
      <c r="N106" s="22" t="s">
        <v>1366</v>
      </c>
      <c r="O106" s="4">
        <v>9110185</v>
      </c>
      <c r="P106" s="22">
        <v>1020</v>
      </c>
      <c r="Q106" s="22">
        <v>50</v>
      </c>
      <c r="R106" s="22" t="s">
        <v>2800</v>
      </c>
      <c r="S106" s="4" t="s">
        <v>82</v>
      </c>
      <c r="T106" s="3" t="s">
        <v>404</v>
      </c>
      <c r="U106" s="28">
        <v>40613</v>
      </c>
      <c r="V106" s="3"/>
      <c r="W106" s="28"/>
      <c r="X106" s="74"/>
      <c r="Y106" s="28"/>
      <c r="Z106" s="9"/>
      <c r="AA106" s="24" t="s">
        <v>393</v>
      </c>
      <c r="AB106" s="28">
        <v>40710</v>
      </c>
      <c r="AC106" s="69"/>
    </row>
    <row r="107" spans="1:29" ht="14.25" customHeight="1" x14ac:dyDescent="0.4">
      <c r="B107" s="24">
        <v>40668</v>
      </c>
      <c r="C107" s="24">
        <v>40668</v>
      </c>
      <c r="D107" s="24">
        <v>40668</v>
      </c>
      <c r="E107" s="24">
        <v>40668</v>
      </c>
      <c r="F107" s="24" t="s">
        <v>393</v>
      </c>
      <c r="G107" s="24">
        <v>40675</v>
      </c>
      <c r="H107" s="37">
        <v>340</v>
      </c>
      <c r="I107" s="23" t="s">
        <v>2003</v>
      </c>
      <c r="J107" s="37">
        <v>10</v>
      </c>
      <c r="K107" s="24" t="s">
        <v>2129</v>
      </c>
      <c r="L107" s="24">
        <v>0</v>
      </c>
      <c r="M107" s="24">
        <v>40632</v>
      </c>
      <c r="N107" s="22" t="s">
        <v>1366</v>
      </c>
      <c r="O107" s="4">
        <v>9110432</v>
      </c>
      <c r="P107" s="22">
        <v>1020</v>
      </c>
      <c r="Q107" s="22">
        <v>42</v>
      </c>
      <c r="R107" s="22">
        <v>3989</v>
      </c>
      <c r="S107" s="3" t="s">
        <v>207</v>
      </c>
      <c r="T107" s="38" t="s">
        <v>404</v>
      </c>
      <c r="U107" s="13">
        <v>40661</v>
      </c>
      <c r="Y107" s="28"/>
      <c r="AA107" s="24" t="s">
        <v>393</v>
      </c>
      <c r="AB107" s="28">
        <v>40675</v>
      </c>
      <c r="AC107" s="69"/>
    </row>
    <row r="108" spans="1:29" ht="14.25" customHeight="1" x14ac:dyDescent="0.4">
      <c r="B108" s="24">
        <v>40668</v>
      </c>
      <c r="C108" s="24">
        <v>40668</v>
      </c>
      <c r="D108" s="24">
        <v>40668</v>
      </c>
      <c r="E108" s="24">
        <v>40668</v>
      </c>
      <c r="F108" s="24" t="s">
        <v>393</v>
      </c>
      <c r="G108" s="24">
        <v>40683</v>
      </c>
      <c r="H108" s="37">
        <v>341</v>
      </c>
      <c r="I108" s="23" t="s">
        <v>2003</v>
      </c>
      <c r="J108" s="37">
        <v>11</v>
      </c>
      <c r="K108" s="24" t="s">
        <v>2129</v>
      </c>
      <c r="L108" s="24">
        <v>0</v>
      </c>
      <c r="M108" s="24">
        <v>40632</v>
      </c>
      <c r="N108" s="22" t="s">
        <v>1366</v>
      </c>
      <c r="O108" s="4">
        <v>9110433</v>
      </c>
      <c r="P108" s="22">
        <v>1020</v>
      </c>
      <c r="Q108" s="22">
        <v>42</v>
      </c>
      <c r="R108" s="22">
        <v>3990</v>
      </c>
      <c r="S108" s="3" t="s">
        <v>283</v>
      </c>
      <c r="T108" s="38" t="s">
        <v>404</v>
      </c>
      <c r="U108" s="13">
        <v>40695</v>
      </c>
      <c r="Y108" s="28"/>
      <c r="AA108" s="24" t="s">
        <v>393</v>
      </c>
      <c r="AB108" s="28">
        <v>40683</v>
      </c>
      <c r="AC108" s="69"/>
    </row>
    <row r="109" spans="1:29" ht="14.25" customHeight="1" x14ac:dyDescent="0.4">
      <c r="B109" s="24">
        <v>40686</v>
      </c>
      <c r="C109" s="24">
        <v>40686</v>
      </c>
      <c r="D109" s="24">
        <v>40686</v>
      </c>
      <c r="E109" s="24">
        <v>40686</v>
      </c>
      <c r="F109" s="24" t="s">
        <v>393</v>
      </c>
      <c r="G109" s="24">
        <v>40690</v>
      </c>
      <c r="H109" s="37">
        <v>373</v>
      </c>
      <c r="I109" s="23" t="s">
        <v>2003</v>
      </c>
      <c r="J109" s="37">
        <v>43</v>
      </c>
      <c r="K109" s="24" t="s">
        <v>2129</v>
      </c>
      <c r="L109" s="24">
        <v>0</v>
      </c>
      <c r="M109" s="24">
        <v>40662</v>
      </c>
      <c r="N109" s="22" t="s">
        <v>1366</v>
      </c>
      <c r="O109" s="4">
        <v>9110447</v>
      </c>
      <c r="P109" s="22">
        <v>1020</v>
      </c>
      <c r="Q109" s="22">
        <v>42</v>
      </c>
      <c r="R109" s="22">
        <v>0</v>
      </c>
      <c r="S109" s="3" t="s">
        <v>1012</v>
      </c>
      <c r="T109" s="3" t="s">
        <v>404</v>
      </c>
      <c r="U109" s="13">
        <v>40744</v>
      </c>
      <c r="Y109" s="28"/>
      <c r="AA109" s="24" t="s">
        <v>393</v>
      </c>
      <c r="AB109" s="28">
        <v>40690</v>
      </c>
      <c r="AC109" s="69"/>
    </row>
    <row r="110" spans="1:29" ht="14.25" customHeight="1" x14ac:dyDescent="0.4">
      <c r="B110" s="22">
        <v>0</v>
      </c>
      <c r="C110" s="22">
        <v>0</v>
      </c>
      <c r="D110" s="22">
        <v>0</v>
      </c>
      <c r="E110" s="24">
        <v>40369</v>
      </c>
      <c r="F110" s="24" t="s">
        <v>393</v>
      </c>
      <c r="G110" s="24">
        <v>0</v>
      </c>
      <c r="H110" s="37">
        <v>423</v>
      </c>
      <c r="I110" s="23" t="s">
        <v>2004</v>
      </c>
      <c r="J110" s="37">
        <v>37</v>
      </c>
      <c r="K110" s="24" t="s">
        <v>2129</v>
      </c>
      <c r="L110" s="24">
        <v>0</v>
      </c>
      <c r="M110" s="24">
        <v>40359</v>
      </c>
      <c r="N110" s="22" t="s">
        <v>1366</v>
      </c>
      <c r="O110" s="4">
        <v>9110025</v>
      </c>
      <c r="P110" s="22">
        <v>720</v>
      </c>
      <c r="Q110" s="22">
        <v>42</v>
      </c>
      <c r="R110" s="22" t="s">
        <v>2801</v>
      </c>
      <c r="S110" s="102" t="s">
        <v>287</v>
      </c>
      <c r="T110" s="132" t="s">
        <v>404</v>
      </c>
      <c r="U110" s="94">
        <v>40704</v>
      </c>
      <c r="V110" s="91"/>
      <c r="W110" s="92"/>
      <c r="Y110" s="28"/>
      <c r="Z110" s="28"/>
      <c r="AA110" s="24" t="s">
        <v>393</v>
      </c>
      <c r="AB110" s="28">
        <v>0</v>
      </c>
      <c r="AC110" s="69"/>
    </row>
    <row r="111" spans="1:29" ht="14.25" customHeight="1" x14ac:dyDescent="0.4">
      <c r="B111" s="22">
        <v>0</v>
      </c>
      <c r="C111" s="22">
        <v>0</v>
      </c>
      <c r="D111" s="22">
        <v>0</v>
      </c>
      <c r="E111" s="24">
        <v>40653</v>
      </c>
      <c r="F111" s="24" t="s">
        <v>393</v>
      </c>
      <c r="G111" s="24">
        <v>40658</v>
      </c>
      <c r="H111" s="37">
        <v>307</v>
      </c>
      <c r="I111" s="23" t="s">
        <v>2002</v>
      </c>
      <c r="J111" s="37">
        <v>40</v>
      </c>
      <c r="K111" s="24" t="s">
        <v>2129</v>
      </c>
      <c r="L111" s="24" t="s">
        <v>2004</v>
      </c>
      <c r="M111" s="24">
        <v>40403</v>
      </c>
      <c r="N111" s="22" t="s">
        <v>1366</v>
      </c>
      <c r="O111" s="4">
        <v>9110233</v>
      </c>
      <c r="P111" s="22">
        <v>1020</v>
      </c>
      <c r="Q111" s="22">
        <v>42</v>
      </c>
      <c r="R111" s="22" t="s">
        <v>2802</v>
      </c>
      <c r="S111" s="4" t="s">
        <v>293</v>
      </c>
      <c r="T111" s="38" t="s">
        <v>404</v>
      </c>
      <c r="U111" s="44">
        <v>40709</v>
      </c>
      <c r="V111" s="38"/>
      <c r="W111" s="9"/>
      <c r="X111" s="74"/>
      <c r="Y111" s="28"/>
      <c r="Z111" s="9"/>
      <c r="AA111" s="24" t="s">
        <v>393</v>
      </c>
      <c r="AB111" s="28">
        <v>40658</v>
      </c>
      <c r="AC111" s="69"/>
    </row>
    <row r="112" spans="1:29" ht="14.25" customHeight="1" x14ac:dyDescent="0.4">
      <c r="B112" s="22">
        <v>0</v>
      </c>
      <c r="C112" s="22">
        <v>0</v>
      </c>
      <c r="D112" s="22">
        <v>0</v>
      </c>
      <c r="E112" s="24">
        <v>40529</v>
      </c>
      <c r="F112" s="24" t="s">
        <v>393</v>
      </c>
      <c r="G112" s="24">
        <v>40534</v>
      </c>
      <c r="H112" s="37">
        <v>99</v>
      </c>
      <c r="I112" s="23" t="s">
        <v>1998</v>
      </c>
      <c r="J112" s="37">
        <v>20</v>
      </c>
      <c r="K112" s="24" t="s">
        <v>2129</v>
      </c>
      <c r="L112" s="24" t="s">
        <v>1997</v>
      </c>
      <c r="M112" s="24">
        <v>40400</v>
      </c>
      <c r="N112" s="22" t="s">
        <v>669</v>
      </c>
      <c r="O112" s="4">
        <v>9110148</v>
      </c>
      <c r="P112" s="22">
        <v>1020</v>
      </c>
      <c r="Q112" s="22">
        <v>50</v>
      </c>
      <c r="R112" s="22" t="s">
        <v>2803</v>
      </c>
      <c r="S112" s="4" t="s">
        <v>1946</v>
      </c>
      <c r="T112" s="4" t="s">
        <v>404</v>
      </c>
      <c r="U112" s="94">
        <v>40457</v>
      </c>
      <c r="V112" s="104"/>
      <c r="W112" s="92"/>
      <c r="X112" s="74"/>
      <c r="Y112" s="28"/>
      <c r="Z112" s="9"/>
      <c r="AA112" s="24" t="s">
        <v>393</v>
      </c>
      <c r="AB112" s="28">
        <v>40534</v>
      </c>
      <c r="AC112" s="69"/>
    </row>
    <row r="113" spans="1:29" ht="14.25" customHeight="1" x14ac:dyDescent="0.4">
      <c r="B113" s="22">
        <v>0</v>
      </c>
      <c r="C113" s="22" t="s">
        <v>2165</v>
      </c>
      <c r="D113" s="22">
        <v>0</v>
      </c>
      <c r="E113" s="24">
        <v>40532</v>
      </c>
      <c r="F113" s="24" t="s">
        <v>393</v>
      </c>
      <c r="G113" s="24">
        <v>40541</v>
      </c>
      <c r="H113" s="37">
        <v>100</v>
      </c>
      <c r="I113" s="23" t="s">
        <v>1998</v>
      </c>
      <c r="J113" s="37">
        <v>21</v>
      </c>
      <c r="K113" s="24" t="s">
        <v>2129</v>
      </c>
      <c r="L113" s="24" t="s">
        <v>1997</v>
      </c>
      <c r="M113" s="24">
        <v>40400</v>
      </c>
      <c r="N113" s="22" t="s">
        <v>669</v>
      </c>
      <c r="O113" s="4">
        <v>9110149</v>
      </c>
      <c r="P113" s="22">
        <v>1020</v>
      </c>
      <c r="Q113" s="22">
        <v>42</v>
      </c>
      <c r="R113" s="22" t="s">
        <v>2804</v>
      </c>
      <c r="S113" s="55" t="s">
        <v>1947</v>
      </c>
      <c r="T113" s="4" t="s">
        <v>404</v>
      </c>
      <c r="U113" s="94">
        <v>40458</v>
      </c>
      <c r="V113" s="104"/>
      <c r="W113" s="92"/>
      <c r="X113" s="74"/>
      <c r="Y113" s="28"/>
      <c r="Z113" s="28"/>
      <c r="AA113" s="24" t="s">
        <v>393</v>
      </c>
      <c r="AB113" s="28">
        <v>40541</v>
      </c>
      <c r="AC113" s="69"/>
    </row>
    <row r="114" spans="1:29" ht="14.25" customHeight="1" x14ac:dyDescent="0.4">
      <c r="A114" s="6"/>
      <c r="B114" s="22">
        <v>0</v>
      </c>
      <c r="C114" s="22" t="s">
        <v>2102</v>
      </c>
      <c r="D114" s="22">
        <v>0</v>
      </c>
      <c r="E114" s="24">
        <v>40569</v>
      </c>
      <c r="F114" s="24" t="s">
        <v>393</v>
      </c>
      <c r="G114" s="24">
        <v>40574</v>
      </c>
      <c r="H114" s="37">
        <v>144</v>
      </c>
      <c r="I114" s="23" t="s">
        <v>1999</v>
      </c>
      <c r="J114" s="37">
        <v>35</v>
      </c>
      <c r="K114" s="24" t="s">
        <v>2129</v>
      </c>
      <c r="L114" s="24" t="s">
        <v>1998</v>
      </c>
      <c r="M114" s="24">
        <v>40400</v>
      </c>
      <c r="N114" s="22" t="s">
        <v>669</v>
      </c>
      <c r="O114" s="4">
        <v>9110150</v>
      </c>
      <c r="P114" s="22">
        <v>1020</v>
      </c>
      <c r="Q114" s="22">
        <v>42</v>
      </c>
      <c r="R114" s="22" t="s">
        <v>2805</v>
      </c>
      <c r="S114" s="55" t="s">
        <v>95</v>
      </c>
      <c r="T114" s="4" t="s">
        <v>404</v>
      </c>
      <c r="U114" s="92">
        <v>40619</v>
      </c>
      <c r="V114" s="104"/>
      <c r="W114" s="92"/>
      <c r="X114" s="74"/>
      <c r="Y114" s="28"/>
      <c r="Z114" s="28"/>
      <c r="AA114" s="24" t="s">
        <v>393</v>
      </c>
      <c r="AB114" s="28">
        <v>40574</v>
      </c>
      <c r="AC114" s="69"/>
    </row>
    <row r="115" spans="1:29" ht="14.25" customHeight="1" x14ac:dyDescent="0.4">
      <c r="B115" s="22">
        <v>0</v>
      </c>
      <c r="C115" s="22" t="s">
        <v>2102</v>
      </c>
      <c r="D115" s="22">
        <v>0</v>
      </c>
      <c r="E115" s="24">
        <v>40575</v>
      </c>
      <c r="F115" s="24" t="s">
        <v>393</v>
      </c>
      <c r="G115" s="24">
        <v>40581</v>
      </c>
      <c r="H115" s="37">
        <v>154</v>
      </c>
      <c r="I115" s="23" t="s">
        <v>2000</v>
      </c>
      <c r="J115" s="37">
        <v>2</v>
      </c>
      <c r="K115" s="24" t="s">
        <v>2129</v>
      </c>
      <c r="L115" s="24" t="s">
        <v>1998</v>
      </c>
      <c r="M115" s="24">
        <v>40400</v>
      </c>
      <c r="N115" s="22" t="s">
        <v>669</v>
      </c>
      <c r="O115" s="4">
        <v>9110151</v>
      </c>
      <c r="P115" s="22">
        <v>1020</v>
      </c>
      <c r="Q115" s="22">
        <v>42</v>
      </c>
      <c r="R115" s="22" t="s">
        <v>2806</v>
      </c>
      <c r="S115" s="4" t="s">
        <v>288</v>
      </c>
      <c r="T115" s="38" t="s">
        <v>2102</v>
      </c>
      <c r="U115" s="44">
        <v>40672</v>
      </c>
      <c r="V115" s="104"/>
      <c r="W115" s="92"/>
      <c r="X115" s="74"/>
      <c r="Y115" s="28"/>
      <c r="Z115" s="28"/>
      <c r="AA115" s="24" t="s">
        <v>393</v>
      </c>
      <c r="AB115" s="28">
        <v>40581</v>
      </c>
      <c r="AC115" s="69"/>
    </row>
    <row r="116" spans="1:29" ht="14.25" customHeight="1" x14ac:dyDescent="0.4">
      <c r="B116" s="22">
        <v>0</v>
      </c>
      <c r="C116" s="22" t="s">
        <v>2165</v>
      </c>
      <c r="D116" s="22">
        <v>0</v>
      </c>
      <c r="E116" s="24">
        <v>40577</v>
      </c>
      <c r="F116" s="24" t="s">
        <v>393</v>
      </c>
      <c r="G116" s="24">
        <v>40582</v>
      </c>
      <c r="H116" s="37">
        <v>156</v>
      </c>
      <c r="I116" s="23" t="s">
        <v>2000</v>
      </c>
      <c r="J116" s="37">
        <v>4</v>
      </c>
      <c r="K116" s="24" t="s">
        <v>2129</v>
      </c>
      <c r="L116" s="24" t="s">
        <v>1998</v>
      </c>
      <c r="M116" s="24">
        <v>40400</v>
      </c>
      <c r="N116" s="22" t="s">
        <v>669</v>
      </c>
      <c r="O116" s="4">
        <v>9110152</v>
      </c>
      <c r="P116" s="22">
        <v>720</v>
      </c>
      <c r="Q116" s="22">
        <v>42</v>
      </c>
      <c r="R116" s="22" t="s">
        <v>2807</v>
      </c>
      <c r="S116" s="4" t="s">
        <v>2120</v>
      </c>
      <c r="T116" s="38" t="s">
        <v>404</v>
      </c>
      <c r="U116" s="44">
        <v>40562</v>
      </c>
      <c r="V116" s="38"/>
      <c r="W116" s="9"/>
      <c r="X116" s="74"/>
      <c r="Y116" s="28"/>
      <c r="Z116" s="9"/>
      <c r="AA116" s="24" t="s">
        <v>393</v>
      </c>
      <c r="AB116" s="28">
        <v>40582</v>
      </c>
      <c r="AC116" s="69"/>
    </row>
    <row r="117" spans="1:29" ht="14.25" customHeight="1" x14ac:dyDescent="0.4">
      <c r="B117" s="22">
        <v>0</v>
      </c>
      <c r="C117" s="22">
        <v>0</v>
      </c>
      <c r="D117" s="22">
        <v>0</v>
      </c>
      <c r="E117" s="24">
        <v>40588</v>
      </c>
      <c r="F117" s="24" t="s">
        <v>393</v>
      </c>
      <c r="G117" s="24">
        <v>40592</v>
      </c>
      <c r="H117" s="37">
        <v>169</v>
      </c>
      <c r="I117" s="23" t="s">
        <v>2000</v>
      </c>
      <c r="J117" s="37">
        <v>17</v>
      </c>
      <c r="K117" s="24" t="s">
        <v>2129</v>
      </c>
      <c r="L117" s="24" t="s">
        <v>1998</v>
      </c>
      <c r="M117" s="24">
        <v>40400</v>
      </c>
      <c r="N117" s="22" t="s">
        <v>669</v>
      </c>
      <c r="O117" s="4">
        <v>9110153</v>
      </c>
      <c r="P117" s="22">
        <v>1020</v>
      </c>
      <c r="Q117" s="22">
        <v>42</v>
      </c>
      <c r="R117" s="22" t="s">
        <v>2808</v>
      </c>
      <c r="S117" s="4" t="s">
        <v>285</v>
      </c>
      <c r="T117" s="38" t="s">
        <v>2102</v>
      </c>
      <c r="U117" s="44">
        <v>40658</v>
      </c>
      <c r="V117" s="38"/>
      <c r="W117" s="9"/>
      <c r="X117" s="74"/>
      <c r="Y117" s="28"/>
      <c r="Z117" s="9"/>
      <c r="AA117" s="24" t="s">
        <v>393</v>
      </c>
      <c r="AB117" s="28">
        <v>40592</v>
      </c>
      <c r="AC117" s="69"/>
    </row>
    <row r="118" spans="1:29" ht="14.25" customHeight="1" x14ac:dyDescent="0.4">
      <c r="B118" s="24">
        <v>40666</v>
      </c>
      <c r="C118" s="24">
        <v>40666</v>
      </c>
      <c r="D118" s="24">
        <v>40666</v>
      </c>
      <c r="E118" s="24">
        <v>40666</v>
      </c>
      <c r="F118" s="24" t="s">
        <v>393</v>
      </c>
      <c r="G118" s="24">
        <v>40680</v>
      </c>
      <c r="H118" s="37">
        <v>336</v>
      </c>
      <c r="I118" s="23" t="s">
        <v>2003</v>
      </c>
      <c r="J118" s="37">
        <v>6</v>
      </c>
      <c r="K118" s="24" t="s">
        <v>2129</v>
      </c>
      <c r="L118" s="24">
        <v>0</v>
      </c>
      <c r="M118" s="24">
        <v>40469</v>
      </c>
      <c r="N118" s="22" t="s">
        <v>669</v>
      </c>
      <c r="O118" s="4">
        <v>9110380</v>
      </c>
      <c r="P118" s="22">
        <v>720</v>
      </c>
      <c r="Q118" s="22">
        <v>42</v>
      </c>
      <c r="R118" s="22">
        <v>0</v>
      </c>
      <c r="S118" s="4" t="s">
        <v>215</v>
      </c>
      <c r="T118" s="38" t="s">
        <v>404</v>
      </c>
      <c r="U118" s="44">
        <v>40672</v>
      </c>
      <c r="V118" s="38"/>
      <c r="W118" s="9"/>
      <c r="X118" s="74">
        <v>0</v>
      </c>
      <c r="Y118" s="28"/>
      <c r="Z118" s="9"/>
      <c r="AA118" s="24" t="s">
        <v>393</v>
      </c>
      <c r="AB118" s="28">
        <v>40680</v>
      </c>
      <c r="AC118" s="69"/>
    </row>
    <row r="119" spans="1:29" ht="14.25" customHeight="1" x14ac:dyDescent="0.4">
      <c r="A119" s="4"/>
      <c r="B119" s="24">
        <v>40667</v>
      </c>
      <c r="C119" s="24">
        <v>40667</v>
      </c>
      <c r="D119" s="24">
        <v>40667</v>
      </c>
      <c r="E119" s="24">
        <v>40667</v>
      </c>
      <c r="F119" s="24" t="s">
        <v>393</v>
      </c>
      <c r="G119" s="24">
        <v>40676</v>
      </c>
      <c r="H119" s="37">
        <v>337</v>
      </c>
      <c r="I119" s="23" t="s">
        <v>2003</v>
      </c>
      <c r="J119" s="37">
        <v>7</v>
      </c>
      <c r="K119" s="24" t="s">
        <v>2129</v>
      </c>
      <c r="L119" s="24">
        <v>0</v>
      </c>
      <c r="M119" s="24">
        <v>40469</v>
      </c>
      <c r="N119" s="22" t="s">
        <v>669</v>
      </c>
      <c r="O119" s="4">
        <v>9110381</v>
      </c>
      <c r="P119" s="22">
        <v>720</v>
      </c>
      <c r="Q119" s="22">
        <v>42</v>
      </c>
      <c r="R119" s="22">
        <v>0</v>
      </c>
      <c r="S119" s="38" t="s">
        <v>216</v>
      </c>
      <c r="T119" s="38" t="s">
        <v>404</v>
      </c>
      <c r="U119" s="43">
        <v>40672</v>
      </c>
      <c r="V119" s="38"/>
      <c r="W119" s="4"/>
      <c r="X119" s="74">
        <v>0</v>
      </c>
      <c r="Y119" s="28"/>
      <c r="AA119" s="24" t="s">
        <v>393</v>
      </c>
      <c r="AB119" s="28">
        <v>40676</v>
      </c>
      <c r="AC119" s="69"/>
    </row>
    <row r="120" spans="1:29" ht="14.25" customHeight="1" x14ac:dyDescent="0.4">
      <c r="B120" s="22">
        <v>0</v>
      </c>
      <c r="C120" s="22">
        <v>0</v>
      </c>
      <c r="D120" s="22">
        <v>0</v>
      </c>
      <c r="E120" s="24">
        <v>40633</v>
      </c>
      <c r="F120" s="24" t="s">
        <v>393</v>
      </c>
      <c r="G120" s="24">
        <v>40639</v>
      </c>
      <c r="H120" s="37">
        <v>265</v>
      </c>
      <c r="I120" s="23" t="s">
        <v>2001</v>
      </c>
      <c r="J120" s="37">
        <v>67</v>
      </c>
      <c r="K120" s="24" t="s">
        <v>2129</v>
      </c>
      <c r="L120" s="24" t="s">
        <v>2003</v>
      </c>
      <c r="M120" s="24">
        <v>40403</v>
      </c>
      <c r="N120" s="22" t="s">
        <v>669</v>
      </c>
      <c r="O120" s="4">
        <v>9110206</v>
      </c>
      <c r="P120" s="22">
        <v>720</v>
      </c>
      <c r="Q120" s="22">
        <v>42</v>
      </c>
      <c r="R120" s="22" t="s">
        <v>2809</v>
      </c>
      <c r="S120" s="4" t="s">
        <v>2075</v>
      </c>
      <c r="T120" s="1" t="s">
        <v>404</v>
      </c>
      <c r="U120" s="42">
        <v>40893</v>
      </c>
      <c r="W120" s="28"/>
      <c r="X120" s="74"/>
      <c r="Y120" s="28"/>
      <c r="Z120" s="28"/>
      <c r="AA120" s="24" t="s">
        <v>393</v>
      </c>
      <c r="AB120" s="28">
        <v>40639</v>
      </c>
      <c r="AC120" s="69"/>
    </row>
    <row r="121" spans="1:29" ht="14.25" customHeight="1" x14ac:dyDescent="0.4">
      <c r="B121" s="22">
        <v>0</v>
      </c>
      <c r="C121" s="22">
        <v>0</v>
      </c>
      <c r="D121" s="22">
        <v>0</v>
      </c>
      <c r="E121" s="24">
        <v>40639</v>
      </c>
      <c r="F121" s="24" t="s">
        <v>393</v>
      </c>
      <c r="G121" s="24">
        <v>40646</v>
      </c>
      <c r="H121" s="37">
        <v>276</v>
      </c>
      <c r="I121" s="23" t="s">
        <v>2002</v>
      </c>
      <c r="J121" s="37">
        <v>9</v>
      </c>
      <c r="K121" s="24" t="s">
        <v>2129</v>
      </c>
      <c r="L121" s="24" t="s">
        <v>2001</v>
      </c>
      <c r="M121" s="24">
        <v>40403</v>
      </c>
      <c r="N121" s="22" t="s">
        <v>669</v>
      </c>
      <c r="O121" s="4">
        <v>9110231</v>
      </c>
      <c r="P121" s="22">
        <v>1020</v>
      </c>
      <c r="Q121" s="22">
        <v>42</v>
      </c>
      <c r="R121" s="22" t="s">
        <v>2810</v>
      </c>
      <c r="S121" s="4" t="s">
        <v>1883</v>
      </c>
      <c r="T121" s="69" t="s">
        <v>404</v>
      </c>
      <c r="U121" s="150">
        <v>40904</v>
      </c>
      <c r="V121" s="3"/>
      <c r="W121" s="28"/>
      <c r="X121" s="74"/>
      <c r="Y121" s="28"/>
      <c r="Z121" s="28"/>
      <c r="AA121" s="24" t="s">
        <v>393</v>
      </c>
      <c r="AB121" s="28">
        <v>40646</v>
      </c>
      <c r="AC121" s="69"/>
    </row>
    <row r="122" spans="1:29" ht="14.25" customHeight="1" x14ac:dyDescent="0.4">
      <c r="A122" s="4"/>
      <c r="B122" s="22">
        <v>0</v>
      </c>
      <c r="C122" s="22" t="s">
        <v>2102</v>
      </c>
      <c r="D122" s="22">
        <v>0</v>
      </c>
      <c r="E122" s="24">
        <v>40405</v>
      </c>
      <c r="F122" s="24" t="s">
        <v>393</v>
      </c>
      <c r="G122" s="24">
        <v>40430</v>
      </c>
      <c r="H122" s="37">
        <v>3</v>
      </c>
      <c r="I122" s="23" t="e">
        <v>#REF!</v>
      </c>
      <c r="J122" s="37" t="e">
        <v>#REF!</v>
      </c>
      <c r="K122" s="24" t="s">
        <v>2129</v>
      </c>
      <c r="L122" s="24">
        <v>40435</v>
      </c>
      <c r="M122" s="24">
        <v>40385</v>
      </c>
      <c r="N122" s="22" t="s">
        <v>669</v>
      </c>
      <c r="O122" s="4">
        <v>9110036</v>
      </c>
      <c r="P122" s="22">
        <v>1020</v>
      </c>
      <c r="Q122" s="22">
        <v>42</v>
      </c>
      <c r="R122" s="22" t="s">
        <v>2811</v>
      </c>
      <c r="S122" s="48" t="s">
        <v>217</v>
      </c>
      <c r="T122" s="49" t="s">
        <v>404</v>
      </c>
      <c r="U122" s="43">
        <v>40676</v>
      </c>
      <c r="V122" s="3"/>
      <c r="W122" s="43"/>
      <c r="X122" s="74"/>
      <c r="Y122" s="28"/>
      <c r="Z122" s="28"/>
      <c r="AA122" s="24" t="s">
        <v>393</v>
      </c>
      <c r="AB122" s="28">
        <v>40430</v>
      </c>
      <c r="AC122" s="69"/>
    </row>
    <row r="123" spans="1:29" ht="14.25" customHeight="1" x14ac:dyDescent="0.4">
      <c r="B123" s="22">
        <v>0</v>
      </c>
      <c r="C123" s="22" t="s">
        <v>2165</v>
      </c>
      <c r="D123" s="22">
        <v>0</v>
      </c>
      <c r="E123" s="24">
        <v>40484</v>
      </c>
      <c r="F123" s="24" t="s">
        <v>393</v>
      </c>
      <c r="G123" s="24">
        <v>40493</v>
      </c>
      <c r="H123" s="37">
        <v>52</v>
      </c>
      <c r="I123" s="23" t="e">
        <v>#REF!</v>
      </c>
      <c r="J123" s="37" t="e">
        <v>#REF!</v>
      </c>
      <c r="K123" s="24" t="s">
        <v>2129</v>
      </c>
      <c r="L123" s="24" t="s">
        <v>1993</v>
      </c>
      <c r="M123" s="24">
        <v>40400</v>
      </c>
      <c r="N123" s="22" t="s">
        <v>668</v>
      </c>
      <c r="O123" s="4">
        <v>9110147</v>
      </c>
      <c r="P123" s="22">
        <v>1020</v>
      </c>
      <c r="Q123" s="22">
        <v>42</v>
      </c>
      <c r="R123" s="22" t="s">
        <v>2812</v>
      </c>
      <c r="S123" s="4" t="s">
        <v>133</v>
      </c>
      <c r="T123" s="4" t="s">
        <v>404</v>
      </c>
      <c r="U123" s="59">
        <v>40648</v>
      </c>
      <c r="V123" s="4"/>
      <c r="W123" s="57"/>
      <c r="X123" s="74"/>
      <c r="Y123" s="28"/>
      <c r="Z123" s="28"/>
      <c r="AA123" s="24" t="s">
        <v>393</v>
      </c>
      <c r="AB123" s="28">
        <v>40493</v>
      </c>
      <c r="AC123" s="69"/>
    </row>
    <row r="124" spans="1:29" ht="14.25" customHeight="1" x14ac:dyDescent="0.4">
      <c r="B124" s="22">
        <v>0</v>
      </c>
      <c r="C124" s="22">
        <v>0</v>
      </c>
      <c r="D124" s="22">
        <v>0</v>
      </c>
      <c r="E124" s="24">
        <v>40624</v>
      </c>
      <c r="F124" s="24" t="s">
        <v>393</v>
      </c>
      <c r="G124" s="24">
        <v>40632</v>
      </c>
      <c r="H124" s="37">
        <v>246</v>
      </c>
      <c r="I124" s="23" t="s">
        <v>2001</v>
      </c>
      <c r="J124" s="37">
        <v>48</v>
      </c>
      <c r="K124" s="24" t="s">
        <v>2129</v>
      </c>
      <c r="L124" s="24" t="s">
        <v>1999</v>
      </c>
      <c r="M124" s="24">
        <v>40400</v>
      </c>
      <c r="N124" s="22" t="s">
        <v>668</v>
      </c>
      <c r="O124" s="4">
        <v>9110154</v>
      </c>
      <c r="P124" s="22">
        <v>720</v>
      </c>
      <c r="Q124" s="22">
        <v>42</v>
      </c>
      <c r="R124" s="22" t="s">
        <v>2813</v>
      </c>
      <c r="S124" s="4" t="s">
        <v>132</v>
      </c>
      <c r="T124" s="1" t="s">
        <v>404</v>
      </c>
      <c r="U124" s="42">
        <v>40646</v>
      </c>
      <c r="V124" s="4"/>
      <c r="W124" s="28"/>
      <c r="X124" s="74"/>
      <c r="Y124" s="28"/>
      <c r="Z124" s="28"/>
      <c r="AA124" s="24" t="s">
        <v>393</v>
      </c>
      <c r="AB124" s="28">
        <v>40632</v>
      </c>
      <c r="AC124" s="69"/>
    </row>
    <row r="125" spans="1:29" ht="14.25" customHeight="1" x14ac:dyDescent="0.4">
      <c r="B125" s="22">
        <v>0</v>
      </c>
      <c r="C125" s="22">
        <v>0</v>
      </c>
      <c r="D125" s="22">
        <v>0</v>
      </c>
      <c r="E125" s="24">
        <v>40604</v>
      </c>
      <c r="F125" s="24" t="s">
        <v>393</v>
      </c>
      <c r="G125" s="24">
        <v>40606</v>
      </c>
      <c r="H125" s="37">
        <v>204</v>
      </c>
      <c r="I125" s="23" t="s">
        <v>2001</v>
      </c>
      <c r="J125" s="37">
        <v>6</v>
      </c>
      <c r="K125" s="24" t="s">
        <v>2129</v>
      </c>
      <c r="L125" s="24" t="s">
        <v>1999</v>
      </c>
      <c r="M125" s="24">
        <v>40400</v>
      </c>
      <c r="N125" s="22" t="s">
        <v>668</v>
      </c>
      <c r="O125" s="4">
        <v>9110155</v>
      </c>
      <c r="P125" s="22">
        <v>720</v>
      </c>
      <c r="Q125" s="22">
        <v>42</v>
      </c>
      <c r="R125" s="22" t="s">
        <v>2814</v>
      </c>
      <c r="S125" s="4" t="s">
        <v>2159</v>
      </c>
      <c r="T125" s="1" t="s">
        <v>404</v>
      </c>
      <c r="U125" s="42">
        <v>40593</v>
      </c>
      <c r="V125" s="4"/>
      <c r="W125" s="28"/>
      <c r="X125" s="74"/>
      <c r="Y125" s="28"/>
      <c r="Z125" s="28"/>
      <c r="AA125" s="24" t="s">
        <v>393</v>
      </c>
      <c r="AB125" s="28">
        <v>40606</v>
      </c>
      <c r="AC125" s="69"/>
    </row>
    <row r="126" spans="1:29" ht="14.25" customHeight="1" x14ac:dyDescent="0.4">
      <c r="A126" s="4"/>
      <c r="B126" s="22">
        <v>0</v>
      </c>
      <c r="C126" s="22">
        <v>0</v>
      </c>
      <c r="D126" s="22">
        <v>0</v>
      </c>
      <c r="E126" s="24">
        <v>40604</v>
      </c>
      <c r="F126" s="24" t="s">
        <v>393</v>
      </c>
      <c r="G126" s="24">
        <v>40611</v>
      </c>
      <c r="H126" s="37">
        <v>203</v>
      </c>
      <c r="I126" s="23" t="s">
        <v>2001</v>
      </c>
      <c r="J126" s="37">
        <v>5</v>
      </c>
      <c r="K126" s="24" t="s">
        <v>2129</v>
      </c>
      <c r="L126" s="24" t="s">
        <v>2000</v>
      </c>
      <c r="M126" s="24">
        <v>40400</v>
      </c>
      <c r="N126" s="22" t="s">
        <v>668</v>
      </c>
      <c r="O126" s="4">
        <v>9110156</v>
      </c>
      <c r="P126" s="22">
        <v>720</v>
      </c>
      <c r="Q126" s="22">
        <v>42</v>
      </c>
      <c r="R126" s="22" t="s">
        <v>2815</v>
      </c>
      <c r="S126" s="38" t="s">
        <v>2160</v>
      </c>
      <c r="T126" s="38" t="s">
        <v>404</v>
      </c>
      <c r="U126" s="9">
        <v>40593</v>
      </c>
      <c r="V126" s="38"/>
      <c r="W126" s="9"/>
      <c r="X126" s="74"/>
      <c r="Y126" s="28"/>
      <c r="Z126" s="9"/>
      <c r="AA126" s="24" t="s">
        <v>393</v>
      </c>
      <c r="AB126" s="28">
        <v>40611</v>
      </c>
      <c r="AC126" s="69"/>
    </row>
    <row r="127" spans="1:29" ht="14.25" customHeight="1" x14ac:dyDescent="0.4">
      <c r="B127" s="22">
        <v>0</v>
      </c>
      <c r="C127" s="22" t="s">
        <v>2102</v>
      </c>
      <c r="D127" s="22">
        <v>0</v>
      </c>
      <c r="E127" s="24">
        <v>40652</v>
      </c>
      <c r="F127" s="24" t="s">
        <v>393</v>
      </c>
      <c r="G127" s="24">
        <v>40658</v>
      </c>
      <c r="H127" s="37">
        <v>305</v>
      </c>
      <c r="I127" s="23" t="s">
        <v>2002</v>
      </c>
      <c r="J127" s="37">
        <v>38</v>
      </c>
      <c r="K127" s="24" t="s">
        <v>2129</v>
      </c>
      <c r="L127" s="24" t="s">
        <v>2004</v>
      </c>
      <c r="M127" s="24">
        <v>40403</v>
      </c>
      <c r="N127" s="22" t="s">
        <v>668</v>
      </c>
      <c r="O127" s="4">
        <v>9110208</v>
      </c>
      <c r="P127" s="22">
        <v>720</v>
      </c>
      <c r="Q127" s="22">
        <v>42</v>
      </c>
      <c r="R127" s="22" t="s">
        <v>2816</v>
      </c>
      <c r="S127" s="55" t="s">
        <v>284</v>
      </c>
      <c r="T127" s="91" t="s">
        <v>404</v>
      </c>
      <c r="U127" s="92">
        <v>40697</v>
      </c>
      <c r="V127" s="91"/>
      <c r="W127" s="92"/>
      <c r="X127" s="74"/>
      <c r="Y127" s="28"/>
      <c r="Z127" s="28"/>
      <c r="AA127" s="24" t="s">
        <v>393</v>
      </c>
      <c r="AB127" s="28">
        <v>40658</v>
      </c>
      <c r="AC127" s="69"/>
    </row>
    <row r="128" spans="1:29" ht="14.25" customHeight="1" x14ac:dyDescent="0.4">
      <c r="A128" s="4"/>
      <c r="B128" s="22">
        <v>0</v>
      </c>
      <c r="C128" s="22" t="s">
        <v>2165</v>
      </c>
      <c r="D128" s="22">
        <v>0</v>
      </c>
      <c r="E128" s="24">
        <v>40407</v>
      </c>
      <c r="F128" s="24" t="s">
        <v>393</v>
      </c>
      <c r="G128" s="24">
        <v>40438</v>
      </c>
      <c r="H128" s="37">
        <v>5</v>
      </c>
      <c r="I128" s="23" t="e">
        <v>#REF!</v>
      </c>
      <c r="J128" s="37" t="e">
        <v>#REF!</v>
      </c>
      <c r="K128" s="24" t="s">
        <v>2129</v>
      </c>
      <c r="L128" s="24">
        <v>40435</v>
      </c>
      <c r="M128" s="24">
        <v>40385</v>
      </c>
      <c r="N128" s="22" t="s">
        <v>668</v>
      </c>
      <c r="O128" s="4">
        <v>9110037</v>
      </c>
      <c r="P128" s="22">
        <v>1020</v>
      </c>
      <c r="Q128" s="22">
        <v>42</v>
      </c>
      <c r="R128" s="22" t="s">
        <v>2817</v>
      </c>
      <c r="S128" s="4" t="s">
        <v>218</v>
      </c>
      <c r="T128" s="4" t="s">
        <v>404</v>
      </c>
      <c r="U128" s="43">
        <v>40676</v>
      </c>
      <c r="V128" s="4"/>
      <c r="W128" s="4"/>
      <c r="X128" s="74"/>
      <c r="Y128" s="28"/>
      <c r="Z128" s="9"/>
      <c r="AA128" s="24" t="s">
        <v>393</v>
      </c>
      <c r="AB128" s="28">
        <v>40438</v>
      </c>
      <c r="AC128" s="69"/>
    </row>
    <row r="129" spans="1:29" ht="14.25" customHeight="1" x14ac:dyDescent="0.4">
      <c r="B129" s="22" t="s">
        <v>1087</v>
      </c>
      <c r="C129" s="22" t="s">
        <v>2165</v>
      </c>
      <c r="D129" s="22">
        <v>0</v>
      </c>
      <c r="E129" s="24">
        <v>40477</v>
      </c>
      <c r="F129" s="24" t="s">
        <v>393</v>
      </c>
      <c r="G129" s="24">
        <v>0</v>
      </c>
      <c r="H129" s="37">
        <v>43</v>
      </c>
      <c r="I129" s="23" t="e">
        <v>#REF!</v>
      </c>
      <c r="J129" s="37" t="e">
        <v>#REF!</v>
      </c>
      <c r="K129" s="24" t="s">
        <v>2129</v>
      </c>
      <c r="L129" s="24" t="s">
        <v>1992</v>
      </c>
      <c r="M129" s="24">
        <v>40400</v>
      </c>
      <c r="N129" s="22" t="s">
        <v>668</v>
      </c>
      <c r="O129" s="4">
        <v>9110159</v>
      </c>
      <c r="P129" s="22">
        <v>1020</v>
      </c>
      <c r="Q129" s="22">
        <v>42</v>
      </c>
      <c r="R129" s="22" t="s">
        <v>2818</v>
      </c>
      <c r="S129" s="4" t="s">
        <v>1928</v>
      </c>
      <c r="T129" s="38" t="s">
        <v>404</v>
      </c>
      <c r="U129" s="9">
        <v>40452</v>
      </c>
      <c r="V129" s="104"/>
      <c r="W129" s="92"/>
      <c r="X129" s="74"/>
      <c r="Y129" s="28"/>
      <c r="Z129" s="28"/>
      <c r="AA129" s="24" t="s">
        <v>393</v>
      </c>
      <c r="AB129" s="28">
        <v>0</v>
      </c>
      <c r="AC129" s="69"/>
    </row>
    <row r="130" spans="1:29" ht="14.25" customHeight="1" x14ac:dyDescent="0.4">
      <c r="B130" s="22">
        <v>0</v>
      </c>
      <c r="C130" s="22" t="s">
        <v>2165</v>
      </c>
      <c r="D130" s="22">
        <v>0</v>
      </c>
      <c r="E130" s="24">
        <v>40479</v>
      </c>
      <c r="F130" s="24" t="s">
        <v>393</v>
      </c>
      <c r="G130" s="24">
        <v>40485</v>
      </c>
      <c r="H130" s="37">
        <v>47</v>
      </c>
      <c r="I130" s="23" t="e">
        <v>#REF!</v>
      </c>
      <c r="J130" s="37" t="e">
        <v>#REF!</v>
      </c>
      <c r="K130" s="24" t="s">
        <v>2129</v>
      </c>
      <c r="L130" s="24" t="s">
        <v>1992</v>
      </c>
      <c r="M130" s="24">
        <v>40400</v>
      </c>
      <c r="N130" s="22" t="s">
        <v>668</v>
      </c>
      <c r="O130" s="4">
        <v>9110166</v>
      </c>
      <c r="P130" s="22">
        <v>1020</v>
      </c>
      <c r="Q130" s="22">
        <v>42</v>
      </c>
      <c r="R130" s="22" t="s">
        <v>2819</v>
      </c>
      <c r="S130" s="4" t="s">
        <v>1929</v>
      </c>
      <c r="T130" s="38" t="s">
        <v>404</v>
      </c>
      <c r="U130" s="9">
        <v>40452</v>
      </c>
      <c r="V130" s="104"/>
      <c r="W130" s="92"/>
      <c r="X130" s="74"/>
      <c r="Y130" s="28"/>
      <c r="Z130" s="28"/>
      <c r="AA130" s="24" t="s">
        <v>393</v>
      </c>
      <c r="AB130" s="28">
        <v>40485</v>
      </c>
      <c r="AC130" s="69"/>
    </row>
    <row r="131" spans="1:29" ht="14.25" customHeight="1" x14ac:dyDescent="0.4">
      <c r="B131" s="22">
        <v>0</v>
      </c>
      <c r="C131" s="22" t="s">
        <v>2165</v>
      </c>
      <c r="D131" s="22">
        <v>0</v>
      </c>
      <c r="E131" s="24">
        <v>40480</v>
      </c>
      <c r="F131" s="24" t="s">
        <v>393</v>
      </c>
      <c r="G131" s="24">
        <v>40490</v>
      </c>
      <c r="H131" s="37">
        <v>48</v>
      </c>
      <c r="I131" s="23" t="e">
        <v>#REF!</v>
      </c>
      <c r="J131" s="37" t="e">
        <v>#REF!</v>
      </c>
      <c r="K131" s="24" t="s">
        <v>2129</v>
      </c>
      <c r="L131" s="24" t="s">
        <v>1992</v>
      </c>
      <c r="M131" s="24">
        <v>40400</v>
      </c>
      <c r="N131" s="22" t="s">
        <v>668</v>
      </c>
      <c r="O131" s="4">
        <v>9110169</v>
      </c>
      <c r="P131" s="22">
        <v>1020</v>
      </c>
      <c r="Q131" s="22">
        <v>42</v>
      </c>
      <c r="R131" s="22" t="s">
        <v>2820</v>
      </c>
      <c r="S131" s="102" t="s">
        <v>1923</v>
      </c>
      <c r="T131" s="38" t="s">
        <v>404</v>
      </c>
      <c r="U131" s="9">
        <v>40443</v>
      </c>
      <c r="V131" s="104"/>
      <c r="W131" s="92"/>
      <c r="X131" s="74"/>
      <c r="Y131" s="28"/>
      <c r="Z131" s="28"/>
      <c r="AA131" s="24" t="s">
        <v>393</v>
      </c>
      <c r="AB131" s="28">
        <v>40490</v>
      </c>
      <c r="AC131" s="69"/>
    </row>
    <row r="132" spans="1:29" ht="14.25" customHeight="1" x14ac:dyDescent="0.4">
      <c r="B132" s="22">
        <v>0</v>
      </c>
      <c r="C132" s="22">
        <v>0</v>
      </c>
      <c r="D132" s="22">
        <v>0</v>
      </c>
      <c r="E132" s="24">
        <v>40499</v>
      </c>
      <c r="F132" s="24" t="s">
        <v>393</v>
      </c>
      <c r="G132" s="24">
        <v>40520</v>
      </c>
      <c r="H132" s="37">
        <v>70</v>
      </c>
      <c r="I132" s="23" t="s">
        <v>1997</v>
      </c>
      <c r="J132" s="37" t="e">
        <v>#REF!</v>
      </c>
      <c r="K132" s="24" t="s">
        <v>2129</v>
      </c>
      <c r="L132" s="24" t="s">
        <v>1993</v>
      </c>
      <c r="M132" s="24">
        <v>40400</v>
      </c>
      <c r="N132" s="22" t="s">
        <v>668</v>
      </c>
      <c r="O132" s="4">
        <v>9110157</v>
      </c>
      <c r="P132" s="22">
        <v>1020</v>
      </c>
      <c r="Q132" s="22">
        <v>42</v>
      </c>
      <c r="R132" s="22" t="s">
        <v>2821</v>
      </c>
      <c r="S132" s="4" t="s">
        <v>1945</v>
      </c>
      <c r="T132" s="3" t="s">
        <v>404</v>
      </c>
      <c r="U132" s="42">
        <v>40466</v>
      </c>
      <c r="V132" s="3"/>
      <c r="W132" s="28"/>
      <c r="X132" s="74"/>
      <c r="Y132" s="28"/>
      <c r="Z132" s="28"/>
      <c r="AA132" s="24" t="s">
        <v>393</v>
      </c>
      <c r="AB132" s="28">
        <v>40520</v>
      </c>
      <c r="AC132" s="69"/>
    </row>
    <row r="133" spans="1:29" ht="14.25" customHeight="1" x14ac:dyDescent="0.4">
      <c r="A133" s="4"/>
      <c r="B133" s="22">
        <v>0</v>
      </c>
      <c r="C133" s="22" t="s">
        <v>2102</v>
      </c>
      <c r="D133" s="22">
        <v>0</v>
      </c>
      <c r="E133" s="24">
        <v>40533</v>
      </c>
      <c r="F133" s="24" t="s">
        <v>393</v>
      </c>
      <c r="G133" s="24">
        <v>40541</v>
      </c>
      <c r="H133" s="37">
        <v>102</v>
      </c>
      <c r="I133" s="23" t="s">
        <v>1998</v>
      </c>
      <c r="J133" s="37">
        <v>23</v>
      </c>
      <c r="K133" s="24" t="s">
        <v>2129</v>
      </c>
      <c r="L133" s="24" t="s">
        <v>1993</v>
      </c>
      <c r="M133" s="24">
        <v>40400</v>
      </c>
      <c r="N133" s="22" t="s">
        <v>668</v>
      </c>
      <c r="O133" s="4">
        <v>9110165</v>
      </c>
      <c r="P133" s="22">
        <v>1020</v>
      </c>
      <c r="Q133" s="22">
        <v>42</v>
      </c>
      <c r="R133" s="22" t="s">
        <v>2822</v>
      </c>
      <c r="S133" s="4" t="s">
        <v>209</v>
      </c>
      <c r="T133" s="3" t="s">
        <v>404</v>
      </c>
      <c r="U133" s="43">
        <v>40665</v>
      </c>
      <c r="V133" s="3"/>
      <c r="W133" s="62"/>
      <c r="X133" s="74"/>
      <c r="Y133" s="28"/>
      <c r="Z133" s="28"/>
      <c r="AA133" s="24" t="s">
        <v>393</v>
      </c>
      <c r="AB133" s="28">
        <v>40541</v>
      </c>
      <c r="AC133" s="69"/>
    </row>
    <row r="134" spans="1:29" ht="14.25" customHeight="1" x14ac:dyDescent="0.4">
      <c r="B134" s="22">
        <v>0</v>
      </c>
      <c r="C134" s="22" t="s">
        <v>2165</v>
      </c>
      <c r="D134" s="22">
        <v>0</v>
      </c>
      <c r="E134" s="24">
        <v>40555</v>
      </c>
      <c r="F134" s="24" t="s">
        <v>393</v>
      </c>
      <c r="G134" s="24">
        <v>40557</v>
      </c>
      <c r="H134" s="37">
        <v>123</v>
      </c>
      <c r="I134" s="23" t="s">
        <v>1999</v>
      </c>
      <c r="J134" s="37">
        <v>14</v>
      </c>
      <c r="K134" s="24" t="s">
        <v>2129</v>
      </c>
      <c r="L134" s="24" t="s">
        <v>1997</v>
      </c>
      <c r="M134" s="24">
        <v>40400</v>
      </c>
      <c r="N134" s="22" t="s">
        <v>668</v>
      </c>
      <c r="O134" s="4">
        <v>9110158</v>
      </c>
      <c r="P134" s="22">
        <v>1020</v>
      </c>
      <c r="Q134" s="22">
        <v>42</v>
      </c>
      <c r="R134" s="22" t="s">
        <v>2823</v>
      </c>
      <c r="S134" s="102" t="s">
        <v>1924</v>
      </c>
      <c r="T134" s="38" t="s">
        <v>404</v>
      </c>
      <c r="U134" s="44">
        <v>40446</v>
      </c>
      <c r="V134" s="104"/>
      <c r="W134" s="92"/>
      <c r="X134" s="74"/>
      <c r="Y134" s="28"/>
      <c r="Z134" s="28"/>
      <c r="AA134" s="24" t="s">
        <v>393</v>
      </c>
      <c r="AB134" s="28">
        <v>40557</v>
      </c>
      <c r="AC134" s="69"/>
    </row>
    <row r="135" spans="1:29" ht="14.25" customHeight="1" x14ac:dyDescent="0.4">
      <c r="B135" s="22">
        <v>0</v>
      </c>
      <c r="C135" s="22">
        <v>0</v>
      </c>
      <c r="D135" s="22">
        <v>0</v>
      </c>
      <c r="E135" s="24">
        <v>40561</v>
      </c>
      <c r="F135" s="24" t="s">
        <v>393</v>
      </c>
      <c r="G135" s="24">
        <v>40563</v>
      </c>
      <c r="H135" s="37">
        <v>131</v>
      </c>
      <c r="I135" s="23" t="s">
        <v>1999</v>
      </c>
      <c r="J135" s="37">
        <v>22</v>
      </c>
      <c r="K135" s="24" t="s">
        <v>2129</v>
      </c>
      <c r="L135" s="24" t="s">
        <v>1997</v>
      </c>
      <c r="M135" s="24">
        <v>40400</v>
      </c>
      <c r="N135" s="22" t="s">
        <v>668</v>
      </c>
      <c r="O135" s="4">
        <v>9110160</v>
      </c>
      <c r="P135" s="22">
        <v>1020</v>
      </c>
      <c r="Q135" s="22">
        <v>42</v>
      </c>
      <c r="R135" s="22" t="s">
        <v>2824</v>
      </c>
      <c r="S135" s="1" t="s">
        <v>1908</v>
      </c>
      <c r="T135" s="4" t="s">
        <v>404</v>
      </c>
      <c r="U135" s="44">
        <v>40436</v>
      </c>
      <c r="V135" s="106"/>
      <c r="W135" s="55"/>
      <c r="X135" s="74"/>
      <c r="Y135" s="28"/>
      <c r="Z135" s="28"/>
      <c r="AA135" s="24" t="s">
        <v>393</v>
      </c>
      <c r="AB135" s="28">
        <v>40563</v>
      </c>
      <c r="AC135" s="69"/>
    </row>
    <row r="136" spans="1:29" ht="14.25" customHeight="1" x14ac:dyDescent="0.4">
      <c r="A136" s="4"/>
      <c r="B136" s="22">
        <v>0</v>
      </c>
      <c r="C136" s="22">
        <v>0</v>
      </c>
      <c r="D136" s="22">
        <v>0</v>
      </c>
      <c r="E136" s="24">
        <v>40561</v>
      </c>
      <c r="F136" s="24" t="s">
        <v>393</v>
      </c>
      <c r="G136" s="24">
        <v>40563</v>
      </c>
      <c r="H136" s="37">
        <v>132</v>
      </c>
      <c r="I136" s="23" t="s">
        <v>1999</v>
      </c>
      <c r="J136" s="37">
        <v>23</v>
      </c>
      <c r="K136" s="24" t="s">
        <v>2129</v>
      </c>
      <c r="L136" s="24" t="s">
        <v>1997</v>
      </c>
      <c r="M136" s="24">
        <v>40400</v>
      </c>
      <c r="N136" s="22" t="s">
        <v>668</v>
      </c>
      <c r="O136" s="4">
        <v>9110168</v>
      </c>
      <c r="P136" s="22">
        <v>1020</v>
      </c>
      <c r="Q136" s="22">
        <v>42</v>
      </c>
      <c r="R136" s="22" t="s">
        <v>2825</v>
      </c>
      <c r="S136" s="4" t="s">
        <v>1909</v>
      </c>
      <c r="T136" s="38" t="s">
        <v>404</v>
      </c>
      <c r="U136" s="129">
        <v>40436</v>
      </c>
      <c r="V136" s="106"/>
      <c r="W136" s="93"/>
      <c r="Y136" s="28"/>
      <c r="Z136" s="28"/>
      <c r="AA136" s="24" t="s">
        <v>393</v>
      </c>
      <c r="AB136" s="28">
        <v>40563</v>
      </c>
      <c r="AC136" s="69"/>
    </row>
    <row r="137" spans="1:29" ht="14.25" customHeight="1" x14ac:dyDescent="0.4">
      <c r="B137" s="22">
        <v>0</v>
      </c>
      <c r="C137" s="22" t="s">
        <v>2102</v>
      </c>
      <c r="D137" s="22">
        <v>0</v>
      </c>
      <c r="E137" s="24">
        <v>40554</v>
      </c>
      <c r="F137" s="24" t="s">
        <v>393</v>
      </c>
      <c r="G137" s="24">
        <v>40557</v>
      </c>
      <c r="H137" s="37">
        <v>122</v>
      </c>
      <c r="I137" s="23" t="s">
        <v>1999</v>
      </c>
      <c r="J137" s="37">
        <v>13</v>
      </c>
      <c r="K137" s="24" t="s">
        <v>2129</v>
      </c>
      <c r="L137" s="24" t="s">
        <v>1997</v>
      </c>
      <c r="M137" s="24">
        <v>40400</v>
      </c>
      <c r="N137" s="22" t="s">
        <v>668</v>
      </c>
      <c r="O137" s="4">
        <v>9110172</v>
      </c>
      <c r="P137" s="22">
        <v>720</v>
      </c>
      <c r="Q137" s="22">
        <v>42</v>
      </c>
      <c r="R137" s="22" t="s">
        <v>2826</v>
      </c>
      <c r="S137" s="102" t="s">
        <v>1977</v>
      </c>
      <c r="T137" s="38" t="s">
        <v>404</v>
      </c>
      <c r="U137" s="44">
        <v>40511</v>
      </c>
      <c r="V137" s="104"/>
      <c r="W137" s="92"/>
      <c r="X137" s="74"/>
      <c r="Y137" s="28"/>
      <c r="Z137" s="9"/>
      <c r="AA137" s="24" t="s">
        <v>393</v>
      </c>
      <c r="AB137" s="28">
        <v>40557</v>
      </c>
      <c r="AC137" s="69"/>
    </row>
    <row r="138" spans="1:29" ht="14.25" customHeight="1" x14ac:dyDescent="0.4">
      <c r="B138" s="22">
        <v>0</v>
      </c>
      <c r="C138" s="22" t="s">
        <v>2102</v>
      </c>
      <c r="D138" s="22">
        <v>0</v>
      </c>
      <c r="E138" s="24">
        <v>40581</v>
      </c>
      <c r="F138" s="24" t="s">
        <v>393</v>
      </c>
      <c r="G138" s="24">
        <v>40583</v>
      </c>
      <c r="H138" s="37">
        <v>159</v>
      </c>
      <c r="I138" s="23" t="s">
        <v>2000</v>
      </c>
      <c r="J138" s="37">
        <v>7</v>
      </c>
      <c r="K138" s="24" t="s">
        <v>2129</v>
      </c>
      <c r="L138" s="24" t="s">
        <v>1998</v>
      </c>
      <c r="M138" s="24">
        <v>40400</v>
      </c>
      <c r="N138" s="22" t="s">
        <v>668</v>
      </c>
      <c r="O138" s="4">
        <v>9110162</v>
      </c>
      <c r="P138" s="22">
        <v>1020</v>
      </c>
      <c r="Q138" s="22">
        <v>42</v>
      </c>
      <c r="R138" s="22" t="s">
        <v>2827</v>
      </c>
      <c r="S138" s="4" t="s">
        <v>2112</v>
      </c>
      <c r="T138" s="4" t="s">
        <v>404</v>
      </c>
      <c r="U138" s="57">
        <v>40557</v>
      </c>
      <c r="V138" s="4"/>
      <c r="W138" s="59"/>
      <c r="X138" s="74"/>
      <c r="Y138" s="28"/>
      <c r="Z138" s="9"/>
      <c r="AA138" s="24" t="s">
        <v>393</v>
      </c>
      <c r="AB138" s="28">
        <v>40583</v>
      </c>
      <c r="AC138" s="69"/>
    </row>
    <row r="139" spans="1:29" ht="14.25" customHeight="1" x14ac:dyDescent="0.4">
      <c r="B139" s="22">
        <v>0</v>
      </c>
      <c r="C139" s="22" t="s">
        <v>2165</v>
      </c>
      <c r="D139" s="22">
        <v>0</v>
      </c>
      <c r="E139" s="24">
        <v>40589</v>
      </c>
      <c r="F139" s="24" t="s">
        <v>393</v>
      </c>
      <c r="G139" s="24">
        <v>40590</v>
      </c>
      <c r="H139" s="37">
        <v>170</v>
      </c>
      <c r="I139" s="23" t="s">
        <v>2000</v>
      </c>
      <c r="J139" s="37">
        <v>18</v>
      </c>
      <c r="K139" s="24" t="s">
        <v>2129</v>
      </c>
      <c r="L139" s="24" t="s">
        <v>1998</v>
      </c>
      <c r="M139" s="24">
        <v>40400</v>
      </c>
      <c r="N139" s="22" t="s">
        <v>668</v>
      </c>
      <c r="O139" s="4">
        <v>9110163</v>
      </c>
      <c r="P139" s="22">
        <v>1020</v>
      </c>
      <c r="Q139" s="22">
        <v>42</v>
      </c>
      <c r="R139" s="22" t="s">
        <v>2828</v>
      </c>
      <c r="S139" s="4" t="s">
        <v>2079</v>
      </c>
      <c r="T139" s="4" t="s">
        <v>404</v>
      </c>
      <c r="U139" s="57">
        <v>40534</v>
      </c>
      <c r="V139" s="4"/>
      <c r="W139" s="57"/>
      <c r="X139" s="74"/>
      <c r="Y139" s="28"/>
      <c r="Z139" s="28"/>
      <c r="AA139" s="24" t="s">
        <v>393</v>
      </c>
      <c r="AB139" s="28">
        <v>40590</v>
      </c>
      <c r="AC139" s="69"/>
    </row>
    <row r="140" spans="1:29" ht="14.25" customHeight="1" x14ac:dyDescent="0.4">
      <c r="B140" s="22">
        <v>0</v>
      </c>
      <c r="C140" s="22" t="s">
        <v>2165</v>
      </c>
      <c r="D140" s="22">
        <v>0</v>
      </c>
      <c r="E140" s="24">
        <v>40589</v>
      </c>
      <c r="F140" s="24" t="s">
        <v>393</v>
      </c>
      <c r="G140" s="24">
        <v>40602</v>
      </c>
      <c r="H140" s="37">
        <v>171</v>
      </c>
      <c r="I140" s="23" t="s">
        <v>2000</v>
      </c>
      <c r="J140" s="37">
        <v>19</v>
      </c>
      <c r="K140" s="24" t="s">
        <v>2129</v>
      </c>
      <c r="L140" s="24" t="s">
        <v>1998</v>
      </c>
      <c r="M140" s="24">
        <v>40400</v>
      </c>
      <c r="N140" s="22" t="s">
        <v>668</v>
      </c>
      <c r="O140" s="4">
        <v>9110170</v>
      </c>
      <c r="P140" s="22">
        <v>720</v>
      </c>
      <c r="Q140" s="22">
        <v>42</v>
      </c>
      <c r="R140" s="22" t="s">
        <v>2829</v>
      </c>
      <c r="S140" s="4" t="s">
        <v>2118</v>
      </c>
      <c r="T140" s="4" t="s">
        <v>404</v>
      </c>
      <c r="U140" s="57">
        <v>40561</v>
      </c>
      <c r="V140" s="4"/>
      <c r="W140" s="57"/>
      <c r="X140" s="74"/>
      <c r="Y140" s="28"/>
      <c r="Z140" s="28"/>
      <c r="AA140" s="24" t="s">
        <v>393</v>
      </c>
      <c r="AB140" s="28">
        <v>40602</v>
      </c>
      <c r="AC140" s="69"/>
    </row>
    <row r="141" spans="1:29" ht="14.25" customHeight="1" x14ac:dyDescent="0.4">
      <c r="B141" s="22">
        <v>0</v>
      </c>
      <c r="C141" s="22" t="s">
        <v>2165</v>
      </c>
      <c r="D141" s="22">
        <v>0</v>
      </c>
      <c r="E141" s="24">
        <v>40578</v>
      </c>
      <c r="F141" s="24" t="s">
        <v>393</v>
      </c>
      <c r="G141" s="24">
        <v>40585</v>
      </c>
      <c r="H141" s="37">
        <v>158</v>
      </c>
      <c r="I141" s="23" t="s">
        <v>2000</v>
      </c>
      <c r="J141" s="37">
        <v>6</v>
      </c>
      <c r="K141" s="24" t="s">
        <v>2129</v>
      </c>
      <c r="L141" s="24" t="s">
        <v>1998</v>
      </c>
      <c r="M141" s="24">
        <v>40400</v>
      </c>
      <c r="N141" s="22" t="s">
        <v>668</v>
      </c>
      <c r="O141" s="4">
        <v>9110173</v>
      </c>
      <c r="P141" s="22">
        <v>720</v>
      </c>
      <c r="Q141" s="22">
        <v>42</v>
      </c>
      <c r="R141" s="22" t="s">
        <v>2830</v>
      </c>
      <c r="S141" s="4" t="s">
        <v>2092</v>
      </c>
      <c r="T141" s="4" t="s">
        <v>404</v>
      </c>
      <c r="U141" s="57">
        <v>40542</v>
      </c>
      <c r="V141" s="4"/>
      <c r="W141" s="57"/>
      <c r="X141" s="74"/>
      <c r="Y141" s="28"/>
      <c r="Z141" s="28"/>
      <c r="AA141" s="24" t="s">
        <v>393</v>
      </c>
      <c r="AB141" s="28">
        <v>40585</v>
      </c>
      <c r="AC141" s="69"/>
    </row>
    <row r="142" spans="1:29" ht="14.25" customHeight="1" x14ac:dyDescent="0.4">
      <c r="B142" s="22">
        <v>0</v>
      </c>
      <c r="C142" s="22">
        <v>0</v>
      </c>
      <c r="D142" s="22">
        <v>0</v>
      </c>
      <c r="E142" s="24">
        <v>40605</v>
      </c>
      <c r="F142" s="24" t="s">
        <v>393</v>
      </c>
      <c r="G142" s="24">
        <v>40609</v>
      </c>
      <c r="H142" s="37">
        <v>207</v>
      </c>
      <c r="I142" s="23" t="s">
        <v>2001</v>
      </c>
      <c r="J142" s="37">
        <v>9</v>
      </c>
      <c r="K142" s="24" t="s">
        <v>2129</v>
      </c>
      <c r="L142" s="24" t="s">
        <v>1999</v>
      </c>
      <c r="M142" s="24">
        <v>40400</v>
      </c>
      <c r="N142" s="22" t="s">
        <v>668</v>
      </c>
      <c r="O142" s="4">
        <v>9110161</v>
      </c>
      <c r="P142" s="22">
        <v>1020</v>
      </c>
      <c r="Q142" s="22">
        <v>42</v>
      </c>
      <c r="R142" s="22" t="s">
        <v>2831</v>
      </c>
      <c r="S142" s="4" t="s">
        <v>2119</v>
      </c>
      <c r="T142" s="4" t="s">
        <v>404</v>
      </c>
      <c r="U142" s="57">
        <v>40564</v>
      </c>
      <c r="V142" s="4"/>
      <c r="W142" s="57"/>
      <c r="X142" s="74"/>
      <c r="Y142" s="28"/>
      <c r="Z142" s="28"/>
      <c r="AA142" s="24" t="s">
        <v>393</v>
      </c>
      <c r="AB142" s="28">
        <v>40609</v>
      </c>
      <c r="AC142" s="69"/>
    </row>
    <row r="143" spans="1:29" ht="14.25" customHeight="1" x14ac:dyDescent="0.4">
      <c r="B143" s="22">
        <v>0</v>
      </c>
      <c r="C143" s="22">
        <v>0</v>
      </c>
      <c r="D143" s="22">
        <v>0</v>
      </c>
      <c r="E143" s="24">
        <v>40606</v>
      </c>
      <c r="F143" s="24" t="s">
        <v>393</v>
      </c>
      <c r="G143" s="24">
        <v>40609</v>
      </c>
      <c r="H143" s="37">
        <v>208</v>
      </c>
      <c r="I143" s="23" t="s">
        <v>2001</v>
      </c>
      <c r="J143" s="37">
        <v>10</v>
      </c>
      <c r="K143" s="24" t="s">
        <v>2129</v>
      </c>
      <c r="L143" s="24" t="s">
        <v>1999</v>
      </c>
      <c r="M143" s="24">
        <v>40400</v>
      </c>
      <c r="N143" s="22" t="s">
        <v>668</v>
      </c>
      <c r="O143" s="4">
        <v>9110164</v>
      </c>
      <c r="P143" s="22">
        <v>1020</v>
      </c>
      <c r="Q143" s="22">
        <v>42</v>
      </c>
      <c r="R143" s="22" t="s">
        <v>2832</v>
      </c>
      <c r="S143" s="4" t="s">
        <v>1891</v>
      </c>
      <c r="T143" s="4" t="s">
        <v>404</v>
      </c>
      <c r="U143" s="57">
        <v>40423</v>
      </c>
      <c r="V143" s="4"/>
      <c r="W143" s="4"/>
      <c r="X143" s="74"/>
      <c r="Y143" s="28"/>
      <c r="Z143" s="9"/>
      <c r="AA143" s="24" t="s">
        <v>393</v>
      </c>
      <c r="AB143" s="28">
        <v>40609</v>
      </c>
      <c r="AC143" s="69"/>
    </row>
    <row r="144" spans="1:29" ht="14.25" customHeight="1" x14ac:dyDescent="0.4">
      <c r="B144" s="22">
        <v>0</v>
      </c>
      <c r="C144" s="22">
        <v>0</v>
      </c>
      <c r="D144" s="22">
        <v>0</v>
      </c>
      <c r="E144" s="24">
        <v>40610</v>
      </c>
      <c r="F144" s="24" t="s">
        <v>393</v>
      </c>
      <c r="G144" s="24">
        <v>40619</v>
      </c>
      <c r="H144" s="37">
        <v>215</v>
      </c>
      <c r="I144" s="23" t="s">
        <v>2001</v>
      </c>
      <c r="J144" s="37">
        <v>17</v>
      </c>
      <c r="K144" s="24" t="s">
        <v>2129</v>
      </c>
      <c r="L144" s="24" t="s">
        <v>1999</v>
      </c>
      <c r="M144" s="24">
        <v>40400</v>
      </c>
      <c r="N144" s="22" t="s">
        <v>668</v>
      </c>
      <c r="O144" s="4">
        <v>9110167</v>
      </c>
      <c r="P144" s="22">
        <v>720</v>
      </c>
      <c r="Q144" s="22">
        <v>42</v>
      </c>
      <c r="R144" s="22" t="s">
        <v>2833</v>
      </c>
      <c r="S144" s="4" t="s">
        <v>2148</v>
      </c>
      <c r="T144" s="4" t="s">
        <v>404</v>
      </c>
      <c r="U144" s="57">
        <v>40584</v>
      </c>
      <c r="V144" s="4"/>
      <c r="W144" s="57"/>
      <c r="X144" s="74"/>
      <c r="Y144" s="28"/>
      <c r="Z144" s="9"/>
      <c r="AA144" s="24" t="s">
        <v>393</v>
      </c>
      <c r="AB144" s="28">
        <v>40619</v>
      </c>
      <c r="AC144" s="69"/>
    </row>
    <row r="145" spans="1:29" ht="14.25" customHeight="1" x14ac:dyDescent="0.4">
      <c r="B145" s="22">
        <v>0</v>
      </c>
      <c r="C145" s="22">
        <v>0</v>
      </c>
      <c r="D145" s="22">
        <v>0</v>
      </c>
      <c r="E145" s="24">
        <v>40610</v>
      </c>
      <c r="F145" s="24" t="s">
        <v>393</v>
      </c>
      <c r="G145" s="24">
        <v>40611</v>
      </c>
      <c r="H145" s="37">
        <v>216</v>
      </c>
      <c r="I145" s="23" t="s">
        <v>2001</v>
      </c>
      <c r="J145" s="37">
        <v>18</v>
      </c>
      <c r="K145" s="24" t="s">
        <v>2129</v>
      </c>
      <c r="L145" s="24" t="s">
        <v>1999</v>
      </c>
      <c r="M145" s="24">
        <v>40400</v>
      </c>
      <c r="N145" s="22" t="s">
        <v>668</v>
      </c>
      <c r="O145" s="4">
        <v>9110171</v>
      </c>
      <c r="P145" s="22">
        <v>1020</v>
      </c>
      <c r="Q145" s="22">
        <v>42</v>
      </c>
      <c r="R145" s="22" t="s">
        <v>2834</v>
      </c>
      <c r="S145" s="4" t="s">
        <v>2111</v>
      </c>
      <c r="T145" s="4" t="s">
        <v>404</v>
      </c>
      <c r="U145" s="88">
        <v>40557</v>
      </c>
      <c r="V145" s="87"/>
      <c r="W145" s="89"/>
      <c r="X145" s="84"/>
      <c r="Y145" s="28"/>
      <c r="Z145" s="28"/>
      <c r="AA145" s="24" t="s">
        <v>393</v>
      </c>
      <c r="AB145" s="28">
        <v>40611</v>
      </c>
      <c r="AC145" s="69"/>
    </row>
    <row r="146" spans="1:29" ht="14.25" customHeight="1" x14ac:dyDescent="0.4">
      <c r="B146" s="22">
        <v>0</v>
      </c>
      <c r="C146" s="22" t="s">
        <v>2165</v>
      </c>
      <c r="D146" s="22">
        <v>0</v>
      </c>
      <c r="E146" s="24">
        <v>40522</v>
      </c>
      <c r="F146" s="24" t="s">
        <v>393</v>
      </c>
      <c r="G146" s="24">
        <v>40534</v>
      </c>
      <c r="H146" s="37">
        <v>91</v>
      </c>
      <c r="I146" s="23" t="s">
        <v>1998</v>
      </c>
      <c r="J146" s="37">
        <v>12</v>
      </c>
      <c r="K146" s="24" t="s">
        <v>412</v>
      </c>
      <c r="L146" s="24" t="s">
        <v>1993</v>
      </c>
      <c r="M146" s="24">
        <v>40403</v>
      </c>
      <c r="N146" s="22" t="s">
        <v>557</v>
      </c>
      <c r="O146" s="4">
        <v>9110119</v>
      </c>
      <c r="P146" s="22">
        <v>1020</v>
      </c>
      <c r="Q146" s="22">
        <v>42</v>
      </c>
      <c r="R146" s="22">
        <v>0</v>
      </c>
      <c r="S146" s="55" t="s">
        <v>1971</v>
      </c>
      <c r="T146" s="55" t="s">
        <v>404</v>
      </c>
      <c r="U146" s="93">
        <v>40489</v>
      </c>
      <c r="V146" s="55" t="s">
        <v>404</v>
      </c>
      <c r="W146" s="92">
        <v>40655</v>
      </c>
      <c r="X146" s="74"/>
      <c r="Y146" s="28"/>
      <c r="Z146" s="9"/>
      <c r="AA146" s="24" t="s">
        <v>393</v>
      </c>
      <c r="AB146" s="28">
        <v>40534</v>
      </c>
      <c r="AC146" s="69"/>
    </row>
    <row r="147" spans="1:29" ht="14.25" customHeight="1" x14ac:dyDescent="0.4">
      <c r="B147" s="22">
        <v>0</v>
      </c>
      <c r="C147" s="22" t="s">
        <v>2165</v>
      </c>
      <c r="D147" s="22">
        <v>0</v>
      </c>
      <c r="E147" s="24">
        <v>40525</v>
      </c>
      <c r="F147" s="24" t="s">
        <v>393</v>
      </c>
      <c r="G147" s="24">
        <v>40533</v>
      </c>
      <c r="H147" s="37">
        <v>92</v>
      </c>
      <c r="I147" s="23" t="s">
        <v>1998</v>
      </c>
      <c r="J147" s="37">
        <v>13</v>
      </c>
      <c r="K147" s="24" t="s">
        <v>412</v>
      </c>
      <c r="L147" s="24" t="s">
        <v>1993</v>
      </c>
      <c r="M147" s="24">
        <v>40403</v>
      </c>
      <c r="N147" s="22" t="s">
        <v>557</v>
      </c>
      <c r="O147" s="4">
        <v>9110120</v>
      </c>
      <c r="P147" s="22">
        <v>1020</v>
      </c>
      <c r="Q147" s="22">
        <v>42</v>
      </c>
      <c r="R147" s="22">
        <v>0</v>
      </c>
      <c r="S147" s="55"/>
      <c r="T147" s="55" t="s">
        <v>404</v>
      </c>
      <c r="U147" s="93">
        <v>40633</v>
      </c>
      <c r="V147" s="55" t="s">
        <v>404</v>
      </c>
      <c r="W147" s="92">
        <v>40655</v>
      </c>
      <c r="X147" s="74"/>
      <c r="Y147" s="28"/>
      <c r="Z147" s="9"/>
      <c r="AA147" s="24" t="s">
        <v>393</v>
      </c>
      <c r="AB147" s="28">
        <v>40533</v>
      </c>
      <c r="AC147" s="69"/>
    </row>
    <row r="148" spans="1:29" ht="14.25" customHeight="1" x14ac:dyDescent="0.4">
      <c r="B148" s="22">
        <v>0</v>
      </c>
      <c r="C148" s="22" t="s">
        <v>2165</v>
      </c>
      <c r="D148" s="22">
        <v>0</v>
      </c>
      <c r="E148" s="24">
        <v>40613</v>
      </c>
      <c r="F148" s="24" t="s">
        <v>393</v>
      </c>
      <c r="G148" s="24">
        <v>40613</v>
      </c>
      <c r="H148" s="37">
        <v>223</v>
      </c>
      <c r="I148" s="23" t="s">
        <v>2001</v>
      </c>
      <c r="J148" s="37">
        <v>25</v>
      </c>
      <c r="K148" s="24" t="s">
        <v>412</v>
      </c>
      <c r="L148" s="24" t="s">
        <v>2000</v>
      </c>
      <c r="M148" s="24">
        <v>40403</v>
      </c>
      <c r="N148" s="22" t="s">
        <v>557</v>
      </c>
      <c r="O148" s="4">
        <v>9110121</v>
      </c>
      <c r="P148" s="22">
        <v>1020</v>
      </c>
      <c r="Q148" s="22">
        <v>42</v>
      </c>
      <c r="R148" s="22">
        <v>0</v>
      </c>
      <c r="S148" s="55"/>
      <c r="T148" s="55" t="s">
        <v>404</v>
      </c>
      <c r="U148" s="92">
        <v>40633</v>
      </c>
      <c r="V148" s="55" t="s">
        <v>404</v>
      </c>
      <c r="W148" s="92">
        <v>40676</v>
      </c>
      <c r="X148" s="74"/>
      <c r="Y148" s="28"/>
      <c r="Z148" s="9"/>
      <c r="AA148" s="24" t="s">
        <v>393</v>
      </c>
      <c r="AB148" s="28">
        <v>40613</v>
      </c>
      <c r="AC148" s="69"/>
    </row>
    <row r="149" spans="1:29" ht="14.25" customHeight="1" x14ac:dyDescent="0.4">
      <c r="B149" s="22">
        <v>0</v>
      </c>
      <c r="C149" s="22">
        <v>0</v>
      </c>
      <c r="D149" s="22">
        <v>0</v>
      </c>
      <c r="E149" s="24">
        <v>40613</v>
      </c>
      <c r="F149" s="24" t="s">
        <v>393</v>
      </c>
      <c r="G149" s="24">
        <v>40626</v>
      </c>
      <c r="H149" s="37">
        <v>224</v>
      </c>
      <c r="I149" s="23" t="s">
        <v>2001</v>
      </c>
      <c r="J149" s="37">
        <v>26</v>
      </c>
      <c r="K149" s="24" t="s">
        <v>412</v>
      </c>
      <c r="L149" s="24" t="s">
        <v>2000</v>
      </c>
      <c r="M149" s="24">
        <v>40403</v>
      </c>
      <c r="N149" s="22" t="s">
        <v>557</v>
      </c>
      <c r="O149" s="4">
        <v>9110122</v>
      </c>
      <c r="P149" s="22">
        <v>1020</v>
      </c>
      <c r="Q149" s="22">
        <v>42</v>
      </c>
      <c r="R149" s="22">
        <v>0</v>
      </c>
      <c r="S149" s="55" t="s">
        <v>1972</v>
      </c>
      <c r="T149" s="3" t="s">
        <v>404</v>
      </c>
      <c r="U149" s="28">
        <v>40489</v>
      </c>
      <c r="V149" s="3" t="s">
        <v>404</v>
      </c>
      <c r="W149" s="28">
        <v>40676</v>
      </c>
      <c r="X149" s="74"/>
      <c r="Y149" s="28"/>
      <c r="Z149" s="9"/>
      <c r="AA149" s="24" t="s">
        <v>393</v>
      </c>
      <c r="AB149" s="28">
        <v>40626</v>
      </c>
      <c r="AC149" s="69"/>
    </row>
    <row r="150" spans="1:29" ht="14.25" customHeight="1" x14ac:dyDescent="0.4">
      <c r="A150" s="4"/>
      <c r="B150" s="22">
        <v>0</v>
      </c>
      <c r="C150" s="22">
        <v>0</v>
      </c>
      <c r="D150" s="22">
        <v>0</v>
      </c>
      <c r="E150" s="24">
        <v>40661</v>
      </c>
      <c r="F150" s="24" t="s">
        <v>393</v>
      </c>
      <c r="G150" s="24">
        <v>40673</v>
      </c>
      <c r="H150" s="37">
        <v>325</v>
      </c>
      <c r="I150" s="23" t="s">
        <v>2002</v>
      </c>
      <c r="J150" s="37">
        <v>58</v>
      </c>
      <c r="K150" s="24" t="s">
        <v>412</v>
      </c>
      <c r="L150" s="24" t="s">
        <v>25</v>
      </c>
      <c r="M150" s="24">
        <v>40403</v>
      </c>
      <c r="N150" s="22" t="s">
        <v>557</v>
      </c>
      <c r="O150" s="4">
        <v>9110123</v>
      </c>
      <c r="P150" s="22">
        <v>1020</v>
      </c>
      <c r="Q150" s="22">
        <v>42</v>
      </c>
      <c r="R150" s="22">
        <v>0</v>
      </c>
      <c r="S150" s="55"/>
      <c r="T150" s="55" t="s">
        <v>404</v>
      </c>
      <c r="U150" s="43">
        <v>40638</v>
      </c>
      <c r="V150" s="55" t="s">
        <v>404</v>
      </c>
      <c r="W150" s="92">
        <v>40712</v>
      </c>
      <c r="X150" s="74"/>
      <c r="Y150" s="28"/>
      <c r="Z150" s="9"/>
      <c r="AA150" s="24" t="s">
        <v>393</v>
      </c>
      <c r="AB150" s="28">
        <v>40673</v>
      </c>
      <c r="AC150" s="69"/>
    </row>
    <row r="151" spans="1:29" ht="14.25" customHeight="1" x14ac:dyDescent="0.4">
      <c r="A151" s="4"/>
      <c r="B151" s="22">
        <v>0</v>
      </c>
      <c r="C151" s="22">
        <v>0</v>
      </c>
      <c r="D151" s="22">
        <v>0</v>
      </c>
      <c r="E151" s="24">
        <v>40666</v>
      </c>
      <c r="F151" s="24" t="s">
        <v>393</v>
      </c>
      <c r="G151" s="24">
        <v>40673</v>
      </c>
      <c r="H151" s="37">
        <v>334</v>
      </c>
      <c r="I151" s="23" t="s">
        <v>2003</v>
      </c>
      <c r="J151" s="37">
        <v>4</v>
      </c>
      <c r="K151" s="24" t="s">
        <v>412</v>
      </c>
      <c r="L151" s="24" t="s">
        <v>25</v>
      </c>
      <c r="M151" s="24">
        <v>40403</v>
      </c>
      <c r="N151" s="22" t="s">
        <v>557</v>
      </c>
      <c r="O151" s="4">
        <v>9110124</v>
      </c>
      <c r="P151" s="22">
        <v>720</v>
      </c>
      <c r="Q151" s="22">
        <v>42</v>
      </c>
      <c r="R151" s="22">
        <v>0</v>
      </c>
      <c r="S151" s="55" t="s">
        <v>427</v>
      </c>
      <c r="T151" s="91" t="s">
        <v>404</v>
      </c>
      <c r="U151" s="94">
        <v>40596</v>
      </c>
      <c r="V151" s="91" t="s">
        <v>404</v>
      </c>
      <c r="W151" s="92">
        <v>40712</v>
      </c>
      <c r="X151" s="74"/>
      <c r="Y151" s="28"/>
      <c r="Z151" s="9"/>
      <c r="AA151" s="24" t="s">
        <v>393</v>
      </c>
      <c r="AB151" s="28">
        <v>40673</v>
      </c>
      <c r="AC151" s="69"/>
    </row>
    <row r="152" spans="1:29" ht="14.25" customHeight="1" x14ac:dyDescent="0.4">
      <c r="B152" s="24">
        <v>40683</v>
      </c>
      <c r="C152" s="24">
        <v>40683</v>
      </c>
      <c r="D152" s="24">
        <v>40683</v>
      </c>
      <c r="E152" s="24">
        <v>40683</v>
      </c>
      <c r="F152" s="24" t="s">
        <v>393</v>
      </c>
      <c r="G152" s="24">
        <v>40688</v>
      </c>
      <c r="H152" s="37">
        <v>370</v>
      </c>
      <c r="I152" s="23" t="s">
        <v>2003</v>
      </c>
      <c r="J152" s="37">
        <v>40</v>
      </c>
      <c r="K152" s="24" t="s">
        <v>412</v>
      </c>
      <c r="L152" s="24">
        <v>0</v>
      </c>
      <c r="M152" s="24">
        <v>40662</v>
      </c>
      <c r="N152" s="22" t="s">
        <v>557</v>
      </c>
      <c r="O152" s="4">
        <v>9110445</v>
      </c>
      <c r="P152" s="22">
        <v>1020</v>
      </c>
      <c r="Q152" s="22">
        <v>42</v>
      </c>
      <c r="R152" s="22">
        <v>0</v>
      </c>
      <c r="T152" s="3" t="s">
        <v>404</v>
      </c>
      <c r="U152" s="80">
        <v>40739</v>
      </c>
      <c r="V152" s="1" t="s">
        <v>404</v>
      </c>
      <c r="W152" s="43">
        <v>40760</v>
      </c>
      <c r="Y152" s="28"/>
      <c r="AA152" s="24" t="s">
        <v>393</v>
      </c>
      <c r="AB152" s="28">
        <v>40688</v>
      </c>
      <c r="AC152" s="69"/>
    </row>
    <row r="153" spans="1:29" ht="14.25" customHeight="1" x14ac:dyDescent="0.4">
      <c r="B153" s="24">
        <v>40683</v>
      </c>
      <c r="C153" s="24">
        <v>40683</v>
      </c>
      <c r="D153" s="24">
        <v>40683</v>
      </c>
      <c r="E153" s="24">
        <v>40683</v>
      </c>
      <c r="F153" s="24" t="s">
        <v>393</v>
      </c>
      <c r="G153" s="24">
        <v>40695</v>
      </c>
      <c r="H153" s="37">
        <v>371</v>
      </c>
      <c r="I153" s="23" t="s">
        <v>2003</v>
      </c>
      <c r="J153" s="37">
        <v>41</v>
      </c>
      <c r="K153" s="24" t="s">
        <v>412</v>
      </c>
      <c r="L153" s="24">
        <v>0</v>
      </c>
      <c r="M153" s="24">
        <v>40662</v>
      </c>
      <c r="N153" s="22" t="s">
        <v>557</v>
      </c>
      <c r="O153" s="4">
        <v>9110446</v>
      </c>
      <c r="P153" s="22">
        <v>1020</v>
      </c>
      <c r="Q153" s="22">
        <v>42</v>
      </c>
      <c r="R153" s="22">
        <v>0</v>
      </c>
      <c r="T153" s="3" t="s">
        <v>404</v>
      </c>
      <c r="U153" s="80">
        <v>40739</v>
      </c>
      <c r="V153" s="1" t="s">
        <v>404</v>
      </c>
      <c r="W153" s="43">
        <v>40760</v>
      </c>
      <c r="Y153" s="28"/>
      <c r="AA153" s="24" t="s">
        <v>393</v>
      </c>
      <c r="AB153" s="28">
        <v>40695</v>
      </c>
      <c r="AC153" s="69"/>
    </row>
    <row r="154" spans="1:29" ht="14.25" customHeight="1" x14ac:dyDescent="0.4">
      <c r="B154" s="22">
        <v>0</v>
      </c>
      <c r="C154" s="22">
        <v>0</v>
      </c>
      <c r="D154" s="22">
        <v>0</v>
      </c>
      <c r="E154" s="24">
        <v>40674</v>
      </c>
      <c r="F154" s="24" t="s">
        <v>393</v>
      </c>
      <c r="G154" s="24">
        <v>40681</v>
      </c>
      <c r="H154" s="37">
        <v>350</v>
      </c>
      <c r="I154" s="23" t="s">
        <v>2003</v>
      </c>
      <c r="J154" s="37">
        <v>20</v>
      </c>
      <c r="K154" s="24" t="s">
        <v>412</v>
      </c>
      <c r="L154" s="24" t="s">
        <v>2835</v>
      </c>
      <c r="M154" s="24">
        <v>40403</v>
      </c>
      <c r="N154" s="22" t="s">
        <v>563</v>
      </c>
      <c r="O154" s="4">
        <v>9110283</v>
      </c>
      <c r="P154" s="22">
        <v>1020</v>
      </c>
      <c r="Q154" s="22">
        <v>50</v>
      </c>
      <c r="R154" s="22">
        <v>0</v>
      </c>
      <c r="S154" s="55" t="s">
        <v>2131</v>
      </c>
      <c r="T154" s="91" t="s">
        <v>404</v>
      </c>
      <c r="U154" s="92">
        <v>40577</v>
      </c>
      <c r="V154" s="91" t="s">
        <v>404</v>
      </c>
      <c r="W154" s="80">
        <v>40739</v>
      </c>
      <c r="X154" s="74"/>
      <c r="Y154" s="28"/>
      <c r="Z154" s="9"/>
      <c r="AA154" s="24" t="s">
        <v>393</v>
      </c>
      <c r="AB154" s="28">
        <v>40681</v>
      </c>
      <c r="AC154" s="69"/>
    </row>
    <row r="155" spans="1:29" ht="14.25" customHeight="1" x14ac:dyDescent="0.4">
      <c r="B155" s="22">
        <v>0</v>
      </c>
      <c r="C155" s="22">
        <v>0</v>
      </c>
      <c r="D155" s="22">
        <v>0</v>
      </c>
      <c r="E155" s="24">
        <v>40709</v>
      </c>
      <c r="F155" s="24" t="s">
        <v>393</v>
      </c>
      <c r="G155" s="24">
        <v>40714</v>
      </c>
      <c r="H155" s="37">
        <v>402</v>
      </c>
      <c r="I155" s="23" t="s">
        <v>2004</v>
      </c>
      <c r="J155" s="37">
        <v>16</v>
      </c>
      <c r="K155" s="24" t="s">
        <v>412</v>
      </c>
      <c r="L155" s="24" t="s">
        <v>2835</v>
      </c>
      <c r="M155" s="24">
        <v>40403</v>
      </c>
      <c r="N155" s="22" t="s">
        <v>563</v>
      </c>
      <c r="O155" s="4">
        <v>9110284</v>
      </c>
      <c r="P155" s="22">
        <v>1020</v>
      </c>
      <c r="Q155" s="22">
        <v>50</v>
      </c>
      <c r="R155" s="22">
        <v>0</v>
      </c>
      <c r="S155" s="132" t="s">
        <v>446</v>
      </c>
      <c r="T155" s="132" t="s">
        <v>404</v>
      </c>
      <c r="U155" s="94">
        <v>40850</v>
      </c>
      <c r="V155" s="91" t="s">
        <v>404</v>
      </c>
      <c r="W155" s="92">
        <v>40862</v>
      </c>
      <c r="X155" s="74"/>
      <c r="Y155" s="28"/>
      <c r="Z155" s="9"/>
      <c r="AA155" s="24" t="s">
        <v>393</v>
      </c>
      <c r="AB155" s="28">
        <v>40714</v>
      </c>
      <c r="AC155" s="69"/>
    </row>
    <row r="156" spans="1:29" ht="14.25" customHeight="1" x14ac:dyDescent="0.4">
      <c r="B156" s="22">
        <v>0</v>
      </c>
      <c r="C156" s="22">
        <v>0</v>
      </c>
      <c r="D156" s="22">
        <v>0</v>
      </c>
      <c r="E156" s="24">
        <v>40710</v>
      </c>
      <c r="F156" s="24" t="s">
        <v>393</v>
      </c>
      <c r="G156" s="24">
        <v>40716</v>
      </c>
      <c r="H156" s="37">
        <v>404</v>
      </c>
      <c r="I156" s="23" t="s">
        <v>2004</v>
      </c>
      <c r="J156" s="37">
        <v>18</v>
      </c>
      <c r="K156" s="24" t="s">
        <v>412</v>
      </c>
      <c r="L156" s="24" t="s">
        <v>2835</v>
      </c>
      <c r="M156" s="24">
        <v>40403</v>
      </c>
      <c r="N156" s="22" t="s">
        <v>563</v>
      </c>
      <c r="O156" s="4">
        <v>9110285</v>
      </c>
      <c r="P156" s="22">
        <v>1020</v>
      </c>
      <c r="Q156" s="22">
        <v>50</v>
      </c>
      <c r="R156" s="22">
        <v>0</v>
      </c>
      <c r="S156" s="102" t="s">
        <v>1052</v>
      </c>
      <c r="T156" s="91" t="s">
        <v>404</v>
      </c>
      <c r="U156" s="94">
        <v>40862</v>
      </c>
      <c r="V156" s="91" t="s">
        <v>404</v>
      </c>
      <c r="W156" s="164">
        <v>41014</v>
      </c>
      <c r="X156" s="74"/>
      <c r="Y156" s="28"/>
      <c r="Z156" s="9"/>
      <c r="AA156" s="24" t="s">
        <v>393</v>
      </c>
      <c r="AB156" s="28">
        <v>40716</v>
      </c>
      <c r="AC156" s="69"/>
    </row>
    <row r="157" spans="1:29" ht="14.25" customHeight="1" x14ac:dyDescent="0.4">
      <c r="B157" s="22">
        <v>0</v>
      </c>
      <c r="C157" s="22" t="s">
        <v>2165</v>
      </c>
      <c r="D157" s="22">
        <v>0</v>
      </c>
      <c r="E157" s="24">
        <v>40597</v>
      </c>
      <c r="F157" s="24" t="s">
        <v>393</v>
      </c>
      <c r="G157" s="24">
        <v>40620</v>
      </c>
      <c r="H157" s="37">
        <v>189</v>
      </c>
      <c r="I157" s="23" t="s">
        <v>2000</v>
      </c>
      <c r="J157" s="37">
        <v>37</v>
      </c>
      <c r="K157" s="24" t="s">
        <v>412</v>
      </c>
      <c r="L157" s="24" t="s">
        <v>1991</v>
      </c>
      <c r="M157" s="24">
        <v>40403</v>
      </c>
      <c r="N157" s="22" t="s">
        <v>563</v>
      </c>
      <c r="O157" s="4">
        <v>9110278</v>
      </c>
      <c r="P157" s="22">
        <v>1020</v>
      </c>
      <c r="Q157" s="22">
        <v>50</v>
      </c>
      <c r="R157" s="22" t="s">
        <v>2836</v>
      </c>
      <c r="S157" s="55" t="s">
        <v>1956</v>
      </c>
      <c r="T157" s="55" t="s">
        <v>404</v>
      </c>
      <c r="U157" s="93">
        <v>40477</v>
      </c>
      <c r="V157" s="55" t="s">
        <v>404</v>
      </c>
      <c r="W157" s="92">
        <v>40674</v>
      </c>
      <c r="Y157" s="28"/>
      <c r="Z157" s="9"/>
      <c r="AA157" s="24" t="s">
        <v>393</v>
      </c>
      <c r="AB157" s="28">
        <v>40620</v>
      </c>
      <c r="AC157" s="69"/>
    </row>
    <row r="158" spans="1:29" ht="14.25" customHeight="1" x14ac:dyDescent="0.4">
      <c r="B158" s="22">
        <v>0</v>
      </c>
      <c r="C158" s="22" t="s">
        <v>2165</v>
      </c>
      <c r="D158" s="22">
        <v>0</v>
      </c>
      <c r="E158" s="24">
        <v>40675</v>
      </c>
      <c r="F158" s="24" t="s">
        <v>393</v>
      </c>
      <c r="G158" s="24">
        <v>40681</v>
      </c>
      <c r="H158" s="37">
        <v>353</v>
      </c>
      <c r="I158" s="23" t="s">
        <v>2003</v>
      </c>
      <c r="J158" s="37">
        <v>23</v>
      </c>
      <c r="K158" s="24" t="s">
        <v>412</v>
      </c>
      <c r="L158" s="24" t="s">
        <v>34</v>
      </c>
      <c r="M158" s="24">
        <v>40403</v>
      </c>
      <c r="N158" s="22" t="s">
        <v>563</v>
      </c>
      <c r="O158" s="4">
        <v>9110273</v>
      </c>
      <c r="P158" s="22">
        <v>1220</v>
      </c>
      <c r="Q158" s="22">
        <v>50</v>
      </c>
      <c r="R158" s="22" t="s">
        <v>1744</v>
      </c>
      <c r="S158" s="55" t="s">
        <v>1926</v>
      </c>
      <c r="T158" s="55" t="s">
        <v>404</v>
      </c>
      <c r="U158" s="93">
        <v>40448</v>
      </c>
      <c r="V158" s="55" t="s">
        <v>404</v>
      </c>
      <c r="W158" s="80">
        <v>40739</v>
      </c>
      <c r="X158" s="74"/>
      <c r="Y158" s="28"/>
      <c r="Z158" s="9"/>
      <c r="AA158" s="24" t="s">
        <v>393</v>
      </c>
      <c r="AB158" s="28">
        <v>40681</v>
      </c>
      <c r="AC158" s="69"/>
    </row>
    <row r="159" spans="1:29" ht="14.25" customHeight="1" x14ac:dyDescent="0.4">
      <c r="B159" s="22">
        <v>0</v>
      </c>
      <c r="C159" s="22" t="s">
        <v>2165</v>
      </c>
      <c r="D159" s="22">
        <v>0</v>
      </c>
      <c r="E159" s="24">
        <v>40598</v>
      </c>
      <c r="F159" s="24" t="s">
        <v>393</v>
      </c>
      <c r="G159" s="24">
        <v>40618</v>
      </c>
      <c r="H159" s="37">
        <v>192</v>
      </c>
      <c r="I159" s="23" t="s">
        <v>2000</v>
      </c>
      <c r="J159" s="37">
        <v>40</v>
      </c>
      <c r="K159" s="24" t="s">
        <v>412</v>
      </c>
      <c r="L159" s="24" t="s">
        <v>34</v>
      </c>
      <c r="M159" s="24">
        <v>40403</v>
      </c>
      <c r="N159" s="22" t="s">
        <v>563</v>
      </c>
      <c r="O159" s="4">
        <v>9110274</v>
      </c>
      <c r="P159" s="22">
        <v>1220</v>
      </c>
      <c r="Q159" s="22">
        <v>50</v>
      </c>
      <c r="R159" s="22">
        <v>0</v>
      </c>
      <c r="S159" s="55" t="s">
        <v>1948</v>
      </c>
      <c r="T159" s="55" t="s">
        <v>404</v>
      </c>
      <c r="U159" s="93">
        <v>40466</v>
      </c>
      <c r="V159" s="55" t="s">
        <v>404</v>
      </c>
      <c r="W159" s="80">
        <v>40739</v>
      </c>
      <c r="X159" s="74"/>
      <c r="Y159" s="28"/>
      <c r="Z159" s="9"/>
      <c r="AA159" s="24" t="s">
        <v>393</v>
      </c>
      <c r="AB159" s="28">
        <v>40618</v>
      </c>
      <c r="AC159" s="69"/>
    </row>
    <row r="160" spans="1:29" ht="14.25" customHeight="1" x14ac:dyDescent="0.4">
      <c r="A160" s="4"/>
      <c r="B160" s="22">
        <v>0</v>
      </c>
      <c r="C160" s="22">
        <v>0</v>
      </c>
      <c r="D160" s="22">
        <v>0</v>
      </c>
      <c r="E160" s="24">
        <v>40462</v>
      </c>
      <c r="F160" s="24" t="s">
        <v>393</v>
      </c>
      <c r="G160" s="24">
        <v>40465</v>
      </c>
      <c r="H160" s="37">
        <v>23</v>
      </c>
      <c r="I160" s="23" t="s">
        <v>1992</v>
      </c>
      <c r="J160" s="37" t="e">
        <v>#REF!</v>
      </c>
      <c r="K160" s="24" t="s">
        <v>412</v>
      </c>
      <c r="L160" s="24" t="s">
        <v>34</v>
      </c>
      <c r="M160" s="24">
        <v>40403</v>
      </c>
      <c r="N160" s="22" t="s">
        <v>563</v>
      </c>
      <c r="O160" s="4">
        <v>9110279</v>
      </c>
      <c r="P160" s="22">
        <v>1020</v>
      </c>
      <c r="Q160" s="22">
        <v>50</v>
      </c>
      <c r="R160" s="22" t="s">
        <v>2837</v>
      </c>
      <c r="S160" s="55" t="s">
        <v>1927</v>
      </c>
      <c r="T160" s="1" t="s">
        <v>404</v>
      </c>
      <c r="U160" s="28">
        <v>40448</v>
      </c>
      <c r="V160" s="55" t="s">
        <v>404</v>
      </c>
      <c r="W160" s="28">
        <v>40674</v>
      </c>
      <c r="X160" s="74"/>
      <c r="Y160" s="28"/>
      <c r="Z160" s="28"/>
      <c r="AA160" s="24" t="s">
        <v>393</v>
      </c>
      <c r="AB160" s="28">
        <v>40465</v>
      </c>
      <c r="AC160" s="69"/>
    </row>
    <row r="161" spans="1:29" ht="14.25" customHeight="1" x14ac:dyDescent="0.4">
      <c r="A161" s="6"/>
      <c r="B161" s="22">
        <v>0</v>
      </c>
      <c r="C161" s="22">
        <v>0</v>
      </c>
      <c r="D161" s="22">
        <v>0</v>
      </c>
      <c r="E161" s="24">
        <v>40598</v>
      </c>
      <c r="F161" s="24" t="s">
        <v>393</v>
      </c>
      <c r="G161" s="24">
        <v>40605</v>
      </c>
      <c r="H161" s="37">
        <v>191</v>
      </c>
      <c r="I161" s="23" t="s">
        <v>2000</v>
      </c>
      <c r="J161" s="37">
        <v>39</v>
      </c>
      <c r="K161" s="24" t="s">
        <v>412</v>
      </c>
      <c r="L161" s="24" t="s">
        <v>34</v>
      </c>
      <c r="M161" s="24">
        <v>40403</v>
      </c>
      <c r="N161" s="22" t="s">
        <v>563</v>
      </c>
      <c r="O161" s="4">
        <v>9110280</v>
      </c>
      <c r="P161" s="22">
        <v>1020</v>
      </c>
      <c r="Q161" s="22">
        <v>50</v>
      </c>
      <c r="R161" s="22" t="s">
        <v>437</v>
      </c>
      <c r="S161" s="55" t="s">
        <v>2093</v>
      </c>
      <c r="T161" s="3" t="s">
        <v>404</v>
      </c>
      <c r="U161" s="28">
        <v>40466</v>
      </c>
      <c r="V161" s="55" t="s">
        <v>404</v>
      </c>
      <c r="W161" s="92">
        <v>40674</v>
      </c>
      <c r="X161" s="74"/>
      <c r="Y161" s="28"/>
      <c r="Z161" s="28"/>
      <c r="AA161" s="24" t="s">
        <v>393</v>
      </c>
      <c r="AB161" s="28">
        <v>40605</v>
      </c>
      <c r="AC161" s="69"/>
    </row>
    <row r="162" spans="1:29" ht="14.25" customHeight="1" x14ac:dyDescent="0.4">
      <c r="B162" s="22">
        <v>0</v>
      </c>
      <c r="C162" s="22">
        <v>0</v>
      </c>
      <c r="D162" s="22">
        <v>0</v>
      </c>
      <c r="E162" s="24">
        <v>40619</v>
      </c>
      <c r="F162" s="24" t="s">
        <v>393</v>
      </c>
      <c r="G162" s="24">
        <v>40626</v>
      </c>
      <c r="H162" s="37">
        <v>237</v>
      </c>
      <c r="I162" s="23" t="s">
        <v>2001</v>
      </c>
      <c r="J162" s="37">
        <v>39</v>
      </c>
      <c r="K162" s="24" t="s">
        <v>412</v>
      </c>
      <c r="L162" s="24" t="s">
        <v>2838</v>
      </c>
      <c r="M162" s="24">
        <v>40403</v>
      </c>
      <c r="N162" s="22" t="s">
        <v>563</v>
      </c>
      <c r="O162" s="4">
        <v>9110275</v>
      </c>
      <c r="P162" s="22">
        <v>1220</v>
      </c>
      <c r="Q162" s="22">
        <v>50</v>
      </c>
      <c r="R162" s="22" t="s">
        <v>1522</v>
      </c>
      <c r="S162" s="55" t="s">
        <v>2094</v>
      </c>
      <c r="T162" s="55" t="s">
        <v>404</v>
      </c>
      <c r="U162" s="92">
        <v>40542</v>
      </c>
      <c r="V162" s="55" t="s">
        <v>404</v>
      </c>
      <c r="W162" s="92">
        <v>40674</v>
      </c>
      <c r="Y162" s="28"/>
      <c r="Z162" s="9"/>
      <c r="AA162" s="24" t="s">
        <v>393</v>
      </c>
      <c r="AB162" s="28">
        <v>40626</v>
      </c>
      <c r="AC162" s="69"/>
    </row>
    <row r="163" spans="1:29" ht="14.25" customHeight="1" x14ac:dyDescent="0.4">
      <c r="A163" s="4"/>
      <c r="B163" s="22">
        <v>0</v>
      </c>
      <c r="C163" s="22">
        <v>0</v>
      </c>
      <c r="D163" s="22">
        <v>0</v>
      </c>
      <c r="E163" s="24">
        <v>40707</v>
      </c>
      <c r="F163" s="24" t="s">
        <v>393</v>
      </c>
      <c r="G163" s="24">
        <v>40710</v>
      </c>
      <c r="H163" s="37">
        <v>399</v>
      </c>
      <c r="I163" s="23" t="s">
        <v>2004</v>
      </c>
      <c r="J163" s="37">
        <v>13</v>
      </c>
      <c r="K163" s="24" t="s">
        <v>412</v>
      </c>
      <c r="L163" s="24" t="s">
        <v>2838</v>
      </c>
      <c r="M163" s="24">
        <v>40403</v>
      </c>
      <c r="N163" s="22" t="s">
        <v>563</v>
      </c>
      <c r="O163" s="4">
        <v>9110276</v>
      </c>
      <c r="P163" s="22">
        <v>1220</v>
      </c>
      <c r="Q163" s="22">
        <v>50</v>
      </c>
      <c r="R163" s="22" t="s">
        <v>2839</v>
      </c>
      <c r="S163" s="55" t="s">
        <v>427</v>
      </c>
      <c r="T163" s="91" t="s">
        <v>404</v>
      </c>
      <c r="U163" s="92">
        <v>40619</v>
      </c>
      <c r="V163" s="55" t="s">
        <v>404</v>
      </c>
      <c r="W163" s="80">
        <v>40739</v>
      </c>
      <c r="X163" s="74"/>
      <c r="Y163" s="28"/>
      <c r="Z163" s="9"/>
      <c r="AA163" s="24" t="s">
        <v>393</v>
      </c>
      <c r="AB163" s="28">
        <v>40710</v>
      </c>
      <c r="AC163" s="69"/>
    </row>
    <row r="164" spans="1:29" ht="14.25" customHeight="1" x14ac:dyDescent="0.4">
      <c r="A164" s="4"/>
      <c r="B164" s="22">
        <v>0</v>
      </c>
      <c r="C164" s="22">
        <v>0</v>
      </c>
      <c r="D164" s="22">
        <v>0</v>
      </c>
      <c r="E164" s="24">
        <v>40617</v>
      </c>
      <c r="F164" s="24" t="s">
        <v>393</v>
      </c>
      <c r="G164" s="24">
        <v>40625</v>
      </c>
      <c r="H164" s="37">
        <v>231</v>
      </c>
      <c r="I164" s="23" t="s">
        <v>2001</v>
      </c>
      <c r="J164" s="37">
        <v>33</v>
      </c>
      <c r="K164" s="24" t="s">
        <v>412</v>
      </c>
      <c r="L164" s="24" t="s">
        <v>2838</v>
      </c>
      <c r="M164" s="24">
        <v>40403</v>
      </c>
      <c r="N164" s="22" t="s">
        <v>563</v>
      </c>
      <c r="O164" s="4">
        <v>9110281</v>
      </c>
      <c r="P164" s="22">
        <v>1020</v>
      </c>
      <c r="Q164" s="22">
        <v>50</v>
      </c>
      <c r="R164" s="22" t="s">
        <v>2840</v>
      </c>
      <c r="S164" s="55" t="s">
        <v>2005</v>
      </c>
      <c r="T164" s="91" t="s">
        <v>404</v>
      </c>
      <c r="U164" s="92">
        <v>40497</v>
      </c>
      <c r="V164" s="91" t="s">
        <v>404</v>
      </c>
      <c r="W164" s="92">
        <v>40672</v>
      </c>
      <c r="X164" s="74"/>
      <c r="Y164" s="28"/>
      <c r="Z164" s="9"/>
      <c r="AA164" s="24" t="s">
        <v>393</v>
      </c>
      <c r="AB164" s="28">
        <v>40625</v>
      </c>
      <c r="AC164" s="69"/>
    </row>
    <row r="165" spans="1:29" ht="14.25" customHeight="1" x14ac:dyDescent="0.4">
      <c r="A165" s="4"/>
      <c r="B165" s="22">
        <v>0</v>
      </c>
      <c r="C165" s="22">
        <v>0</v>
      </c>
      <c r="D165" s="22">
        <v>0</v>
      </c>
      <c r="E165" s="24">
        <v>40618</v>
      </c>
      <c r="F165" s="24" t="s">
        <v>393</v>
      </c>
      <c r="G165" s="24">
        <v>40631</v>
      </c>
      <c r="H165" s="37">
        <v>234</v>
      </c>
      <c r="I165" s="23" t="s">
        <v>2001</v>
      </c>
      <c r="J165" s="37">
        <v>36</v>
      </c>
      <c r="K165" s="24" t="s">
        <v>412</v>
      </c>
      <c r="L165" s="24" t="s">
        <v>2838</v>
      </c>
      <c r="M165" s="24">
        <v>40403</v>
      </c>
      <c r="N165" s="22" t="s">
        <v>563</v>
      </c>
      <c r="O165" s="4">
        <v>9110282</v>
      </c>
      <c r="P165" s="22">
        <v>1020</v>
      </c>
      <c r="Q165" s="22">
        <v>50</v>
      </c>
      <c r="R165" s="22">
        <v>0</v>
      </c>
      <c r="S165" s="55" t="s">
        <v>2095</v>
      </c>
      <c r="T165" s="91" t="s">
        <v>404</v>
      </c>
      <c r="U165" s="92">
        <v>40542</v>
      </c>
      <c r="V165" s="55" t="s">
        <v>404</v>
      </c>
      <c r="W165" s="92">
        <v>40674</v>
      </c>
      <c r="X165" s="74"/>
      <c r="Y165" s="28"/>
      <c r="Z165" s="9"/>
      <c r="AA165" s="24" t="s">
        <v>393</v>
      </c>
      <c r="AB165" s="28">
        <v>40631</v>
      </c>
      <c r="AC165" s="69"/>
    </row>
    <row r="166" spans="1:29" ht="14.25" customHeight="1" x14ac:dyDescent="0.4">
      <c r="B166" s="22">
        <v>0</v>
      </c>
      <c r="C166" s="22">
        <v>0</v>
      </c>
      <c r="D166" s="22">
        <v>0</v>
      </c>
      <c r="E166" s="24">
        <v>40595</v>
      </c>
      <c r="F166" s="24" t="s">
        <v>393</v>
      </c>
      <c r="G166" s="24">
        <v>40599</v>
      </c>
      <c r="H166" s="37">
        <v>183</v>
      </c>
      <c r="I166" s="23" t="s">
        <v>2000</v>
      </c>
      <c r="J166" s="37">
        <v>31</v>
      </c>
      <c r="K166" s="24" t="s">
        <v>412</v>
      </c>
      <c r="L166" s="24" t="s">
        <v>2835</v>
      </c>
      <c r="M166" s="24">
        <v>40403</v>
      </c>
      <c r="N166" s="22" t="s">
        <v>563</v>
      </c>
      <c r="O166" s="4">
        <v>9110277</v>
      </c>
      <c r="P166" s="22">
        <v>1220</v>
      </c>
      <c r="Q166" s="22">
        <v>50</v>
      </c>
      <c r="R166" s="22" t="s">
        <v>2841</v>
      </c>
      <c r="S166" s="55" t="s">
        <v>2006</v>
      </c>
      <c r="T166" s="91" t="s">
        <v>404</v>
      </c>
      <c r="U166" s="94">
        <v>40520</v>
      </c>
      <c r="V166" s="91" t="s">
        <v>404</v>
      </c>
      <c r="W166" s="92">
        <v>40672</v>
      </c>
      <c r="X166" s="74"/>
      <c r="Y166" s="28"/>
      <c r="Z166" s="9"/>
      <c r="AA166" s="24" t="s">
        <v>393</v>
      </c>
      <c r="AB166" s="28">
        <v>40599</v>
      </c>
      <c r="AC166" s="69"/>
    </row>
    <row r="167" spans="1:29" ht="14.25" customHeight="1" x14ac:dyDescent="0.4">
      <c r="A167" s="4"/>
      <c r="B167" s="22">
        <v>0</v>
      </c>
      <c r="C167" s="22" t="s">
        <v>2165</v>
      </c>
      <c r="D167" s="22">
        <v>0</v>
      </c>
      <c r="E167" s="24">
        <v>40404</v>
      </c>
      <c r="F167" s="24" t="s">
        <v>393</v>
      </c>
      <c r="G167" s="24">
        <v>40430</v>
      </c>
      <c r="H167" s="37">
        <v>2</v>
      </c>
      <c r="I167" s="23" t="e">
        <v>#REF!</v>
      </c>
      <c r="J167" s="37">
        <v>2</v>
      </c>
      <c r="K167" s="24" t="s">
        <v>412</v>
      </c>
      <c r="L167" s="24">
        <v>40435</v>
      </c>
      <c r="M167" s="24">
        <v>40385</v>
      </c>
      <c r="N167" s="22" t="s">
        <v>563</v>
      </c>
      <c r="O167" s="4">
        <v>9110033</v>
      </c>
      <c r="P167" s="22">
        <v>1220</v>
      </c>
      <c r="Q167" s="22">
        <v>50</v>
      </c>
      <c r="R167" s="22" t="s">
        <v>2842</v>
      </c>
      <c r="S167" s="55" t="s">
        <v>2096</v>
      </c>
      <c r="T167" s="3" t="s">
        <v>404</v>
      </c>
      <c r="U167" s="92">
        <v>40542</v>
      </c>
      <c r="V167" s="3" t="s">
        <v>404</v>
      </c>
      <c r="W167" s="92">
        <v>40674</v>
      </c>
      <c r="X167" s="74"/>
      <c r="Y167" s="28"/>
      <c r="Z167" s="9"/>
      <c r="AA167" s="24" t="s">
        <v>393</v>
      </c>
      <c r="AB167" s="28">
        <v>40430</v>
      </c>
      <c r="AC167" s="69"/>
    </row>
    <row r="168" spans="1:29" ht="14.25" customHeight="1" x14ac:dyDescent="0.4">
      <c r="A168" s="4"/>
      <c r="B168" s="22">
        <v>0</v>
      </c>
      <c r="C168" s="22" t="s">
        <v>2165</v>
      </c>
      <c r="D168" s="22">
        <v>0</v>
      </c>
      <c r="E168" s="24">
        <v>40434</v>
      </c>
      <c r="F168" s="24" t="s">
        <v>393</v>
      </c>
      <c r="G168" s="24">
        <v>40450</v>
      </c>
      <c r="H168" s="37">
        <v>9</v>
      </c>
      <c r="I168" s="23" t="e">
        <v>#REF!</v>
      </c>
      <c r="J168" s="37" t="e">
        <v>#REF!</v>
      </c>
      <c r="K168" s="24" t="s">
        <v>412</v>
      </c>
      <c r="L168" s="24">
        <v>40435</v>
      </c>
      <c r="M168" s="24">
        <v>40385</v>
      </c>
      <c r="N168" s="22" t="s">
        <v>1878</v>
      </c>
      <c r="O168" s="4">
        <v>9110237</v>
      </c>
      <c r="P168" s="22">
        <v>720</v>
      </c>
      <c r="Q168" s="22">
        <v>42</v>
      </c>
      <c r="R168" s="22" t="s">
        <v>2843</v>
      </c>
      <c r="S168" s="55" t="s">
        <v>2007</v>
      </c>
      <c r="T168" s="91" t="s">
        <v>404</v>
      </c>
      <c r="U168" s="94">
        <v>40527</v>
      </c>
      <c r="V168" s="91" t="s">
        <v>404</v>
      </c>
      <c r="W168" s="92">
        <v>40655</v>
      </c>
      <c r="X168" s="74"/>
      <c r="Y168" s="28"/>
      <c r="Z168" s="9"/>
      <c r="AA168" s="24" t="s">
        <v>393</v>
      </c>
      <c r="AB168" s="28">
        <v>40450</v>
      </c>
      <c r="AC168" s="69"/>
    </row>
    <row r="169" spans="1:29" ht="14.25" customHeight="1" x14ac:dyDescent="0.4">
      <c r="B169" s="22">
        <v>0</v>
      </c>
      <c r="C169" s="22" t="s">
        <v>2165</v>
      </c>
      <c r="D169" s="22">
        <v>0</v>
      </c>
      <c r="E169" s="24">
        <v>40448</v>
      </c>
      <c r="F169" s="24" t="s">
        <v>393</v>
      </c>
      <c r="G169" s="24">
        <v>40451</v>
      </c>
      <c r="H169" s="37">
        <v>13</v>
      </c>
      <c r="I169" s="23" t="e">
        <v>#REF!</v>
      </c>
      <c r="J169" s="37" t="e">
        <v>#REF!</v>
      </c>
      <c r="K169" s="24" t="s">
        <v>412</v>
      </c>
      <c r="L169" s="24">
        <v>40435</v>
      </c>
      <c r="M169" s="24">
        <v>40385</v>
      </c>
      <c r="N169" s="22" t="s">
        <v>1878</v>
      </c>
      <c r="O169" s="4">
        <v>9110238</v>
      </c>
      <c r="P169" s="22">
        <v>1020</v>
      </c>
      <c r="Q169" s="22">
        <v>50</v>
      </c>
      <c r="R169" s="22" t="s">
        <v>2844</v>
      </c>
      <c r="S169" s="55" t="s">
        <v>2076</v>
      </c>
      <c r="T169" s="91" t="s">
        <v>404</v>
      </c>
      <c r="U169" s="94">
        <v>40535</v>
      </c>
      <c r="V169" s="91" t="s">
        <v>404</v>
      </c>
      <c r="W169" s="92">
        <v>40617</v>
      </c>
      <c r="X169" s="74"/>
      <c r="Y169" s="28"/>
      <c r="Z169" s="9"/>
      <c r="AA169" s="24" t="s">
        <v>393</v>
      </c>
      <c r="AB169" s="28">
        <v>40451</v>
      </c>
      <c r="AC169" s="69"/>
    </row>
    <row r="170" spans="1:29" ht="14.25" customHeight="1" x14ac:dyDescent="0.4">
      <c r="B170" s="22">
        <v>0</v>
      </c>
      <c r="C170" s="22">
        <v>0</v>
      </c>
      <c r="D170" s="22">
        <v>0</v>
      </c>
      <c r="E170" s="24">
        <v>40185</v>
      </c>
      <c r="F170" s="24" t="s">
        <v>393</v>
      </c>
      <c r="G170" s="24">
        <v>40555</v>
      </c>
      <c r="H170" s="37">
        <v>117</v>
      </c>
      <c r="I170" s="23" t="s">
        <v>1999</v>
      </c>
      <c r="J170" s="37">
        <v>8</v>
      </c>
      <c r="K170" s="24" t="s">
        <v>412</v>
      </c>
      <c r="L170" s="24" t="s">
        <v>1997</v>
      </c>
      <c r="M170" s="24">
        <v>40403</v>
      </c>
      <c r="N170" s="22" t="s">
        <v>1878</v>
      </c>
      <c r="O170" s="4">
        <v>9110287</v>
      </c>
      <c r="P170" s="22">
        <v>1220</v>
      </c>
      <c r="Q170" s="22">
        <v>50</v>
      </c>
      <c r="R170" s="22" t="s">
        <v>2845</v>
      </c>
      <c r="S170" s="55" t="s">
        <v>1949</v>
      </c>
      <c r="T170" s="91" t="s">
        <v>404</v>
      </c>
      <c r="U170" s="94">
        <v>40451</v>
      </c>
      <c r="V170" s="91" t="s">
        <v>404</v>
      </c>
      <c r="W170" s="92">
        <v>40529</v>
      </c>
      <c r="X170" s="74"/>
      <c r="Y170" s="28"/>
      <c r="Z170" s="9"/>
      <c r="AA170" s="24" t="s">
        <v>393</v>
      </c>
      <c r="AB170" s="28">
        <v>40555</v>
      </c>
      <c r="AC170" s="69"/>
    </row>
    <row r="171" spans="1:29" ht="14.25" customHeight="1" x14ac:dyDescent="0.4">
      <c r="B171" s="22">
        <v>0</v>
      </c>
      <c r="C171" s="22">
        <v>0</v>
      </c>
      <c r="D171" s="22">
        <v>0</v>
      </c>
      <c r="E171" s="24">
        <v>40546</v>
      </c>
      <c r="F171" s="24" t="s">
        <v>393</v>
      </c>
      <c r="G171" s="24">
        <v>40549</v>
      </c>
      <c r="H171" s="37">
        <v>110</v>
      </c>
      <c r="I171" s="23" t="s">
        <v>1999</v>
      </c>
      <c r="J171" s="37">
        <v>1</v>
      </c>
      <c r="K171" s="24" t="s">
        <v>412</v>
      </c>
      <c r="L171" s="24" t="s">
        <v>1997</v>
      </c>
      <c r="M171" s="24">
        <v>40403</v>
      </c>
      <c r="N171" s="22" t="s">
        <v>1878</v>
      </c>
      <c r="O171" s="4">
        <v>9110295</v>
      </c>
      <c r="P171" s="22">
        <v>1020</v>
      </c>
      <c r="Q171" s="22">
        <v>50</v>
      </c>
      <c r="R171" s="22" t="s">
        <v>2846</v>
      </c>
      <c r="S171" s="55" t="s">
        <v>1938</v>
      </c>
      <c r="T171" s="91" t="s">
        <v>404</v>
      </c>
      <c r="U171" s="94">
        <v>40462</v>
      </c>
      <c r="V171" s="91" t="s">
        <v>404</v>
      </c>
      <c r="W171" s="92">
        <v>40587</v>
      </c>
      <c r="X171" s="74"/>
      <c r="Y171" s="28"/>
      <c r="Z171" s="9"/>
      <c r="AA171" s="24" t="s">
        <v>393</v>
      </c>
      <c r="AB171" s="28">
        <v>40549</v>
      </c>
      <c r="AC171" s="69"/>
    </row>
    <row r="172" spans="1:29" ht="14.25" customHeight="1" x14ac:dyDescent="0.4">
      <c r="B172" s="22">
        <v>0</v>
      </c>
      <c r="C172" s="22">
        <v>0</v>
      </c>
      <c r="D172" s="22">
        <v>0</v>
      </c>
      <c r="E172" s="24">
        <v>40571</v>
      </c>
      <c r="F172" s="24" t="s">
        <v>393</v>
      </c>
      <c r="G172" s="24">
        <v>40583</v>
      </c>
      <c r="H172" s="37">
        <v>150</v>
      </c>
      <c r="I172" s="23" t="s">
        <v>1999</v>
      </c>
      <c r="J172" s="37">
        <v>41</v>
      </c>
      <c r="K172" s="24" t="s">
        <v>412</v>
      </c>
      <c r="L172" s="24" t="s">
        <v>1998</v>
      </c>
      <c r="M172" s="24">
        <v>40403</v>
      </c>
      <c r="N172" s="22" t="s">
        <v>1878</v>
      </c>
      <c r="O172" s="4">
        <v>9110290</v>
      </c>
      <c r="P172" s="22">
        <v>1020</v>
      </c>
      <c r="Q172" s="22">
        <v>50</v>
      </c>
      <c r="R172" s="22" t="s">
        <v>2847</v>
      </c>
      <c r="S172" s="1" t="s">
        <v>1957</v>
      </c>
      <c r="T172" s="91" t="s">
        <v>404</v>
      </c>
      <c r="U172" s="94">
        <v>40481</v>
      </c>
      <c r="V172" s="91" t="s">
        <v>404</v>
      </c>
      <c r="W172" s="92">
        <v>40584</v>
      </c>
      <c r="X172" s="74"/>
      <c r="Y172" s="28"/>
      <c r="Z172" s="28"/>
      <c r="AA172" s="24" t="s">
        <v>393</v>
      </c>
      <c r="AB172" s="28">
        <v>40583</v>
      </c>
      <c r="AC172" s="69"/>
    </row>
    <row r="173" spans="1:29" ht="14.25" customHeight="1" x14ac:dyDescent="0.4">
      <c r="B173" s="22">
        <v>0</v>
      </c>
      <c r="C173" s="22">
        <v>0</v>
      </c>
      <c r="D173" s="22">
        <v>0</v>
      </c>
      <c r="E173" s="24">
        <v>40571</v>
      </c>
      <c r="F173" s="24" t="s">
        <v>393</v>
      </c>
      <c r="G173" s="24">
        <v>40606</v>
      </c>
      <c r="H173" s="37">
        <v>151</v>
      </c>
      <c r="I173" s="23" t="s">
        <v>1999</v>
      </c>
      <c r="J173" s="37">
        <v>42</v>
      </c>
      <c r="K173" s="24" t="s">
        <v>412</v>
      </c>
      <c r="L173" s="24" t="s">
        <v>1998</v>
      </c>
      <c r="M173" s="24">
        <v>40403</v>
      </c>
      <c r="N173" s="22" t="s">
        <v>1878</v>
      </c>
      <c r="O173" s="4">
        <v>9110291</v>
      </c>
      <c r="P173" s="22">
        <v>1020</v>
      </c>
      <c r="Q173" s="22">
        <v>42</v>
      </c>
      <c r="R173" s="22" t="s">
        <v>2848</v>
      </c>
      <c r="S173" s="55" t="s">
        <v>1973</v>
      </c>
      <c r="T173" s="91" t="s">
        <v>404</v>
      </c>
      <c r="U173" s="151">
        <v>40502</v>
      </c>
      <c r="V173" s="55" t="s">
        <v>404</v>
      </c>
      <c r="W173" s="92">
        <v>40673</v>
      </c>
      <c r="X173" s="74"/>
      <c r="Y173" s="28"/>
      <c r="Z173" s="28"/>
      <c r="AA173" s="24" t="s">
        <v>393</v>
      </c>
      <c r="AB173" s="28">
        <v>40606</v>
      </c>
      <c r="AC173" s="69"/>
    </row>
    <row r="174" spans="1:29" ht="14.25" customHeight="1" x14ac:dyDescent="0.4">
      <c r="B174" s="22">
        <v>0</v>
      </c>
      <c r="C174" s="22">
        <v>0</v>
      </c>
      <c r="D174" s="22">
        <v>0</v>
      </c>
      <c r="E174" s="24">
        <v>40599</v>
      </c>
      <c r="F174" s="24" t="s">
        <v>393</v>
      </c>
      <c r="G174" s="24">
        <v>40602</v>
      </c>
      <c r="H174" s="37">
        <v>195</v>
      </c>
      <c r="I174" s="23" t="s">
        <v>2000</v>
      </c>
      <c r="J174" s="37">
        <v>43</v>
      </c>
      <c r="K174" s="24" t="s">
        <v>412</v>
      </c>
      <c r="L174" s="24" t="s">
        <v>1999</v>
      </c>
      <c r="M174" s="24">
        <v>40403</v>
      </c>
      <c r="N174" s="22" t="s">
        <v>1878</v>
      </c>
      <c r="O174" s="4">
        <v>9110286</v>
      </c>
      <c r="P174" s="22">
        <v>1020</v>
      </c>
      <c r="Q174" s="22">
        <v>50</v>
      </c>
      <c r="R174" s="22" t="s">
        <v>2849</v>
      </c>
      <c r="S174" s="55" t="s">
        <v>2008</v>
      </c>
      <c r="T174" s="55" t="s">
        <v>404</v>
      </c>
      <c r="U174" s="94">
        <v>40527</v>
      </c>
      <c r="V174" s="55" t="s">
        <v>404</v>
      </c>
      <c r="W174" s="80">
        <v>40739</v>
      </c>
      <c r="X174" s="74"/>
      <c r="Y174" s="28"/>
      <c r="Z174" s="28"/>
      <c r="AA174" s="24" t="s">
        <v>393</v>
      </c>
      <c r="AB174" s="28">
        <v>40602</v>
      </c>
      <c r="AC174" s="69"/>
    </row>
    <row r="175" spans="1:29" ht="14.25" customHeight="1" x14ac:dyDescent="0.4">
      <c r="B175" s="22">
        <v>0</v>
      </c>
      <c r="C175" s="22" t="s">
        <v>2165</v>
      </c>
      <c r="D175" s="22">
        <v>0</v>
      </c>
      <c r="E175" s="24">
        <v>40602</v>
      </c>
      <c r="F175" s="24" t="s">
        <v>393</v>
      </c>
      <c r="G175" s="24">
        <v>40605</v>
      </c>
      <c r="H175" s="37">
        <v>198</v>
      </c>
      <c r="I175" s="23" t="s">
        <v>2000</v>
      </c>
      <c r="J175" s="37">
        <v>46</v>
      </c>
      <c r="K175" s="24" t="s">
        <v>412</v>
      </c>
      <c r="L175" s="24" t="s">
        <v>1999</v>
      </c>
      <c r="M175" s="24">
        <v>40403</v>
      </c>
      <c r="N175" s="22" t="s">
        <v>1878</v>
      </c>
      <c r="O175" s="4">
        <v>9110288</v>
      </c>
      <c r="P175" s="22">
        <v>1020</v>
      </c>
      <c r="Q175" s="22">
        <v>50</v>
      </c>
      <c r="R175" s="22" t="s">
        <v>2850</v>
      </c>
      <c r="S175" s="55" t="s">
        <v>2106</v>
      </c>
      <c r="T175" s="3" t="s">
        <v>404</v>
      </c>
      <c r="U175" s="28">
        <v>40556</v>
      </c>
      <c r="V175" s="55" t="s">
        <v>404</v>
      </c>
      <c r="W175" s="80">
        <v>40739</v>
      </c>
      <c r="X175" s="74"/>
      <c r="Y175" s="28"/>
      <c r="Z175" s="9"/>
      <c r="AA175" s="24" t="s">
        <v>393</v>
      </c>
      <c r="AB175" s="28">
        <v>40605</v>
      </c>
      <c r="AC175" s="69"/>
    </row>
    <row r="176" spans="1:29" ht="14.25" customHeight="1" x14ac:dyDescent="0.4">
      <c r="B176" s="22">
        <v>0</v>
      </c>
      <c r="C176" s="22" t="s">
        <v>2165</v>
      </c>
      <c r="D176" s="22">
        <v>0</v>
      </c>
      <c r="E176" s="24">
        <v>40599</v>
      </c>
      <c r="F176" s="24" t="s">
        <v>393</v>
      </c>
      <c r="G176" s="24">
        <v>40599</v>
      </c>
      <c r="H176" s="37">
        <v>193</v>
      </c>
      <c r="I176" s="23" t="s">
        <v>2000</v>
      </c>
      <c r="J176" s="37">
        <v>41</v>
      </c>
      <c r="K176" s="24" t="s">
        <v>412</v>
      </c>
      <c r="L176" s="24" t="s">
        <v>1999</v>
      </c>
      <c r="M176" s="24">
        <v>40403</v>
      </c>
      <c r="N176" s="22" t="s">
        <v>1878</v>
      </c>
      <c r="O176" s="4">
        <v>9110292</v>
      </c>
      <c r="P176" s="22">
        <v>1020</v>
      </c>
      <c r="Q176" s="22">
        <v>50</v>
      </c>
      <c r="R176" s="22" t="s">
        <v>2851</v>
      </c>
      <c r="S176" s="55" t="s">
        <v>1975</v>
      </c>
      <c r="T176" s="91" t="s">
        <v>404</v>
      </c>
      <c r="U176" s="94">
        <v>40509</v>
      </c>
      <c r="V176" s="55" t="s">
        <v>404</v>
      </c>
      <c r="W176" s="80">
        <v>40739</v>
      </c>
      <c r="X176" s="74"/>
      <c r="Y176" s="28"/>
      <c r="Z176" s="9"/>
      <c r="AA176" s="24" t="s">
        <v>393</v>
      </c>
      <c r="AB176" s="28">
        <v>40599</v>
      </c>
      <c r="AC176" s="69"/>
    </row>
    <row r="177" spans="1:29" ht="14.25" customHeight="1" x14ac:dyDescent="0.4">
      <c r="A177" s="4"/>
      <c r="B177" s="22">
        <v>0</v>
      </c>
      <c r="C177" s="22" t="s">
        <v>2165</v>
      </c>
      <c r="D177" s="22">
        <v>0</v>
      </c>
      <c r="E177" s="24">
        <v>40598</v>
      </c>
      <c r="F177" s="24" t="s">
        <v>393</v>
      </c>
      <c r="G177" s="24">
        <v>40610</v>
      </c>
      <c r="H177" s="37">
        <v>190</v>
      </c>
      <c r="I177" s="23" t="s">
        <v>2000</v>
      </c>
      <c r="J177" s="37">
        <v>38</v>
      </c>
      <c r="K177" s="24" t="s">
        <v>412</v>
      </c>
      <c r="L177" s="24" t="s">
        <v>1999</v>
      </c>
      <c r="M177" s="24">
        <v>40403</v>
      </c>
      <c r="N177" s="22" t="s">
        <v>1878</v>
      </c>
      <c r="O177" s="4">
        <v>9110296</v>
      </c>
      <c r="P177" s="22">
        <v>1020</v>
      </c>
      <c r="Q177" s="22">
        <v>50</v>
      </c>
      <c r="R177" s="22" t="s">
        <v>2852</v>
      </c>
      <c r="S177" s="55" t="s">
        <v>1976</v>
      </c>
      <c r="T177" s="91" t="s">
        <v>404</v>
      </c>
      <c r="U177" s="94">
        <v>40512</v>
      </c>
      <c r="V177" s="55" t="s">
        <v>404</v>
      </c>
      <c r="W177" s="80">
        <v>40739</v>
      </c>
      <c r="X177" s="74"/>
      <c r="Y177" s="28"/>
      <c r="Z177" s="9"/>
      <c r="AA177" s="24" t="s">
        <v>393</v>
      </c>
      <c r="AB177" s="28">
        <v>40610</v>
      </c>
      <c r="AC177" s="69"/>
    </row>
    <row r="178" spans="1:29" ht="14.25" customHeight="1" x14ac:dyDescent="0.4">
      <c r="B178" s="22">
        <v>0</v>
      </c>
      <c r="C178" s="22">
        <v>0</v>
      </c>
      <c r="D178" s="22">
        <v>0</v>
      </c>
      <c r="E178" s="24">
        <v>40690</v>
      </c>
      <c r="F178" s="24" t="s">
        <v>393</v>
      </c>
      <c r="G178" s="24">
        <v>40700</v>
      </c>
      <c r="H178" s="37">
        <v>384</v>
      </c>
      <c r="I178" s="23" t="s">
        <v>2003</v>
      </c>
      <c r="J178" s="37">
        <v>54</v>
      </c>
      <c r="K178" s="24" t="s">
        <v>412</v>
      </c>
      <c r="L178" s="24" t="s">
        <v>2000</v>
      </c>
      <c r="M178" s="24">
        <v>40403</v>
      </c>
      <c r="N178" s="22" t="s">
        <v>1878</v>
      </c>
      <c r="O178" s="4">
        <v>9110293</v>
      </c>
      <c r="P178" s="22">
        <v>1020</v>
      </c>
      <c r="Q178" s="22">
        <v>50</v>
      </c>
      <c r="R178" s="22" t="s">
        <v>1053</v>
      </c>
      <c r="S178" s="3" t="s">
        <v>1053</v>
      </c>
      <c r="T178" s="55" t="s">
        <v>404</v>
      </c>
      <c r="U178" s="92">
        <v>40854</v>
      </c>
      <c r="V178" s="55" t="s">
        <v>404</v>
      </c>
      <c r="W178" s="92">
        <v>40854</v>
      </c>
      <c r="Y178" s="28"/>
      <c r="Z178" s="9"/>
      <c r="AA178" s="24" t="s">
        <v>393</v>
      </c>
      <c r="AB178" s="28">
        <v>40700</v>
      </c>
      <c r="AC178" s="69"/>
    </row>
    <row r="179" spans="1:29" ht="14.25" customHeight="1" x14ac:dyDescent="0.4">
      <c r="B179" s="22">
        <v>0</v>
      </c>
      <c r="C179" s="22">
        <v>0</v>
      </c>
      <c r="D179" s="22">
        <v>0</v>
      </c>
      <c r="E179" s="24">
        <v>40679</v>
      </c>
      <c r="F179" s="24" t="s">
        <v>393</v>
      </c>
      <c r="G179" s="24">
        <v>40687</v>
      </c>
      <c r="H179" s="37">
        <v>360</v>
      </c>
      <c r="I179" s="23" t="s">
        <v>2003</v>
      </c>
      <c r="J179" s="37">
        <v>30</v>
      </c>
      <c r="K179" s="24" t="s">
        <v>412</v>
      </c>
      <c r="L179" s="24" t="s">
        <v>2000</v>
      </c>
      <c r="M179" s="24">
        <v>40403</v>
      </c>
      <c r="N179" s="22" t="s">
        <v>1878</v>
      </c>
      <c r="O179" s="4">
        <v>9110297</v>
      </c>
      <c r="P179" s="22">
        <v>1020</v>
      </c>
      <c r="Q179" s="22">
        <v>50</v>
      </c>
      <c r="R179" s="22" t="s">
        <v>1053</v>
      </c>
      <c r="S179" s="152" t="s">
        <v>2155</v>
      </c>
      <c r="T179" s="152" t="s">
        <v>404</v>
      </c>
      <c r="U179" s="153">
        <v>40588</v>
      </c>
      <c r="V179" s="55" t="s">
        <v>404</v>
      </c>
      <c r="W179" s="92">
        <v>40854</v>
      </c>
      <c r="X179" s="74"/>
      <c r="Y179" s="28"/>
      <c r="Z179" s="28"/>
      <c r="AA179" s="24" t="s">
        <v>393</v>
      </c>
      <c r="AB179" s="28">
        <v>40687</v>
      </c>
      <c r="AC179" s="69"/>
    </row>
    <row r="180" spans="1:29" ht="14.25" customHeight="1" x14ac:dyDescent="0.4">
      <c r="B180" s="22">
        <v>0</v>
      </c>
      <c r="C180" s="22">
        <v>0</v>
      </c>
      <c r="D180" s="22">
        <v>0</v>
      </c>
      <c r="E180" s="24">
        <v>40679</v>
      </c>
      <c r="F180" s="24" t="s">
        <v>393</v>
      </c>
      <c r="G180" s="24">
        <v>40681</v>
      </c>
      <c r="H180" s="37">
        <v>359</v>
      </c>
      <c r="I180" s="23" t="s">
        <v>2003</v>
      </c>
      <c r="J180" s="37">
        <v>29</v>
      </c>
      <c r="K180" s="24" t="s">
        <v>412</v>
      </c>
      <c r="L180" s="24" t="s">
        <v>2001</v>
      </c>
      <c r="M180" s="24">
        <v>40403</v>
      </c>
      <c r="N180" s="22" t="s">
        <v>1878</v>
      </c>
      <c r="O180" s="4">
        <v>9110289</v>
      </c>
      <c r="P180" s="22">
        <v>1220</v>
      </c>
      <c r="Q180" s="22">
        <v>50</v>
      </c>
      <c r="R180" s="22" t="s">
        <v>2156</v>
      </c>
      <c r="S180" s="55" t="s">
        <v>2156</v>
      </c>
      <c r="T180" s="3" t="s">
        <v>404</v>
      </c>
      <c r="U180" s="28">
        <v>40589</v>
      </c>
      <c r="V180" s="3" t="s">
        <v>404</v>
      </c>
      <c r="W180" s="28">
        <v>40772</v>
      </c>
      <c r="X180" s="74"/>
      <c r="Y180" s="28"/>
      <c r="Z180" s="9"/>
      <c r="AA180" s="24" t="s">
        <v>393</v>
      </c>
      <c r="AB180" s="28">
        <v>40681</v>
      </c>
      <c r="AC180" s="69"/>
    </row>
    <row r="181" spans="1:29" ht="14.25" customHeight="1" x14ac:dyDescent="0.4">
      <c r="B181" s="22">
        <v>0</v>
      </c>
      <c r="C181" s="22" t="s">
        <v>2165</v>
      </c>
      <c r="D181" s="22">
        <v>0</v>
      </c>
      <c r="E181" s="24">
        <v>40627</v>
      </c>
      <c r="F181" s="24" t="s">
        <v>393</v>
      </c>
      <c r="G181" s="24">
        <v>40632</v>
      </c>
      <c r="H181" s="37">
        <v>253</v>
      </c>
      <c r="I181" s="23" t="s">
        <v>2001</v>
      </c>
      <c r="J181" s="37">
        <v>55</v>
      </c>
      <c r="K181" s="24" t="s">
        <v>412</v>
      </c>
      <c r="L181" s="24" t="s">
        <v>2001</v>
      </c>
      <c r="M181" s="24">
        <v>40403</v>
      </c>
      <c r="N181" s="22" t="s">
        <v>1878</v>
      </c>
      <c r="O181" s="4">
        <v>9110299</v>
      </c>
      <c r="P181" s="22">
        <v>720</v>
      </c>
      <c r="Q181" s="22">
        <v>42</v>
      </c>
      <c r="R181" s="22" t="s">
        <v>2853</v>
      </c>
      <c r="S181" s="55" t="s">
        <v>2135</v>
      </c>
      <c r="T181" s="3" t="s">
        <v>404</v>
      </c>
      <c r="U181" s="28">
        <v>40583</v>
      </c>
      <c r="V181" s="3" t="s">
        <v>404</v>
      </c>
      <c r="W181" s="28">
        <v>40655</v>
      </c>
      <c r="X181" s="74"/>
      <c r="Y181" s="28"/>
      <c r="Z181" s="28"/>
      <c r="AA181" s="24" t="s">
        <v>393</v>
      </c>
      <c r="AB181" s="28">
        <v>40632</v>
      </c>
      <c r="AC181" s="69"/>
    </row>
    <row r="182" spans="1:29" ht="14.25" customHeight="1" x14ac:dyDescent="0.4">
      <c r="B182" s="22">
        <v>0</v>
      </c>
      <c r="C182" s="22">
        <v>0</v>
      </c>
      <c r="D182" s="22">
        <v>0</v>
      </c>
      <c r="E182" s="24">
        <v>40694</v>
      </c>
      <c r="F182" s="24" t="s">
        <v>393</v>
      </c>
      <c r="G182" s="24">
        <v>40701</v>
      </c>
      <c r="H182" s="37">
        <v>385</v>
      </c>
      <c r="I182" s="23" t="s">
        <v>2003</v>
      </c>
      <c r="J182" s="37">
        <v>55</v>
      </c>
      <c r="K182" s="24" t="s">
        <v>412</v>
      </c>
      <c r="L182" s="24" t="s">
        <v>2002</v>
      </c>
      <c r="M182" s="24">
        <v>40403</v>
      </c>
      <c r="N182" s="22" t="s">
        <v>1878</v>
      </c>
      <c r="O182" s="4">
        <v>9110294</v>
      </c>
      <c r="P182" s="22">
        <v>1020</v>
      </c>
      <c r="Q182" s="22">
        <v>50</v>
      </c>
      <c r="R182" s="22" t="s">
        <v>2854</v>
      </c>
      <c r="S182" s="102" t="s">
        <v>1601</v>
      </c>
      <c r="T182" s="55" t="s">
        <v>404</v>
      </c>
      <c r="U182" s="93">
        <v>40760</v>
      </c>
      <c r="V182" s="55" t="s">
        <v>404</v>
      </c>
      <c r="W182" s="92">
        <v>40803</v>
      </c>
      <c r="Y182" s="28"/>
      <c r="Z182" s="28"/>
      <c r="AA182" s="24" t="s">
        <v>393</v>
      </c>
      <c r="AB182" s="28">
        <v>40701</v>
      </c>
      <c r="AC182" s="69"/>
    </row>
    <row r="183" spans="1:29" ht="14.25" customHeight="1" x14ac:dyDescent="0.4">
      <c r="B183" s="22">
        <v>0</v>
      </c>
      <c r="C183" s="22">
        <v>0</v>
      </c>
      <c r="D183" s="22">
        <v>0</v>
      </c>
      <c r="E183" s="24">
        <v>40680</v>
      </c>
      <c r="F183" s="24" t="s">
        <v>393</v>
      </c>
      <c r="G183" s="24">
        <v>40687</v>
      </c>
      <c r="H183" s="37">
        <v>361</v>
      </c>
      <c r="I183" s="23" t="s">
        <v>2003</v>
      </c>
      <c r="J183" s="37">
        <v>31</v>
      </c>
      <c r="K183" s="24" t="s">
        <v>412</v>
      </c>
      <c r="L183" s="24" t="s">
        <v>2002</v>
      </c>
      <c r="M183" s="24">
        <v>40403</v>
      </c>
      <c r="N183" s="22" t="s">
        <v>1878</v>
      </c>
      <c r="O183" s="4">
        <v>9110298</v>
      </c>
      <c r="P183" s="22">
        <v>1020</v>
      </c>
      <c r="Q183" s="22">
        <v>50</v>
      </c>
      <c r="R183" s="22" t="s">
        <v>2855</v>
      </c>
      <c r="S183" s="55" t="s">
        <v>75</v>
      </c>
      <c r="T183" s="1" t="s">
        <v>404</v>
      </c>
      <c r="U183" s="28">
        <v>40609</v>
      </c>
      <c r="V183" s="55" t="s">
        <v>404</v>
      </c>
      <c r="W183" s="80">
        <v>40739</v>
      </c>
      <c r="X183" s="74"/>
      <c r="Y183" s="28"/>
      <c r="Z183" s="28"/>
      <c r="AA183" s="24" t="s">
        <v>393</v>
      </c>
      <c r="AB183" s="28">
        <v>40687</v>
      </c>
      <c r="AC183" s="69"/>
    </row>
    <row r="184" spans="1:29" ht="14.25" customHeight="1" x14ac:dyDescent="0.4">
      <c r="B184" s="24">
        <v>40679</v>
      </c>
      <c r="C184" s="24">
        <v>40679</v>
      </c>
      <c r="D184" s="24">
        <v>40679</v>
      </c>
      <c r="E184" s="24">
        <v>40679</v>
      </c>
      <c r="F184" s="24" t="s">
        <v>393</v>
      </c>
      <c r="G184" s="24">
        <v>40687</v>
      </c>
      <c r="H184" s="37">
        <v>358</v>
      </c>
      <c r="I184" s="23" t="s">
        <v>2003</v>
      </c>
      <c r="J184" s="37">
        <v>28</v>
      </c>
      <c r="K184" s="24" t="s">
        <v>412</v>
      </c>
      <c r="L184" s="24">
        <v>0</v>
      </c>
      <c r="M184" s="24">
        <v>40599</v>
      </c>
      <c r="N184" s="22" t="s">
        <v>1878</v>
      </c>
      <c r="O184" s="4">
        <v>9110429</v>
      </c>
      <c r="P184" s="22">
        <v>1020</v>
      </c>
      <c r="Q184" s="22">
        <v>42</v>
      </c>
      <c r="R184" s="22" t="s">
        <v>2856</v>
      </c>
      <c r="S184" s="3" t="s">
        <v>125</v>
      </c>
      <c r="T184" s="3" t="s">
        <v>404</v>
      </c>
      <c r="U184" s="135">
        <v>40647</v>
      </c>
      <c r="V184" s="55" t="s">
        <v>404</v>
      </c>
      <c r="W184" s="80">
        <v>40739</v>
      </c>
      <c r="Y184" s="28"/>
      <c r="AA184" s="24" t="s">
        <v>393</v>
      </c>
      <c r="AB184" s="28">
        <v>40687</v>
      </c>
      <c r="AC184" s="69"/>
    </row>
    <row r="185" spans="1:29" ht="14.25" customHeight="1" x14ac:dyDescent="0.4">
      <c r="B185" s="24">
        <v>40673</v>
      </c>
      <c r="C185" s="24">
        <v>40673</v>
      </c>
      <c r="D185" s="24">
        <v>40673</v>
      </c>
      <c r="E185" s="24">
        <v>40673</v>
      </c>
      <c r="F185" s="24" t="s">
        <v>393</v>
      </c>
      <c r="G185" s="24">
        <v>40676</v>
      </c>
      <c r="H185" s="37">
        <v>348</v>
      </c>
      <c r="I185" s="23" t="s">
        <v>2003</v>
      </c>
      <c r="J185" s="37">
        <v>18</v>
      </c>
      <c r="K185" s="24" t="s">
        <v>412</v>
      </c>
      <c r="L185" s="24">
        <v>0</v>
      </c>
      <c r="M185" s="24">
        <v>40599</v>
      </c>
      <c r="N185" s="22" t="s">
        <v>1878</v>
      </c>
      <c r="O185" s="4">
        <v>9110430</v>
      </c>
      <c r="P185" s="22">
        <v>1020</v>
      </c>
      <c r="Q185" s="22">
        <v>42</v>
      </c>
      <c r="R185" s="22" t="s">
        <v>2857</v>
      </c>
      <c r="S185" s="3" t="s">
        <v>126</v>
      </c>
      <c r="T185" s="3" t="s">
        <v>404</v>
      </c>
      <c r="U185" s="135">
        <v>40647</v>
      </c>
      <c r="V185" s="55" t="s">
        <v>404</v>
      </c>
      <c r="W185" s="80">
        <v>40739</v>
      </c>
      <c r="Y185" s="28"/>
      <c r="AA185" s="24" t="s">
        <v>393</v>
      </c>
      <c r="AB185" s="28">
        <v>40676</v>
      </c>
      <c r="AC185" s="69"/>
    </row>
    <row r="186" spans="1:29" ht="14.25" customHeight="1" x14ac:dyDescent="0.4">
      <c r="B186" s="24">
        <v>40674</v>
      </c>
      <c r="C186" s="24">
        <v>40674</v>
      </c>
      <c r="D186" s="24">
        <v>40674</v>
      </c>
      <c r="E186" s="24">
        <v>40674</v>
      </c>
      <c r="F186" s="24" t="s">
        <v>393</v>
      </c>
      <c r="G186" s="24">
        <v>40683</v>
      </c>
      <c r="H186" s="37">
        <v>351</v>
      </c>
      <c r="I186" s="23" t="s">
        <v>2003</v>
      </c>
      <c r="J186" s="37">
        <v>21</v>
      </c>
      <c r="K186" s="24" t="s">
        <v>412</v>
      </c>
      <c r="L186" s="24">
        <v>0</v>
      </c>
      <c r="M186" s="24">
        <v>40653</v>
      </c>
      <c r="N186" s="22" t="s">
        <v>1878</v>
      </c>
      <c r="O186" s="4">
        <v>9110441</v>
      </c>
      <c r="P186" s="22">
        <v>720</v>
      </c>
      <c r="Q186" s="22">
        <v>42</v>
      </c>
      <c r="R186" s="22" t="s">
        <v>2858</v>
      </c>
      <c r="S186" s="3" t="s">
        <v>136</v>
      </c>
      <c r="T186" s="3" t="s">
        <v>404</v>
      </c>
      <c r="U186" s="135">
        <v>40651</v>
      </c>
      <c r="V186" s="55" t="s">
        <v>404</v>
      </c>
      <c r="W186" s="80">
        <v>40739</v>
      </c>
      <c r="Y186" s="28"/>
      <c r="AA186" s="24" t="s">
        <v>393</v>
      </c>
      <c r="AB186" s="28">
        <v>40683</v>
      </c>
      <c r="AC186" s="69"/>
    </row>
    <row r="187" spans="1:29" ht="14.25" customHeight="1" x14ac:dyDescent="0.4">
      <c r="B187" s="24">
        <v>40682</v>
      </c>
      <c r="C187" s="24">
        <v>40682</v>
      </c>
      <c r="D187" s="24">
        <v>40682</v>
      </c>
      <c r="E187" s="24">
        <v>40682</v>
      </c>
      <c r="F187" s="24" t="s">
        <v>393</v>
      </c>
      <c r="G187" s="24">
        <v>40689</v>
      </c>
      <c r="H187" s="37">
        <v>367</v>
      </c>
      <c r="I187" s="23" t="s">
        <v>2003</v>
      </c>
      <c r="J187" s="37">
        <v>37</v>
      </c>
      <c r="K187" s="24" t="s">
        <v>412</v>
      </c>
      <c r="L187" s="24">
        <v>0</v>
      </c>
      <c r="M187" s="24">
        <v>40653</v>
      </c>
      <c r="N187" s="22" t="s">
        <v>1878</v>
      </c>
      <c r="O187" s="4">
        <v>9110442</v>
      </c>
      <c r="P187" s="22">
        <v>1020</v>
      </c>
      <c r="Q187" s="22">
        <v>42</v>
      </c>
      <c r="R187" s="22" t="s">
        <v>972</v>
      </c>
      <c r="S187" s="3" t="s">
        <v>1814</v>
      </c>
      <c r="T187" s="3" t="s">
        <v>404</v>
      </c>
      <c r="U187" s="135">
        <v>40988</v>
      </c>
      <c r="V187" s="1" t="s">
        <v>406</v>
      </c>
      <c r="W187" s="28"/>
      <c r="Y187" s="28"/>
      <c r="AA187" s="24" t="s">
        <v>393</v>
      </c>
      <c r="AB187" s="28">
        <v>40689</v>
      </c>
      <c r="AC187" s="69"/>
    </row>
    <row r="188" spans="1:29" ht="14.25" customHeight="1" x14ac:dyDescent="0.4">
      <c r="A188" s="4"/>
      <c r="B188" s="24">
        <v>40605</v>
      </c>
      <c r="C188" s="24">
        <v>40605</v>
      </c>
      <c r="D188" s="24">
        <v>40605</v>
      </c>
      <c r="E188" s="24">
        <v>40605</v>
      </c>
      <c r="F188" s="24" t="s">
        <v>393</v>
      </c>
      <c r="G188" s="24">
        <v>40610</v>
      </c>
      <c r="H188" s="37">
        <v>206</v>
      </c>
      <c r="I188" s="23" t="s">
        <v>2001</v>
      </c>
      <c r="J188" s="37">
        <v>8</v>
      </c>
      <c r="K188" s="24" t="s">
        <v>412</v>
      </c>
      <c r="L188" s="24" t="s">
        <v>2859</v>
      </c>
      <c r="M188" s="24">
        <v>40514</v>
      </c>
      <c r="N188" s="22" t="s">
        <v>1878</v>
      </c>
      <c r="O188" s="4">
        <v>9110395</v>
      </c>
      <c r="P188" s="22">
        <v>1020</v>
      </c>
      <c r="Q188" s="22">
        <v>50</v>
      </c>
      <c r="R188" s="22" t="s">
        <v>2860</v>
      </c>
      <c r="S188" s="147" t="s">
        <v>1039</v>
      </c>
      <c r="T188" s="147" t="s">
        <v>404</v>
      </c>
      <c r="U188" s="154">
        <v>40907</v>
      </c>
      <c r="V188" s="91" t="s">
        <v>404</v>
      </c>
      <c r="W188" s="92">
        <v>41011</v>
      </c>
      <c r="X188" s="74">
        <v>0</v>
      </c>
      <c r="Y188" s="28"/>
      <c r="Z188" s="9"/>
      <c r="AA188" s="24" t="s">
        <v>393</v>
      </c>
      <c r="AB188" s="28">
        <v>40610</v>
      </c>
      <c r="AC188" s="69"/>
    </row>
    <row r="189" spans="1:29" ht="14.25" customHeight="1" x14ac:dyDescent="0.4">
      <c r="B189" s="22">
        <v>0</v>
      </c>
      <c r="C189" s="22">
        <v>0</v>
      </c>
      <c r="D189" s="22">
        <v>0</v>
      </c>
      <c r="E189" s="24">
        <v>40708</v>
      </c>
      <c r="F189" s="24" t="s">
        <v>393</v>
      </c>
      <c r="G189" s="24">
        <v>40714</v>
      </c>
      <c r="H189" s="37">
        <v>400</v>
      </c>
      <c r="I189" s="23" t="s">
        <v>2004</v>
      </c>
      <c r="J189" s="37">
        <v>14</v>
      </c>
      <c r="K189" s="24" t="s">
        <v>412</v>
      </c>
      <c r="L189" s="24" t="s">
        <v>1999</v>
      </c>
      <c r="M189" s="24">
        <v>40403</v>
      </c>
      <c r="N189" s="22" t="s">
        <v>1878</v>
      </c>
      <c r="O189" s="4">
        <v>9110218</v>
      </c>
      <c r="P189" s="22">
        <v>1220</v>
      </c>
      <c r="Q189" s="22">
        <v>50</v>
      </c>
      <c r="R189" s="22" t="s">
        <v>2861</v>
      </c>
      <c r="S189" s="148" t="s">
        <v>74</v>
      </c>
      <c r="T189" s="87" t="s">
        <v>404</v>
      </c>
      <c r="U189" s="88">
        <v>40605</v>
      </c>
      <c r="V189" s="87" t="s">
        <v>404</v>
      </c>
      <c r="W189" s="89">
        <v>40745</v>
      </c>
      <c r="X189" s="84"/>
      <c r="Y189" s="28"/>
      <c r="Z189" s="28"/>
      <c r="AA189" s="24" t="s">
        <v>393</v>
      </c>
      <c r="AB189" s="28">
        <v>40714</v>
      </c>
      <c r="AC189" s="69"/>
    </row>
    <row r="190" spans="1:29" ht="14.25" customHeight="1" x14ac:dyDescent="0.4">
      <c r="A190" s="4"/>
      <c r="B190" s="24">
        <v>40695</v>
      </c>
      <c r="C190" s="24">
        <v>40695</v>
      </c>
      <c r="D190" s="24">
        <v>40695</v>
      </c>
      <c r="E190" s="24">
        <v>40695</v>
      </c>
      <c r="F190" s="24" t="s">
        <v>393</v>
      </c>
      <c r="G190" s="24">
        <v>40704</v>
      </c>
      <c r="H190" s="37">
        <v>387</v>
      </c>
      <c r="I190" s="23" t="s">
        <v>2004</v>
      </c>
      <c r="J190" s="37">
        <v>1</v>
      </c>
      <c r="K190" s="24" t="s">
        <v>412</v>
      </c>
      <c r="L190" s="24">
        <v>0</v>
      </c>
      <c r="M190" s="24">
        <v>40541</v>
      </c>
      <c r="N190" s="22" t="s">
        <v>570</v>
      </c>
      <c r="O190" s="4">
        <v>9110410</v>
      </c>
      <c r="P190" s="22">
        <v>1020</v>
      </c>
      <c r="Q190" s="22">
        <v>50</v>
      </c>
      <c r="R190" s="22" t="s">
        <v>2862</v>
      </c>
      <c r="S190" s="55"/>
      <c r="T190" s="91" t="s">
        <v>404</v>
      </c>
      <c r="U190" s="92">
        <v>40547</v>
      </c>
      <c r="V190" s="132" t="s">
        <v>404</v>
      </c>
      <c r="W190" s="92">
        <v>40783</v>
      </c>
      <c r="X190" s="74">
        <v>0</v>
      </c>
      <c r="Y190" s="28"/>
      <c r="Z190" s="9"/>
      <c r="AA190" s="24" t="s">
        <v>393</v>
      </c>
      <c r="AB190" s="28">
        <v>40704</v>
      </c>
      <c r="AC190" s="69"/>
    </row>
    <row r="191" spans="1:29" ht="14.25" customHeight="1" x14ac:dyDescent="0.4">
      <c r="B191" s="24">
        <v>40497</v>
      </c>
      <c r="C191" s="24">
        <v>40497</v>
      </c>
      <c r="D191" s="24">
        <v>40497</v>
      </c>
      <c r="E191" s="24">
        <v>40497</v>
      </c>
      <c r="F191" s="24" t="s">
        <v>393</v>
      </c>
      <c r="G191" s="24">
        <v>40512</v>
      </c>
      <c r="H191" s="37">
        <v>67</v>
      </c>
      <c r="I191" s="23" t="s">
        <v>1997</v>
      </c>
      <c r="J191" s="37" t="e">
        <v>#REF!</v>
      </c>
      <c r="K191" s="24" t="s">
        <v>412</v>
      </c>
      <c r="L191" s="36"/>
      <c r="M191" s="24">
        <v>40410</v>
      </c>
      <c r="N191" s="22" t="s">
        <v>674</v>
      </c>
      <c r="O191" s="4">
        <v>9110313</v>
      </c>
      <c r="P191" s="22">
        <v>1020</v>
      </c>
      <c r="Q191" s="22">
        <v>42</v>
      </c>
      <c r="R191" s="22">
        <v>0</v>
      </c>
      <c r="S191" s="55"/>
      <c r="T191" s="55" t="s">
        <v>404</v>
      </c>
      <c r="U191" s="93">
        <v>40780</v>
      </c>
      <c r="V191" s="55" t="s">
        <v>404</v>
      </c>
      <c r="W191" s="92">
        <v>40813</v>
      </c>
      <c r="Y191" s="28"/>
      <c r="Z191" s="28"/>
      <c r="AA191" s="24" t="s">
        <v>393</v>
      </c>
      <c r="AB191" s="28">
        <v>40512</v>
      </c>
      <c r="AC191" s="69"/>
    </row>
    <row r="192" spans="1:29" ht="14.25" customHeight="1" x14ac:dyDescent="0.4">
      <c r="B192" s="24">
        <v>40497</v>
      </c>
      <c r="C192" s="24">
        <v>40497</v>
      </c>
      <c r="D192" s="24">
        <v>40497</v>
      </c>
      <c r="E192" s="24">
        <v>40497</v>
      </c>
      <c r="F192" s="24" t="s">
        <v>393</v>
      </c>
      <c r="G192" s="24">
        <v>40519</v>
      </c>
      <c r="H192" s="37">
        <v>68</v>
      </c>
      <c r="I192" s="23" t="s">
        <v>1997</v>
      </c>
      <c r="J192" s="37" t="e">
        <v>#REF!</v>
      </c>
      <c r="K192" s="24" t="s">
        <v>412</v>
      </c>
      <c r="L192" s="24" t="s">
        <v>1998</v>
      </c>
      <c r="M192" s="24">
        <v>40410</v>
      </c>
      <c r="N192" s="22" t="s">
        <v>674</v>
      </c>
      <c r="O192" s="4">
        <v>9110314</v>
      </c>
      <c r="P192" s="22">
        <v>1020</v>
      </c>
      <c r="Q192" s="22">
        <v>42</v>
      </c>
      <c r="R192" s="22">
        <v>0</v>
      </c>
      <c r="S192" s="55" t="s">
        <v>169</v>
      </c>
      <c r="T192" s="55" t="s">
        <v>404</v>
      </c>
      <c r="U192" s="93">
        <v>40583</v>
      </c>
      <c r="V192" s="55" t="s">
        <v>404</v>
      </c>
      <c r="W192" s="136">
        <v>40676</v>
      </c>
      <c r="Y192" s="28"/>
      <c r="Z192" s="28"/>
      <c r="AA192" s="24" t="s">
        <v>393</v>
      </c>
      <c r="AB192" s="28">
        <v>40519</v>
      </c>
      <c r="AC192" s="69"/>
    </row>
    <row r="193" spans="1:29" ht="14.25" customHeight="1" x14ac:dyDescent="0.4">
      <c r="B193" s="24">
        <v>40634</v>
      </c>
      <c r="C193" s="24">
        <v>40634</v>
      </c>
      <c r="D193" s="24">
        <v>40634</v>
      </c>
      <c r="E193" s="24">
        <v>40634</v>
      </c>
      <c r="F193" s="24" t="s">
        <v>393</v>
      </c>
      <c r="G193" s="24">
        <v>40642</v>
      </c>
      <c r="H193" s="37">
        <v>268</v>
      </c>
      <c r="I193" s="23" t="s">
        <v>2002</v>
      </c>
      <c r="J193" s="37">
        <v>1</v>
      </c>
      <c r="K193" s="24" t="s">
        <v>412</v>
      </c>
      <c r="L193" s="24" t="s">
        <v>2001</v>
      </c>
      <c r="M193" s="24">
        <v>40410</v>
      </c>
      <c r="N193" s="22" t="s">
        <v>674</v>
      </c>
      <c r="O193" s="4">
        <v>9110315</v>
      </c>
      <c r="P193" s="22">
        <v>1020</v>
      </c>
      <c r="Q193" s="22">
        <v>42</v>
      </c>
      <c r="R193" s="22" t="s">
        <v>1742</v>
      </c>
      <c r="S193" s="155" t="s">
        <v>170</v>
      </c>
      <c r="T193" s="55" t="s">
        <v>404</v>
      </c>
      <c r="U193" s="93">
        <v>40585</v>
      </c>
      <c r="V193" s="55" t="s">
        <v>404</v>
      </c>
      <c r="W193" s="136">
        <v>40676</v>
      </c>
      <c r="X193" s="74"/>
      <c r="Y193" s="28"/>
      <c r="Z193" s="28"/>
      <c r="AA193" s="24" t="s">
        <v>393</v>
      </c>
      <c r="AB193" s="28">
        <v>40642</v>
      </c>
      <c r="AC193" s="69"/>
    </row>
    <row r="194" spans="1:29" ht="14.25" customHeight="1" x14ac:dyDescent="0.4">
      <c r="B194" s="24">
        <v>40634</v>
      </c>
      <c r="C194" s="24">
        <v>40634</v>
      </c>
      <c r="D194" s="24">
        <v>40634</v>
      </c>
      <c r="E194" s="24">
        <v>40634</v>
      </c>
      <c r="F194" s="24" t="s">
        <v>393</v>
      </c>
      <c r="G194" s="24">
        <v>40642</v>
      </c>
      <c r="H194" s="37">
        <v>270</v>
      </c>
      <c r="I194" s="23" t="s">
        <v>2002</v>
      </c>
      <c r="J194" s="37">
        <v>3</v>
      </c>
      <c r="K194" s="24" t="s">
        <v>412</v>
      </c>
      <c r="L194" s="24" t="s">
        <v>2001</v>
      </c>
      <c r="M194" s="24">
        <v>40410</v>
      </c>
      <c r="N194" s="22" t="s">
        <v>674</v>
      </c>
      <c r="O194" s="4">
        <v>9110316</v>
      </c>
      <c r="P194" s="22">
        <v>1020</v>
      </c>
      <c r="Q194" s="22">
        <v>42</v>
      </c>
      <c r="R194" s="22" t="s">
        <v>1742</v>
      </c>
      <c r="S194" s="55"/>
      <c r="T194" s="55" t="s">
        <v>404</v>
      </c>
      <c r="U194" s="93">
        <v>41014</v>
      </c>
      <c r="V194" s="55" t="s">
        <v>404</v>
      </c>
      <c r="W194" s="136">
        <v>41014</v>
      </c>
      <c r="X194" s="74"/>
      <c r="Y194" s="28"/>
      <c r="Z194" s="28"/>
      <c r="AA194" s="24" t="s">
        <v>393</v>
      </c>
      <c r="AB194" s="28">
        <v>40642</v>
      </c>
      <c r="AC194" s="69"/>
    </row>
    <row r="195" spans="1:29" ht="14.25" customHeight="1" x14ac:dyDescent="0.4">
      <c r="A195" s="16"/>
      <c r="B195" s="24">
        <v>40637</v>
      </c>
      <c r="C195" s="24">
        <v>40637</v>
      </c>
      <c r="D195" s="24">
        <v>40637</v>
      </c>
      <c r="E195" s="24">
        <v>40637</v>
      </c>
      <c r="F195" s="24" t="s">
        <v>393</v>
      </c>
      <c r="G195" s="24">
        <v>40640</v>
      </c>
      <c r="H195" s="37">
        <v>271</v>
      </c>
      <c r="I195" s="23" t="s">
        <v>2002</v>
      </c>
      <c r="J195" s="37">
        <v>4</v>
      </c>
      <c r="K195" s="24" t="s">
        <v>412</v>
      </c>
      <c r="L195" s="24" t="s">
        <v>2001</v>
      </c>
      <c r="M195" s="24">
        <v>40410</v>
      </c>
      <c r="N195" s="22" t="s">
        <v>674</v>
      </c>
      <c r="O195" s="4">
        <v>9110317</v>
      </c>
      <c r="P195" s="22">
        <v>1020</v>
      </c>
      <c r="Q195" s="22">
        <v>42</v>
      </c>
      <c r="R195" s="22">
        <v>0</v>
      </c>
      <c r="S195" s="158" t="s">
        <v>538</v>
      </c>
      <c r="T195" s="152" t="s">
        <v>404</v>
      </c>
      <c r="U195" s="156">
        <v>40900</v>
      </c>
      <c r="V195" s="152" t="s">
        <v>404</v>
      </c>
      <c r="W195" s="164">
        <v>41014</v>
      </c>
      <c r="X195" s="74"/>
      <c r="Y195" s="28"/>
      <c r="Z195" s="28"/>
      <c r="AA195" s="24" t="s">
        <v>393</v>
      </c>
      <c r="AB195" s="28">
        <v>40640</v>
      </c>
      <c r="AC195" s="69"/>
    </row>
    <row r="196" spans="1:29" ht="14.25" customHeight="1" x14ac:dyDescent="0.4">
      <c r="B196" s="24">
        <v>40637</v>
      </c>
      <c r="C196" s="24">
        <v>40637</v>
      </c>
      <c r="D196" s="24">
        <v>40637</v>
      </c>
      <c r="E196" s="24">
        <v>40637</v>
      </c>
      <c r="F196" s="24" t="s">
        <v>393</v>
      </c>
      <c r="G196" s="24">
        <v>40646</v>
      </c>
      <c r="H196" s="37">
        <v>272</v>
      </c>
      <c r="I196" s="23" t="s">
        <v>2002</v>
      </c>
      <c r="J196" s="37">
        <v>5</v>
      </c>
      <c r="K196" s="24" t="s">
        <v>412</v>
      </c>
      <c r="L196" s="24" t="s">
        <v>2001</v>
      </c>
      <c r="M196" s="24">
        <v>40410</v>
      </c>
      <c r="N196" s="22" t="s">
        <v>674</v>
      </c>
      <c r="O196" s="4">
        <v>9110318</v>
      </c>
      <c r="P196" s="22">
        <v>1020</v>
      </c>
      <c r="Q196" s="22">
        <v>42</v>
      </c>
      <c r="R196" s="22">
        <v>0</v>
      </c>
      <c r="S196" s="158" t="s">
        <v>2023</v>
      </c>
      <c r="T196" s="152" t="s">
        <v>404</v>
      </c>
      <c r="U196" s="156">
        <v>40903</v>
      </c>
      <c r="V196" s="152" t="s">
        <v>404</v>
      </c>
      <c r="W196" s="164">
        <v>41014</v>
      </c>
      <c r="X196" s="74"/>
      <c r="Y196" s="28"/>
      <c r="Z196" s="9"/>
      <c r="AA196" s="24" t="s">
        <v>393</v>
      </c>
      <c r="AB196" s="28">
        <v>40646</v>
      </c>
      <c r="AC196" s="69"/>
    </row>
    <row r="197" spans="1:29" ht="14.25" customHeight="1" x14ac:dyDescent="0.4">
      <c r="B197" s="24">
        <v>40654</v>
      </c>
      <c r="C197" s="24">
        <v>40654</v>
      </c>
      <c r="D197" s="24">
        <v>40654</v>
      </c>
      <c r="E197" s="24">
        <v>40654</v>
      </c>
      <c r="F197" s="24" t="s">
        <v>393</v>
      </c>
      <c r="G197" s="24">
        <v>40661</v>
      </c>
      <c r="H197" s="37">
        <v>310</v>
      </c>
      <c r="I197" s="23" t="s">
        <v>2002</v>
      </c>
      <c r="J197" s="37">
        <v>43</v>
      </c>
      <c r="K197" s="24" t="s">
        <v>412</v>
      </c>
      <c r="L197" s="24" t="s">
        <v>2001</v>
      </c>
      <c r="M197" s="24">
        <v>40410</v>
      </c>
      <c r="N197" s="22" t="s">
        <v>674</v>
      </c>
      <c r="O197" s="4">
        <v>9110319</v>
      </c>
      <c r="P197" s="22">
        <v>1020</v>
      </c>
      <c r="Q197" s="22">
        <v>42</v>
      </c>
      <c r="R197" s="22">
        <v>0</v>
      </c>
      <c r="S197" s="102" t="s">
        <v>2055</v>
      </c>
      <c r="T197" s="3" t="s">
        <v>404</v>
      </c>
      <c r="U197" s="43">
        <v>40884</v>
      </c>
      <c r="V197" s="3" t="s">
        <v>404</v>
      </c>
      <c r="W197" s="28">
        <v>40892</v>
      </c>
      <c r="X197" s="74"/>
      <c r="Y197" s="28"/>
      <c r="Z197" s="9"/>
      <c r="AA197" s="24" t="s">
        <v>393</v>
      </c>
      <c r="AB197" s="28">
        <v>40661</v>
      </c>
      <c r="AC197" s="69"/>
    </row>
    <row r="198" spans="1:29" ht="14.25" customHeight="1" x14ac:dyDescent="0.4">
      <c r="B198" s="24">
        <v>40654</v>
      </c>
      <c r="C198" s="24">
        <v>40654</v>
      </c>
      <c r="D198" s="24">
        <v>40654</v>
      </c>
      <c r="E198" s="24">
        <v>40654</v>
      </c>
      <c r="F198" s="24" t="s">
        <v>393</v>
      </c>
      <c r="G198" s="24">
        <v>40662</v>
      </c>
      <c r="H198" s="37">
        <v>311</v>
      </c>
      <c r="I198" s="23" t="s">
        <v>2002</v>
      </c>
      <c r="J198" s="37">
        <v>44</v>
      </c>
      <c r="K198" s="24" t="s">
        <v>412</v>
      </c>
      <c r="L198" s="24" t="s">
        <v>2001</v>
      </c>
      <c r="M198" s="24">
        <v>40410</v>
      </c>
      <c r="N198" s="22" t="s">
        <v>674</v>
      </c>
      <c r="O198" s="4">
        <v>9110320</v>
      </c>
      <c r="P198" s="22">
        <v>1020</v>
      </c>
      <c r="Q198" s="22">
        <v>42</v>
      </c>
      <c r="R198" s="22">
        <v>0</v>
      </c>
      <c r="S198" s="55"/>
      <c r="T198" s="91" t="s">
        <v>404</v>
      </c>
      <c r="U198" s="94">
        <v>40900</v>
      </c>
      <c r="V198" s="91" t="s">
        <v>404</v>
      </c>
      <c r="W198" s="164">
        <v>41014</v>
      </c>
      <c r="X198" s="74"/>
      <c r="Y198" s="28"/>
      <c r="Z198" s="9"/>
      <c r="AA198" s="24" t="s">
        <v>393</v>
      </c>
      <c r="AB198" s="28">
        <v>40662</v>
      </c>
      <c r="AC198" s="69"/>
    </row>
    <row r="199" spans="1:29" ht="14.25" customHeight="1" x14ac:dyDescent="0.4">
      <c r="B199" s="24">
        <v>40641</v>
      </c>
      <c r="C199" s="24">
        <v>40641</v>
      </c>
      <c r="D199" s="24">
        <v>40641</v>
      </c>
      <c r="E199" s="24">
        <v>40641</v>
      </c>
      <c r="F199" s="24" t="s">
        <v>393</v>
      </c>
      <c r="G199" s="24">
        <v>40646</v>
      </c>
      <c r="H199" s="37">
        <v>285</v>
      </c>
      <c r="I199" s="23" t="s">
        <v>2002</v>
      </c>
      <c r="J199" s="37">
        <v>18</v>
      </c>
      <c r="K199" s="24" t="s">
        <v>412</v>
      </c>
      <c r="L199" s="24" t="s">
        <v>2002</v>
      </c>
      <c r="M199" s="24">
        <v>40410</v>
      </c>
      <c r="N199" s="22" t="s">
        <v>674</v>
      </c>
      <c r="O199" s="4">
        <v>9110321</v>
      </c>
      <c r="P199" s="22">
        <v>1020</v>
      </c>
      <c r="Q199" s="22">
        <v>42</v>
      </c>
      <c r="R199" s="22">
        <v>0</v>
      </c>
      <c r="S199" s="55"/>
      <c r="T199" s="91" t="s">
        <v>404</v>
      </c>
      <c r="U199" s="94">
        <v>40830</v>
      </c>
      <c r="V199" s="91" t="s">
        <v>404</v>
      </c>
      <c r="W199" s="92">
        <v>40836</v>
      </c>
      <c r="X199" s="74"/>
      <c r="Y199" s="28"/>
      <c r="Z199" s="9"/>
      <c r="AA199" s="24" t="s">
        <v>393</v>
      </c>
      <c r="AB199" s="28">
        <v>40646</v>
      </c>
      <c r="AC199" s="69"/>
    </row>
    <row r="200" spans="1:29" ht="14.25" customHeight="1" x14ac:dyDescent="0.4">
      <c r="B200" s="24">
        <v>40644</v>
      </c>
      <c r="C200" s="24">
        <v>40644</v>
      </c>
      <c r="D200" s="24">
        <v>40644</v>
      </c>
      <c r="E200" s="24">
        <v>40644</v>
      </c>
      <c r="F200" s="24" t="s">
        <v>393</v>
      </c>
      <c r="G200" s="24">
        <v>40646</v>
      </c>
      <c r="H200" s="37">
        <v>287</v>
      </c>
      <c r="I200" s="23" t="s">
        <v>2002</v>
      </c>
      <c r="J200" s="37">
        <v>20</v>
      </c>
      <c r="K200" s="24" t="s">
        <v>412</v>
      </c>
      <c r="L200" s="24" t="s">
        <v>2002</v>
      </c>
      <c r="M200" s="24">
        <v>40410</v>
      </c>
      <c r="N200" s="22" t="s">
        <v>674</v>
      </c>
      <c r="O200" s="4">
        <v>9110322</v>
      </c>
      <c r="P200" s="22">
        <v>1020</v>
      </c>
      <c r="Q200" s="22">
        <v>42</v>
      </c>
      <c r="R200" s="22">
        <v>0</v>
      </c>
      <c r="S200" s="55"/>
      <c r="T200" s="91" t="s">
        <v>404</v>
      </c>
      <c r="U200" s="94">
        <v>40900</v>
      </c>
      <c r="V200" s="91" t="s">
        <v>404</v>
      </c>
      <c r="W200" s="164">
        <v>41014</v>
      </c>
      <c r="X200" s="74"/>
      <c r="Y200" s="28"/>
      <c r="Z200" s="9"/>
      <c r="AA200" s="24" t="s">
        <v>393</v>
      </c>
      <c r="AB200" s="28">
        <v>40646</v>
      </c>
      <c r="AC200" s="69"/>
    </row>
    <row r="201" spans="1:29" ht="14.25" customHeight="1" x14ac:dyDescent="0.4">
      <c r="B201" s="24">
        <v>40644</v>
      </c>
      <c r="C201" s="24">
        <v>40644</v>
      </c>
      <c r="D201" s="24">
        <v>40644</v>
      </c>
      <c r="E201" s="24">
        <v>40644</v>
      </c>
      <c r="F201" s="24" t="s">
        <v>393</v>
      </c>
      <c r="G201" s="24">
        <v>40648</v>
      </c>
      <c r="H201" s="37">
        <v>288</v>
      </c>
      <c r="I201" s="23" t="s">
        <v>2002</v>
      </c>
      <c r="J201" s="37">
        <v>21</v>
      </c>
      <c r="K201" s="24" t="s">
        <v>412</v>
      </c>
      <c r="L201" s="24" t="s">
        <v>2002</v>
      </c>
      <c r="M201" s="24">
        <v>40410</v>
      </c>
      <c r="N201" s="22" t="s">
        <v>674</v>
      </c>
      <c r="O201" s="4">
        <v>9110323</v>
      </c>
      <c r="P201" s="22">
        <v>1020</v>
      </c>
      <c r="Q201" s="22">
        <v>42</v>
      </c>
      <c r="R201" s="22">
        <v>0</v>
      </c>
      <c r="S201" s="102" t="s">
        <v>427</v>
      </c>
      <c r="T201" s="91" t="s">
        <v>404</v>
      </c>
      <c r="U201" s="94">
        <v>40809</v>
      </c>
      <c r="V201" s="91" t="s">
        <v>404</v>
      </c>
      <c r="W201" s="92">
        <v>40814</v>
      </c>
      <c r="X201" s="74"/>
      <c r="Y201" s="28"/>
      <c r="Z201" s="9"/>
      <c r="AA201" s="24" t="s">
        <v>393</v>
      </c>
      <c r="AB201" s="28">
        <v>40648</v>
      </c>
      <c r="AC201" s="69"/>
    </row>
    <row r="202" spans="1:29" ht="14.25" customHeight="1" x14ac:dyDescent="0.4">
      <c r="B202" s="24">
        <v>40694</v>
      </c>
      <c r="C202" s="24">
        <v>40694</v>
      </c>
      <c r="D202" s="24">
        <v>40694</v>
      </c>
      <c r="E202" s="24">
        <v>40694</v>
      </c>
      <c r="F202" s="24" t="s">
        <v>393</v>
      </c>
      <c r="G202" s="24">
        <v>40697</v>
      </c>
      <c r="H202" s="37">
        <v>386</v>
      </c>
      <c r="I202" s="23" t="s">
        <v>2003</v>
      </c>
      <c r="J202" s="37">
        <v>56</v>
      </c>
      <c r="K202" s="24" t="s">
        <v>412</v>
      </c>
      <c r="L202" s="24" t="s">
        <v>2003</v>
      </c>
      <c r="M202" s="24">
        <v>40410</v>
      </c>
      <c r="N202" s="22" t="s">
        <v>674</v>
      </c>
      <c r="O202" s="4">
        <v>9110324</v>
      </c>
      <c r="P202" s="22">
        <v>1020</v>
      </c>
      <c r="Q202" s="22">
        <v>50</v>
      </c>
      <c r="R202" s="22" t="s">
        <v>1679</v>
      </c>
      <c r="S202" s="55" t="s">
        <v>2126</v>
      </c>
      <c r="T202" s="91" t="s">
        <v>404</v>
      </c>
      <c r="U202" s="94">
        <v>40574</v>
      </c>
      <c r="V202" s="91" t="s">
        <v>404</v>
      </c>
      <c r="W202" s="80">
        <v>40779</v>
      </c>
      <c r="X202" s="74"/>
      <c r="Y202" s="28"/>
      <c r="Z202" s="9"/>
      <c r="AA202" s="24" t="s">
        <v>393</v>
      </c>
      <c r="AB202" s="28">
        <v>40697</v>
      </c>
      <c r="AC202" s="69"/>
    </row>
    <row r="203" spans="1:29" ht="14.25" customHeight="1" x14ac:dyDescent="0.4">
      <c r="B203" s="24">
        <v>40648</v>
      </c>
      <c r="C203" s="24">
        <v>40648</v>
      </c>
      <c r="D203" s="24">
        <v>40648</v>
      </c>
      <c r="E203" s="24">
        <v>40648</v>
      </c>
      <c r="F203" s="24" t="s">
        <v>393</v>
      </c>
      <c r="G203" s="24">
        <v>40658</v>
      </c>
      <c r="H203" s="37">
        <v>298</v>
      </c>
      <c r="I203" s="23" t="s">
        <v>2002</v>
      </c>
      <c r="J203" s="37">
        <v>31</v>
      </c>
      <c r="K203" s="24" t="s">
        <v>412</v>
      </c>
      <c r="L203" s="24" t="s">
        <v>2003</v>
      </c>
      <c r="M203" s="24">
        <v>40410</v>
      </c>
      <c r="N203" s="22" t="s">
        <v>674</v>
      </c>
      <c r="O203" s="4">
        <v>9110325</v>
      </c>
      <c r="P203" s="22">
        <v>1020</v>
      </c>
      <c r="Q203" s="22">
        <v>42</v>
      </c>
      <c r="R203" s="22">
        <v>0</v>
      </c>
      <c r="S203" s="102" t="s">
        <v>1836</v>
      </c>
      <c r="T203" s="132" t="s">
        <v>404</v>
      </c>
      <c r="U203" s="94">
        <v>40844</v>
      </c>
      <c r="V203" s="132" t="s">
        <v>404</v>
      </c>
      <c r="W203" s="92">
        <v>40844</v>
      </c>
      <c r="X203" s="74"/>
      <c r="Y203" s="28"/>
      <c r="Z203" s="9"/>
      <c r="AA203" s="24" t="s">
        <v>393</v>
      </c>
      <c r="AB203" s="28">
        <v>40658</v>
      </c>
      <c r="AC203" s="69"/>
    </row>
    <row r="204" spans="1:29" ht="14.25" customHeight="1" x14ac:dyDescent="0.4">
      <c r="B204" s="24">
        <v>40648</v>
      </c>
      <c r="C204" s="24">
        <v>40648</v>
      </c>
      <c r="D204" s="24">
        <v>40648</v>
      </c>
      <c r="E204" s="24">
        <v>40648</v>
      </c>
      <c r="F204" s="24" t="s">
        <v>393</v>
      </c>
      <c r="G204" s="24">
        <v>40652</v>
      </c>
      <c r="H204" s="37">
        <v>299</v>
      </c>
      <c r="I204" s="23" t="s">
        <v>2002</v>
      </c>
      <c r="J204" s="37">
        <v>32</v>
      </c>
      <c r="K204" s="24" t="s">
        <v>412</v>
      </c>
      <c r="L204" s="24" t="s">
        <v>2003</v>
      </c>
      <c r="M204" s="24">
        <v>40410</v>
      </c>
      <c r="N204" s="22" t="s">
        <v>674</v>
      </c>
      <c r="O204" s="4">
        <v>9110326</v>
      </c>
      <c r="P204" s="22">
        <v>1020</v>
      </c>
      <c r="Q204" s="22">
        <v>42</v>
      </c>
      <c r="R204" s="22">
        <v>0</v>
      </c>
      <c r="S204" s="102" t="s">
        <v>2056</v>
      </c>
      <c r="T204" s="132" t="s">
        <v>404</v>
      </c>
      <c r="U204" s="94">
        <v>40872</v>
      </c>
      <c r="V204" s="91" t="s">
        <v>404</v>
      </c>
      <c r="W204" s="92">
        <v>40872</v>
      </c>
      <c r="X204" s="74"/>
      <c r="Y204" s="28"/>
      <c r="Z204" s="9"/>
      <c r="AA204" s="24" t="s">
        <v>393</v>
      </c>
      <c r="AB204" s="28">
        <v>40652</v>
      </c>
      <c r="AC204" s="69"/>
    </row>
    <row r="205" spans="1:29" ht="14.25" customHeight="1" x14ac:dyDescent="0.4">
      <c r="B205" s="24">
        <v>40574</v>
      </c>
      <c r="C205" s="24">
        <v>40574</v>
      </c>
      <c r="D205" s="24">
        <v>40574</v>
      </c>
      <c r="E205" s="24">
        <v>40574</v>
      </c>
      <c r="F205" s="24" t="s">
        <v>393</v>
      </c>
      <c r="G205" s="24">
        <v>40581</v>
      </c>
      <c r="H205" s="37">
        <v>152</v>
      </c>
      <c r="I205" s="23" t="s">
        <v>1999</v>
      </c>
      <c r="J205" s="37">
        <v>43</v>
      </c>
      <c r="K205" s="24" t="s">
        <v>412</v>
      </c>
      <c r="L205" s="24" t="s">
        <v>1998</v>
      </c>
      <c r="M205" s="24">
        <v>40410</v>
      </c>
      <c r="N205" s="22" t="s">
        <v>674</v>
      </c>
      <c r="O205" s="4">
        <v>9110327</v>
      </c>
      <c r="P205" s="22">
        <v>1020</v>
      </c>
      <c r="Q205" s="22">
        <v>50</v>
      </c>
      <c r="R205" s="22">
        <v>0</v>
      </c>
      <c r="S205" s="102" t="s">
        <v>1974</v>
      </c>
      <c r="T205" s="91" t="s">
        <v>404</v>
      </c>
      <c r="U205" s="94">
        <v>40501</v>
      </c>
      <c r="V205" s="91" t="s">
        <v>404</v>
      </c>
      <c r="W205" s="92">
        <v>40676</v>
      </c>
      <c r="X205" s="74"/>
      <c r="Y205" s="28"/>
      <c r="Z205" s="9"/>
      <c r="AA205" s="24" t="s">
        <v>393</v>
      </c>
      <c r="AB205" s="28">
        <v>40581</v>
      </c>
      <c r="AC205" s="69"/>
    </row>
    <row r="206" spans="1:29" ht="14.25" customHeight="1" x14ac:dyDescent="0.4">
      <c r="B206" s="24">
        <v>40574</v>
      </c>
      <c r="C206" s="24">
        <v>40574</v>
      </c>
      <c r="D206" s="24">
        <v>40574</v>
      </c>
      <c r="E206" s="24">
        <v>40574</v>
      </c>
      <c r="F206" s="24" t="s">
        <v>393</v>
      </c>
      <c r="G206" s="24">
        <v>40578</v>
      </c>
      <c r="H206" s="37">
        <v>153</v>
      </c>
      <c r="I206" s="23" t="s">
        <v>2000</v>
      </c>
      <c r="J206" s="37">
        <v>1</v>
      </c>
      <c r="K206" s="24" t="s">
        <v>412</v>
      </c>
      <c r="L206" s="24" t="s">
        <v>1998</v>
      </c>
      <c r="M206" s="24">
        <v>40410</v>
      </c>
      <c r="N206" s="22" t="s">
        <v>674</v>
      </c>
      <c r="O206" s="4">
        <v>9110328</v>
      </c>
      <c r="P206" s="22">
        <v>1020</v>
      </c>
      <c r="Q206" s="22">
        <v>50</v>
      </c>
      <c r="R206" s="22">
        <v>0</v>
      </c>
      <c r="S206" s="55" t="s">
        <v>2127</v>
      </c>
      <c r="T206" s="91" t="s">
        <v>404</v>
      </c>
      <c r="U206" s="94">
        <v>40508</v>
      </c>
      <c r="V206" s="91" t="s">
        <v>404</v>
      </c>
      <c r="W206" s="92">
        <v>40676</v>
      </c>
      <c r="X206" s="74"/>
      <c r="Y206" s="28"/>
      <c r="Z206" s="9"/>
      <c r="AA206" s="24" t="s">
        <v>393</v>
      </c>
      <c r="AB206" s="28">
        <v>40578</v>
      </c>
      <c r="AC206" s="69"/>
    </row>
    <row r="207" spans="1:29" ht="14.25" customHeight="1" x14ac:dyDescent="0.4">
      <c r="B207" s="24">
        <v>40681</v>
      </c>
      <c r="C207" s="24">
        <v>40681</v>
      </c>
      <c r="D207" s="24">
        <v>40681</v>
      </c>
      <c r="E207" s="24">
        <v>40681</v>
      </c>
      <c r="F207" s="24" t="s">
        <v>393</v>
      </c>
      <c r="G207" s="24">
        <v>40688</v>
      </c>
      <c r="H207" s="37">
        <v>365</v>
      </c>
      <c r="I207" s="23" t="s">
        <v>2003</v>
      </c>
      <c r="J207" s="37">
        <v>35</v>
      </c>
      <c r="K207" s="24" t="s">
        <v>412</v>
      </c>
      <c r="L207" s="24" t="s">
        <v>2001</v>
      </c>
      <c r="M207" s="24">
        <v>40410</v>
      </c>
      <c r="N207" s="22" t="s">
        <v>674</v>
      </c>
      <c r="O207" s="4">
        <v>9110329</v>
      </c>
      <c r="P207" s="22">
        <v>1020</v>
      </c>
      <c r="Q207" s="22">
        <v>50</v>
      </c>
      <c r="R207" s="22">
        <v>0</v>
      </c>
      <c r="S207" s="149" t="s">
        <v>538</v>
      </c>
      <c r="T207" s="55" t="s">
        <v>404</v>
      </c>
      <c r="U207" s="94">
        <v>40786</v>
      </c>
      <c r="V207" s="91" t="s">
        <v>404</v>
      </c>
      <c r="W207" s="92">
        <v>40872</v>
      </c>
      <c r="X207" s="74"/>
      <c r="Y207" s="28"/>
      <c r="Z207" s="9"/>
      <c r="AA207" s="24" t="s">
        <v>393</v>
      </c>
      <c r="AB207" s="28">
        <v>40688</v>
      </c>
      <c r="AC207" s="69"/>
    </row>
    <row r="208" spans="1:29" ht="14.25" customHeight="1" x14ac:dyDescent="0.4">
      <c r="B208" s="24">
        <v>40687</v>
      </c>
      <c r="C208" s="24">
        <v>40687</v>
      </c>
      <c r="D208" s="24">
        <v>40687</v>
      </c>
      <c r="E208" s="24">
        <v>40687</v>
      </c>
      <c r="F208" s="24" t="s">
        <v>393</v>
      </c>
      <c r="G208" s="24">
        <v>40690</v>
      </c>
      <c r="H208" s="37">
        <v>374</v>
      </c>
      <c r="I208" s="23" t="s">
        <v>2003</v>
      </c>
      <c r="J208" s="37">
        <v>44</v>
      </c>
      <c r="K208" s="24" t="s">
        <v>412</v>
      </c>
      <c r="L208" s="24" t="s">
        <v>2001</v>
      </c>
      <c r="M208" s="24">
        <v>40410</v>
      </c>
      <c r="N208" s="22" t="s">
        <v>674</v>
      </c>
      <c r="O208" s="4">
        <v>9110330</v>
      </c>
      <c r="P208" s="22">
        <v>1020</v>
      </c>
      <c r="Q208" s="22">
        <v>50</v>
      </c>
      <c r="R208" s="22" t="s">
        <v>1742</v>
      </c>
      <c r="S208" s="55" t="s">
        <v>171</v>
      </c>
      <c r="T208" s="91" t="s">
        <v>404</v>
      </c>
      <c r="U208" s="94">
        <v>40588</v>
      </c>
      <c r="V208" s="91" t="s">
        <v>404</v>
      </c>
      <c r="W208" s="80">
        <v>40739</v>
      </c>
      <c r="X208" s="74"/>
      <c r="Y208" s="28"/>
      <c r="Z208" s="9"/>
      <c r="AA208" s="24" t="s">
        <v>393</v>
      </c>
      <c r="AB208" s="28">
        <v>40690</v>
      </c>
      <c r="AC208" s="69"/>
    </row>
    <row r="209" spans="1:29" ht="14.25" customHeight="1" x14ac:dyDescent="0.4">
      <c r="B209" s="24">
        <v>40701</v>
      </c>
      <c r="C209" s="24">
        <v>40701</v>
      </c>
      <c r="D209" s="24">
        <v>40701</v>
      </c>
      <c r="E209" s="24">
        <v>40701</v>
      </c>
      <c r="F209" s="24" t="s">
        <v>393</v>
      </c>
      <c r="G209" s="24">
        <v>40708</v>
      </c>
      <c r="H209" s="37">
        <v>393</v>
      </c>
      <c r="I209" s="23" t="s">
        <v>2004</v>
      </c>
      <c r="J209" s="37">
        <v>7</v>
      </c>
      <c r="K209" s="24" t="s">
        <v>412</v>
      </c>
      <c r="L209" s="24" t="s">
        <v>2002</v>
      </c>
      <c r="M209" s="24">
        <v>40410</v>
      </c>
      <c r="N209" s="22" t="s">
        <v>674</v>
      </c>
      <c r="O209" s="4">
        <v>9110331</v>
      </c>
      <c r="P209" s="22">
        <v>1020</v>
      </c>
      <c r="Q209" s="22">
        <v>50</v>
      </c>
      <c r="R209" s="22">
        <v>0</v>
      </c>
      <c r="S209" s="102" t="s">
        <v>427</v>
      </c>
      <c r="T209" s="132" t="s">
        <v>404</v>
      </c>
      <c r="U209" s="94">
        <v>40780</v>
      </c>
      <c r="V209" s="91" t="s">
        <v>404</v>
      </c>
      <c r="W209" s="92">
        <v>40815</v>
      </c>
      <c r="X209" s="74"/>
      <c r="Y209" s="28"/>
      <c r="Z209" s="9"/>
      <c r="AA209" s="24" t="s">
        <v>393</v>
      </c>
      <c r="AB209" s="28">
        <v>40708</v>
      </c>
      <c r="AC209" s="69"/>
    </row>
    <row r="210" spans="1:29" ht="14.25" customHeight="1" x14ac:dyDescent="0.4">
      <c r="B210" s="24">
        <v>40724</v>
      </c>
      <c r="C210" s="24">
        <v>40724</v>
      </c>
      <c r="D210" s="24">
        <v>40724</v>
      </c>
      <c r="E210" s="24">
        <v>40724</v>
      </c>
      <c r="F210" s="24" t="s">
        <v>393</v>
      </c>
      <c r="G210" s="24">
        <v>40729</v>
      </c>
      <c r="H210" s="37">
        <v>418</v>
      </c>
      <c r="I210" s="23" t="s">
        <v>2004</v>
      </c>
      <c r="J210" s="37">
        <v>32</v>
      </c>
      <c r="K210" s="24" t="s">
        <v>412</v>
      </c>
      <c r="L210" s="24" t="s">
        <v>2003</v>
      </c>
      <c r="M210" s="24">
        <v>40410</v>
      </c>
      <c r="N210" s="22" t="s">
        <v>674</v>
      </c>
      <c r="O210" s="4">
        <v>9110332</v>
      </c>
      <c r="P210" s="22">
        <v>1020</v>
      </c>
      <c r="Q210" s="22">
        <v>50</v>
      </c>
      <c r="R210" s="22">
        <v>0</v>
      </c>
      <c r="S210" s="3" t="s">
        <v>427</v>
      </c>
      <c r="T210" s="3" t="s">
        <v>404</v>
      </c>
      <c r="U210" s="28">
        <v>40780</v>
      </c>
      <c r="V210" s="3" t="s">
        <v>404</v>
      </c>
      <c r="W210" s="28">
        <v>40872</v>
      </c>
      <c r="X210" s="74"/>
      <c r="Y210" s="28"/>
      <c r="Z210" s="28"/>
      <c r="AA210" s="24" t="s">
        <v>393</v>
      </c>
      <c r="AB210" s="28">
        <v>40729</v>
      </c>
      <c r="AC210" s="69"/>
    </row>
    <row r="211" spans="1:29" ht="14.25" customHeight="1" x14ac:dyDescent="0.4">
      <c r="B211" s="24">
        <v>40493</v>
      </c>
      <c r="C211" s="24">
        <v>40493</v>
      </c>
      <c r="D211" s="24">
        <v>40493</v>
      </c>
      <c r="E211" s="24">
        <v>40493</v>
      </c>
      <c r="F211" s="24" t="s">
        <v>393</v>
      </c>
      <c r="G211" s="24">
        <v>40500</v>
      </c>
      <c r="H211" s="37">
        <v>65</v>
      </c>
      <c r="I211" s="23" t="s">
        <v>1997</v>
      </c>
      <c r="J211" s="37" t="e">
        <v>#REF!</v>
      </c>
      <c r="K211" s="24" t="s">
        <v>412</v>
      </c>
      <c r="L211" s="24" t="s">
        <v>1998</v>
      </c>
      <c r="M211" s="24">
        <v>40410</v>
      </c>
      <c r="N211" s="22" t="s">
        <v>674</v>
      </c>
      <c r="O211" s="4">
        <v>9110333</v>
      </c>
      <c r="P211" s="22">
        <v>720</v>
      </c>
      <c r="Q211" s="22">
        <v>42</v>
      </c>
      <c r="R211" s="22">
        <v>0</v>
      </c>
      <c r="S211" s="3" t="s">
        <v>172</v>
      </c>
      <c r="T211" s="3" t="s">
        <v>404</v>
      </c>
      <c r="U211" s="93">
        <v>40662</v>
      </c>
      <c r="V211" s="3" t="s">
        <v>404</v>
      </c>
      <c r="W211" s="28">
        <v>40676</v>
      </c>
      <c r="X211" s="74"/>
      <c r="Y211" s="28"/>
      <c r="Z211" s="28"/>
      <c r="AA211" s="24" t="s">
        <v>393</v>
      </c>
      <c r="AB211" s="28">
        <v>40500</v>
      </c>
      <c r="AC211" s="69"/>
    </row>
    <row r="212" spans="1:29" ht="14.25" customHeight="1" x14ac:dyDescent="0.4">
      <c r="B212" s="24">
        <v>40494</v>
      </c>
      <c r="C212" s="24">
        <v>40494</v>
      </c>
      <c r="D212" s="24">
        <v>40494</v>
      </c>
      <c r="E212" s="24">
        <v>40494</v>
      </c>
      <c r="F212" s="24" t="s">
        <v>393</v>
      </c>
      <c r="G212" s="24">
        <v>40500</v>
      </c>
      <c r="H212" s="37">
        <v>66</v>
      </c>
      <c r="I212" s="23" t="s">
        <v>1997</v>
      </c>
      <c r="J212" s="37" t="e">
        <v>#REF!</v>
      </c>
      <c r="K212" s="24" t="s">
        <v>412</v>
      </c>
      <c r="L212" s="24" t="s">
        <v>1998</v>
      </c>
      <c r="M212" s="24">
        <v>40410</v>
      </c>
      <c r="N212" s="22" t="s">
        <v>674</v>
      </c>
      <c r="O212" s="4">
        <v>9110334</v>
      </c>
      <c r="P212" s="22">
        <v>720</v>
      </c>
      <c r="Q212" s="22">
        <v>42</v>
      </c>
      <c r="R212" s="22">
        <v>0</v>
      </c>
      <c r="S212" s="55" t="s">
        <v>194</v>
      </c>
      <c r="T212" s="91" t="s">
        <v>404</v>
      </c>
      <c r="U212" s="93">
        <v>40662</v>
      </c>
      <c r="V212" s="3" t="s">
        <v>404</v>
      </c>
      <c r="W212" s="28">
        <v>40676</v>
      </c>
      <c r="X212" s="74"/>
      <c r="Y212" s="28"/>
      <c r="Z212" s="9"/>
      <c r="AA212" s="24" t="s">
        <v>393</v>
      </c>
      <c r="AB212" s="28">
        <v>40500</v>
      </c>
      <c r="AC212" s="69"/>
    </row>
    <row r="213" spans="1:29" ht="14.25" customHeight="1" x14ac:dyDescent="0.4">
      <c r="B213" s="24">
        <v>40632</v>
      </c>
      <c r="C213" s="24">
        <v>40632</v>
      </c>
      <c r="D213" s="24">
        <v>40632</v>
      </c>
      <c r="E213" s="24">
        <v>40632</v>
      </c>
      <c r="F213" s="24" t="s">
        <v>393</v>
      </c>
      <c r="G213" s="24">
        <v>40637</v>
      </c>
      <c r="H213" s="37">
        <v>262</v>
      </c>
      <c r="I213" s="23" t="s">
        <v>2001</v>
      </c>
      <c r="J213" s="37">
        <v>64</v>
      </c>
      <c r="K213" s="24" t="s">
        <v>412</v>
      </c>
      <c r="L213" s="24" t="s">
        <v>2001</v>
      </c>
      <c r="M213" s="24">
        <v>40410</v>
      </c>
      <c r="N213" s="22" t="s">
        <v>674</v>
      </c>
      <c r="O213" s="4">
        <v>9110335</v>
      </c>
      <c r="P213" s="22">
        <v>720</v>
      </c>
      <c r="Q213" s="22">
        <v>42</v>
      </c>
      <c r="R213" s="22">
        <v>0</v>
      </c>
      <c r="S213" s="102" t="s">
        <v>2057</v>
      </c>
      <c r="T213" s="132" t="s">
        <v>404</v>
      </c>
      <c r="U213" s="28">
        <v>40884</v>
      </c>
      <c r="V213" s="3" t="s">
        <v>404</v>
      </c>
      <c r="W213" s="28">
        <v>40884</v>
      </c>
      <c r="X213" s="74"/>
      <c r="Y213" s="28"/>
      <c r="Z213" s="28"/>
      <c r="AA213" s="24" t="s">
        <v>393</v>
      </c>
      <c r="AB213" s="28">
        <v>40637</v>
      </c>
      <c r="AC213" s="69"/>
    </row>
    <row r="214" spans="1:29" ht="14.25" customHeight="1" x14ac:dyDescent="0.4">
      <c r="B214" s="24">
        <v>40632</v>
      </c>
      <c r="C214" s="24">
        <v>40632</v>
      </c>
      <c r="D214" s="24">
        <v>40632</v>
      </c>
      <c r="E214" s="24">
        <v>40632</v>
      </c>
      <c r="F214" s="24" t="s">
        <v>393</v>
      </c>
      <c r="G214" s="24">
        <v>40638</v>
      </c>
      <c r="H214" s="37">
        <v>263</v>
      </c>
      <c r="I214" s="23" t="s">
        <v>2001</v>
      </c>
      <c r="J214" s="37">
        <v>65</v>
      </c>
      <c r="K214" s="24" t="s">
        <v>412</v>
      </c>
      <c r="L214" s="24" t="s">
        <v>2001</v>
      </c>
      <c r="M214" s="24">
        <v>40410</v>
      </c>
      <c r="N214" s="22" t="s">
        <v>674</v>
      </c>
      <c r="O214" s="4">
        <v>9110336</v>
      </c>
      <c r="P214" s="22">
        <v>720</v>
      </c>
      <c r="Q214" s="22">
        <v>42</v>
      </c>
      <c r="R214" s="22">
        <v>0</v>
      </c>
      <c r="S214" s="55"/>
      <c r="T214" s="132" t="s">
        <v>404</v>
      </c>
      <c r="U214" s="28">
        <v>40893</v>
      </c>
      <c r="V214" s="3" t="s">
        <v>404</v>
      </c>
      <c r="W214" s="28">
        <v>40893</v>
      </c>
      <c r="X214" s="74"/>
      <c r="Y214" s="28"/>
      <c r="Z214" s="28"/>
      <c r="AA214" s="24" t="s">
        <v>393</v>
      </c>
      <c r="AB214" s="28">
        <v>40638</v>
      </c>
      <c r="AC214" s="69"/>
    </row>
    <row r="215" spans="1:29" ht="14.25" customHeight="1" x14ac:dyDescent="0.4">
      <c r="B215" s="24">
        <v>40660</v>
      </c>
      <c r="C215" s="24">
        <v>40660</v>
      </c>
      <c r="D215" s="24">
        <v>40660</v>
      </c>
      <c r="E215" s="24">
        <v>40660</v>
      </c>
      <c r="F215" s="24" t="s">
        <v>393</v>
      </c>
      <c r="G215" s="24">
        <v>40669</v>
      </c>
      <c r="H215" s="37">
        <v>322</v>
      </c>
      <c r="I215" s="23" t="s">
        <v>2002</v>
      </c>
      <c r="J215" s="37">
        <v>55</v>
      </c>
      <c r="K215" s="24" t="s">
        <v>412</v>
      </c>
      <c r="L215" s="24" t="s">
        <v>2001</v>
      </c>
      <c r="M215" s="24">
        <v>40410</v>
      </c>
      <c r="N215" s="22" t="s">
        <v>674</v>
      </c>
      <c r="O215" s="4">
        <v>9110337</v>
      </c>
      <c r="P215" s="22">
        <v>720</v>
      </c>
      <c r="Q215" s="22">
        <v>42</v>
      </c>
      <c r="R215" s="22">
        <v>0</v>
      </c>
      <c r="S215" s="102" t="s">
        <v>922</v>
      </c>
      <c r="T215" s="132" t="s">
        <v>404</v>
      </c>
      <c r="U215" s="28">
        <v>40814</v>
      </c>
      <c r="V215" s="3" t="s">
        <v>404</v>
      </c>
      <c r="W215" s="28">
        <v>40814</v>
      </c>
      <c r="X215" s="74"/>
      <c r="Y215" s="28"/>
      <c r="Z215" s="9"/>
      <c r="AA215" s="24" t="s">
        <v>393</v>
      </c>
      <c r="AB215" s="28">
        <v>40669</v>
      </c>
      <c r="AC215" s="69"/>
    </row>
    <row r="216" spans="1:29" ht="14.25" customHeight="1" x14ac:dyDescent="0.4">
      <c r="B216" s="24">
        <v>40673</v>
      </c>
      <c r="C216" s="24">
        <v>40673</v>
      </c>
      <c r="D216" s="24">
        <v>40673</v>
      </c>
      <c r="E216" s="24">
        <v>40673</v>
      </c>
      <c r="F216" s="24" t="s">
        <v>393</v>
      </c>
      <c r="G216" s="24">
        <v>40676</v>
      </c>
      <c r="H216" s="37">
        <v>347</v>
      </c>
      <c r="I216" s="23" t="s">
        <v>2003</v>
      </c>
      <c r="J216" s="37">
        <v>17</v>
      </c>
      <c r="K216" s="24" t="s">
        <v>412</v>
      </c>
      <c r="L216" s="24" t="s">
        <v>2001</v>
      </c>
      <c r="M216" s="24">
        <v>40410</v>
      </c>
      <c r="N216" s="22" t="s">
        <v>674</v>
      </c>
      <c r="O216" s="4">
        <v>9110338</v>
      </c>
      <c r="P216" s="22">
        <v>720</v>
      </c>
      <c r="Q216" s="22">
        <v>42</v>
      </c>
      <c r="R216" s="22">
        <v>0</v>
      </c>
      <c r="S216" s="55" t="s">
        <v>195</v>
      </c>
      <c r="T216" s="91" t="s">
        <v>404</v>
      </c>
      <c r="U216" s="93">
        <v>40662</v>
      </c>
      <c r="V216" s="3" t="s">
        <v>404</v>
      </c>
      <c r="W216" s="80">
        <v>40739</v>
      </c>
      <c r="X216" s="74"/>
      <c r="Y216" s="28"/>
      <c r="Z216" s="9"/>
      <c r="AA216" s="24" t="s">
        <v>393</v>
      </c>
      <c r="AB216" s="28">
        <v>40676</v>
      </c>
      <c r="AC216" s="69"/>
    </row>
    <row r="217" spans="1:29" ht="14.25" customHeight="1" x14ac:dyDescent="0.4">
      <c r="B217" s="24">
        <v>40633</v>
      </c>
      <c r="C217" s="24">
        <v>40633</v>
      </c>
      <c r="D217" s="24">
        <v>40633</v>
      </c>
      <c r="E217" s="24">
        <v>40633</v>
      </c>
      <c r="F217" s="24" t="s">
        <v>393</v>
      </c>
      <c r="G217" s="24">
        <v>40638</v>
      </c>
      <c r="H217" s="37">
        <v>266</v>
      </c>
      <c r="I217" s="23" t="s">
        <v>2001</v>
      </c>
      <c r="J217" s="37">
        <v>68</v>
      </c>
      <c r="K217" s="24" t="s">
        <v>412</v>
      </c>
      <c r="L217" s="24" t="s">
        <v>2001</v>
      </c>
      <c r="M217" s="24">
        <v>40410</v>
      </c>
      <c r="N217" s="22" t="s">
        <v>674</v>
      </c>
      <c r="O217" s="4">
        <v>9110339</v>
      </c>
      <c r="P217" s="22">
        <v>720</v>
      </c>
      <c r="Q217" s="22">
        <v>42</v>
      </c>
      <c r="R217" s="22">
        <v>0</v>
      </c>
      <c r="S217" s="55" t="s">
        <v>196</v>
      </c>
      <c r="T217" s="91" t="s">
        <v>404</v>
      </c>
      <c r="U217" s="93">
        <v>40662</v>
      </c>
      <c r="V217" s="3" t="s">
        <v>404</v>
      </c>
      <c r="W217" s="28">
        <v>40676</v>
      </c>
      <c r="X217" s="74"/>
      <c r="Y217" s="28"/>
      <c r="Z217" s="28"/>
      <c r="AA217" s="24" t="s">
        <v>393</v>
      </c>
      <c r="AB217" s="28">
        <v>40638</v>
      </c>
      <c r="AC217" s="69"/>
    </row>
    <row r="218" spans="1:29" ht="14.25" customHeight="1" x14ac:dyDescent="0.4">
      <c r="B218" s="24">
        <v>40633</v>
      </c>
      <c r="C218" s="24">
        <v>40633</v>
      </c>
      <c r="D218" s="24">
        <v>40633</v>
      </c>
      <c r="E218" s="24">
        <v>40633</v>
      </c>
      <c r="F218" s="24" t="s">
        <v>393</v>
      </c>
      <c r="G218" s="24">
        <v>40639</v>
      </c>
      <c r="H218" s="37">
        <v>267</v>
      </c>
      <c r="I218" s="23" t="s">
        <v>2001</v>
      </c>
      <c r="J218" s="37">
        <v>69</v>
      </c>
      <c r="K218" s="24" t="s">
        <v>412</v>
      </c>
      <c r="L218" s="24" t="s">
        <v>2001</v>
      </c>
      <c r="M218" s="24">
        <v>40410</v>
      </c>
      <c r="N218" s="22" t="s">
        <v>674</v>
      </c>
      <c r="O218" s="4">
        <v>9110340</v>
      </c>
      <c r="P218" s="22">
        <v>720</v>
      </c>
      <c r="Q218" s="22">
        <v>42</v>
      </c>
      <c r="R218" s="22">
        <v>0</v>
      </c>
      <c r="S218" s="55"/>
      <c r="T218" s="132" t="s">
        <v>404</v>
      </c>
      <c r="U218" s="28">
        <v>40830</v>
      </c>
      <c r="V218" s="3" t="s">
        <v>404</v>
      </c>
      <c r="W218" s="28">
        <v>40892</v>
      </c>
      <c r="X218" s="74"/>
      <c r="Y218" s="28"/>
      <c r="Z218" s="28"/>
      <c r="AA218" s="24" t="s">
        <v>393</v>
      </c>
      <c r="AB218" s="28">
        <v>40639</v>
      </c>
      <c r="AC218" s="69"/>
    </row>
    <row r="219" spans="1:29" ht="14.25" customHeight="1" x14ac:dyDescent="0.4">
      <c r="B219" s="24">
        <v>40634</v>
      </c>
      <c r="C219" s="24">
        <v>40634</v>
      </c>
      <c r="D219" s="24">
        <v>40634</v>
      </c>
      <c r="E219" s="24">
        <v>40634</v>
      </c>
      <c r="F219" s="24" t="s">
        <v>393</v>
      </c>
      <c r="G219" s="24">
        <v>40637</v>
      </c>
      <c r="H219" s="37">
        <v>269</v>
      </c>
      <c r="I219" s="23" t="s">
        <v>2002</v>
      </c>
      <c r="J219" s="37">
        <v>2</v>
      </c>
      <c r="K219" s="24" t="s">
        <v>412</v>
      </c>
      <c r="L219" s="24" t="s">
        <v>2002</v>
      </c>
      <c r="M219" s="24">
        <v>40410</v>
      </c>
      <c r="N219" s="22" t="s">
        <v>674</v>
      </c>
      <c r="O219" s="4">
        <v>9110341</v>
      </c>
      <c r="P219" s="22">
        <v>720</v>
      </c>
      <c r="Q219" s="22">
        <v>42</v>
      </c>
      <c r="R219" s="22" t="s">
        <v>2863</v>
      </c>
      <c r="S219" s="34" t="s">
        <v>2128</v>
      </c>
      <c r="T219" s="91" t="s">
        <v>404</v>
      </c>
      <c r="U219" s="28">
        <v>40574</v>
      </c>
      <c r="V219" s="3" t="s">
        <v>404</v>
      </c>
      <c r="W219" s="80">
        <v>40739</v>
      </c>
      <c r="X219" s="74"/>
      <c r="Y219" s="28"/>
      <c r="Z219" s="9"/>
      <c r="AA219" s="24" t="s">
        <v>393</v>
      </c>
      <c r="AB219" s="28">
        <v>40637</v>
      </c>
      <c r="AC219" s="69"/>
    </row>
    <row r="220" spans="1:29" ht="14.25" customHeight="1" x14ac:dyDescent="0.4">
      <c r="B220" s="24">
        <v>40659</v>
      </c>
      <c r="C220" s="24">
        <v>40659</v>
      </c>
      <c r="D220" s="24">
        <v>40659</v>
      </c>
      <c r="E220" s="24">
        <v>40659</v>
      </c>
      <c r="F220" s="24" t="s">
        <v>393</v>
      </c>
      <c r="G220" s="24">
        <v>40661</v>
      </c>
      <c r="H220" s="37">
        <v>319</v>
      </c>
      <c r="I220" s="23" t="s">
        <v>2002</v>
      </c>
      <c r="J220" s="37">
        <v>52</v>
      </c>
      <c r="K220" s="24" t="s">
        <v>412</v>
      </c>
      <c r="L220" s="24" t="s">
        <v>2002</v>
      </c>
      <c r="M220" s="24">
        <v>40410</v>
      </c>
      <c r="N220" s="22" t="s">
        <v>674</v>
      </c>
      <c r="O220" s="4">
        <v>9110342</v>
      </c>
      <c r="P220" s="22">
        <v>720</v>
      </c>
      <c r="Q220" s="22">
        <v>42</v>
      </c>
      <c r="R220" s="22" t="s">
        <v>1087</v>
      </c>
      <c r="S220" s="55" t="s">
        <v>1143</v>
      </c>
      <c r="T220" s="132" t="s">
        <v>404</v>
      </c>
      <c r="U220" s="28">
        <v>40832</v>
      </c>
      <c r="V220" s="3" t="s">
        <v>404</v>
      </c>
      <c r="W220" s="28">
        <v>40832</v>
      </c>
      <c r="X220" s="74"/>
      <c r="Y220" s="28"/>
      <c r="Z220" s="9"/>
      <c r="AA220" s="24" t="s">
        <v>393</v>
      </c>
      <c r="AB220" s="28">
        <v>40661</v>
      </c>
      <c r="AC220" s="69"/>
    </row>
    <row r="221" spans="1:29" ht="14.25" customHeight="1" x14ac:dyDescent="0.4">
      <c r="A221" s="4"/>
      <c r="B221" s="24">
        <v>40689</v>
      </c>
      <c r="C221" s="24">
        <v>40689</v>
      </c>
      <c r="D221" s="24">
        <v>40689</v>
      </c>
      <c r="E221" s="24">
        <v>40689</v>
      </c>
      <c r="F221" s="24" t="s">
        <v>393</v>
      </c>
      <c r="G221" s="24">
        <v>40694</v>
      </c>
      <c r="H221" s="37">
        <v>381</v>
      </c>
      <c r="I221" s="23" t="s">
        <v>2003</v>
      </c>
      <c r="J221" s="37">
        <v>51</v>
      </c>
      <c r="K221" s="24" t="s">
        <v>412</v>
      </c>
      <c r="L221" s="24" t="s">
        <v>2002</v>
      </c>
      <c r="M221" s="24">
        <v>40410</v>
      </c>
      <c r="N221" s="22" t="s">
        <v>674</v>
      </c>
      <c r="O221" s="4">
        <v>9110343</v>
      </c>
      <c r="P221" s="22">
        <v>720</v>
      </c>
      <c r="Q221" s="22">
        <v>50</v>
      </c>
      <c r="R221" s="22">
        <v>0</v>
      </c>
      <c r="S221" s="55" t="s">
        <v>197</v>
      </c>
      <c r="T221" s="91" t="s">
        <v>404</v>
      </c>
      <c r="U221" s="92">
        <v>40627</v>
      </c>
      <c r="V221" s="91" t="s">
        <v>404</v>
      </c>
      <c r="W221" s="80">
        <v>40739</v>
      </c>
      <c r="X221" s="74"/>
      <c r="Y221" s="28"/>
      <c r="Z221" s="9"/>
      <c r="AA221" s="24" t="s">
        <v>393</v>
      </c>
      <c r="AB221" s="28">
        <v>40694</v>
      </c>
      <c r="AC221" s="69"/>
    </row>
    <row r="222" spans="1:29" s="6" customFormat="1" ht="14.25" customHeight="1" x14ac:dyDescent="0.4">
      <c r="A222"/>
      <c r="B222" s="24">
        <v>40646</v>
      </c>
      <c r="C222" s="24">
        <v>40646</v>
      </c>
      <c r="D222" s="24">
        <v>40646</v>
      </c>
      <c r="E222" s="24">
        <v>40646</v>
      </c>
      <c r="F222" s="24" t="s">
        <v>393</v>
      </c>
      <c r="G222" s="24">
        <v>40654</v>
      </c>
      <c r="H222" s="37">
        <v>293</v>
      </c>
      <c r="I222" s="23" t="s">
        <v>2002</v>
      </c>
      <c r="J222" s="37">
        <v>26</v>
      </c>
      <c r="K222" s="24" t="s">
        <v>412</v>
      </c>
      <c r="L222" s="24" t="s">
        <v>2003</v>
      </c>
      <c r="M222" s="24">
        <v>40410</v>
      </c>
      <c r="N222" s="22" t="s">
        <v>674</v>
      </c>
      <c r="O222" s="4">
        <v>9110344</v>
      </c>
      <c r="P222" s="22">
        <v>720</v>
      </c>
      <c r="Q222" s="22">
        <v>42</v>
      </c>
      <c r="R222" s="22">
        <v>0</v>
      </c>
      <c r="S222" s="102" t="s">
        <v>427</v>
      </c>
      <c r="T222" s="132" t="s">
        <v>404</v>
      </c>
      <c r="U222" s="94">
        <v>40780</v>
      </c>
      <c r="V222" s="91" t="s">
        <v>404</v>
      </c>
      <c r="W222" s="92">
        <v>40814</v>
      </c>
      <c r="X222" s="74"/>
      <c r="Y222" s="28"/>
      <c r="Z222" s="9"/>
      <c r="AA222" s="24" t="s">
        <v>393</v>
      </c>
      <c r="AB222" s="28">
        <v>40654</v>
      </c>
      <c r="AC222" s="69"/>
    </row>
    <row r="223" spans="1:29" ht="14.25" customHeight="1" x14ac:dyDescent="0.4">
      <c r="A223" s="4"/>
      <c r="B223" s="24">
        <v>40646</v>
      </c>
      <c r="C223" s="24">
        <v>40646</v>
      </c>
      <c r="D223" s="24">
        <v>40646</v>
      </c>
      <c r="E223" s="24">
        <v>40646</v>
      </c>
      <c r="F223" s="24" t="s">
        <v>393</v>
      </c>
      <c r="G223" s="24">
        <v>40651</v>
      </c>
      <c r="H223" s="37">
        <v>294</v>
      </c>
      <c r="I223" s="23" t="s">
        <v>2002</v>
      </c>
      <c r="J223" s="37">
        <v>27</v>
      </c>
      <c r="K223" s="24" t="s">
        <v>412</v>
      </c>
      <c r="L223" s="24" t="s">
        <v>2003</v>
      </c>
      <c r="M223" s="24">
        <v>40410</v>
      </c>
      <c r="N223" s="22" t="s">
        <v>674</v>
      </c>
      <c r="O223" s="4">
        <v>9110345</v>
      </c>
      <c r="P223" s="22">
        <v>720</v>
      </c>
      <c r="Q223" s="22">
        <v>42</v>
      </c>
      <c r="R223" s="22">
        <v>0</v>
      </c>
      <c r="S223" s="55"/>
      <c r="T223" s="132" t="s">
        <v>404</v>
      </c>
      <c r="U223" s="94">
        <v>40893</v>
      </c>
      <c r="V223" s="91" t="s">
        <v>404</v>
      </c>
      <c r="W223" s="164">
        <v>41014</v>
      </c>
      <c r="X223" s="74"/>
      <c r="Y223" s="28"/>
      <c r="Z223" s="9"/>
      <c r="AA223" s="24" t="s">
        <v>393</v>
      </c>
      <c r="AB223" s="28">
        <v>40651</v>
      </c>
      <c r="AC223" s="69"/>
    </row>
    <row r="224" spans="1:29" s="6" customFormat="1" ht="14.25" customHeight="1" x14ac:dyDescent="0.4">
      <c r="A224" s="4"/>
      <c r="B224" s="24">
        <v>40647</v>
      </c>
      <c r="C224" s="24">
        <v>40647</v>
      </c>
      <c r="D224" s="24">
        <v>40647</v>
      </c>
      <c r="E224" s="24">
        <v>40647</v>
      </c>
      <c r="F224" s="24" t="s">
        <v>393</v>
      </c>
      <c r="G224" s="24">
        <v>40651</v>
      </c>
      <c r="H224" s="37">
        <v>297</v>
      </c>
      <c r="I224" s="23" t="s">
        <v>2002</v>
      </c>
      <c r="J224" s="37">
        <v>30</v>
      </c>
      <c r="K224" s="24" t="s">
        <v>412</v>
      </c>
      <c r="L224" s="24" t="s">
        <v>2003</v>
      </c>
      <c r="M224" s="24">
        <v>40410</v>
      </c>
      <c r="N224" s="22" t="s">
        <v>674</v>
      </c>
      <c r="O224" s="4">
        <v>9110346</v>
      </c>
      <c r="P224" s="22">
        <v>720</v>
      </c>
      <c r="Q224" s="22">
        <v>42</v>
      </c>
      <c r="R224" s="22">
        <v>0</v>
      </c>
      <c r="S224" s="55"/>
      <c r="T224" s="3" t="s">
        <v>404</v>
      </c>
      <c r="U224" s="43">
        <v>40893</v>
      </c>
      <c r="V224" s="3" t="s">
        <v>404</v>
      </c>
      <c r="W224" s="164">
        <v>41014</v>
      </c>
      <c r="X224" s="74"/>
      <c r="Y224" s="28"/>
      <c r="Z224" s="28"/>
      <c r="AA224" s="24" t="s">
        <v>393</v>
      </c>
      <c r="AB224" s="28">
        <v>40651</v>
      </c>
      <c r="AC224" s="69"/>
    </row>
    <row r="225" spans="1:29" ht="14.25" customHeight="1" x14ac:dyDescent="0.4">
      <c r="A225" s="4"/>
      <c r="B225" s="22">
        <v>0</v>
      </c>
      <c r="C225" s="22" t="s">
        <v>2165</v>
      </c>
      <c r="D225" s="22">
        <v>0</v>
      </c>
      <c r="E225" s="24">
        <v>40391</v>
      </c>
      <c r="F225" s="24" t="s">
        <v>393</v>
      </c>
      <c r="G225" s="24">
        <v>0</v>
      </c>
      <c r="H225" s="37">
        <v>425</v>
      </c>
      <c r="I225" s="23" t="s">
        <v>2004</v>
      </c>
      <c r="J225" s="37">
        <v>39</v>
      </c>
      <c r="K225" s="24" t="s">
        <v>412</v>
      </c>
      <c r="L225" s="24">
        <v>0</v>
      </c>
      <c r="M225" s="24">
        <v>40374</v>
      </c>
      <c r="N225" s="22" t="s">
        <v>592</v>
      </c>
      <c r="O225" s="4">
        <v>9110028</v>
      </c>
      <c r="P225" s="22">
        <v>1220</v>
      </c>
      <c r="Q225" s="22">
        <v>50</v>
      </c>
      <c r="R225" s="22">
        <v>0</v>
      </c>
      <c r="S225" s="55" t="s">
        <v>427</v>
      </c>
      <c r="T225" s="55" t="s">
        <v>404</v>
      </c>
      <c r="U225" s="94">
        <v>40512</v>
      </c>
      <c r="V225" s="91" t="s">
        <v>404</v>
      </c>
      <c r="W225" s="92">
        <v>40676</v>
      </c>
      <c r="X225" s="74"/>
      <c r="Y225" s="28"/>
      <c r="Z225" s="9"/>
      <c r="AA225" s="24" t="s">
        <v>393</v>
      </c>
      <c r="AB225" s="28">
        <v>0</v>
      </c>
      <c r="AC225" s="69"/>
    </row>
    <row r="226" spans="1:29" ht="14.25" customHeight="1" x14ac:dyDescent="0.4">
      <c r="A226" s="4"/>
      <c r="B226" s="24">
        <v>40688</v>
      </c>
      <c r="C226" s="24">
        <v>40688</v>
      </c>
      <c r="D226" s="24">
        <v>40688</v>
      </c>
      <c r="E226" s="24">
        <v>40688</v>
      </c>
      <c r="F226" s="24" t="s">
        <v>393</v>
      </c>
      <c r="G226" s="24">
        <v>40700</v>
      </c>
      <c r="H226" s="37">
        <v>376</v>
      </c>
      <c r="I226" s="23" t="s">
        <v>2003</v>
      </c>
      <c r="J226" s="37">
        <v>46</v>
      </c>
      <c r="K226" s="24" t="s">
        <v>412</v>
      </c>
      <c r="L226" s="24">
        <v>0</v>
      </c>
      <c r="M226" s="24">
        <v>40518</v>
      </c>
      <c r="N226" s="22" t="s">
        <v>592</v>
      </c>
      <c r="O226" s="4">
        <v>9110396</v>
      </c>
      <c r="P226" s="22">
        <v>1220</v>
      </c>
      <c r="Q226" s="22">
        <v>50</v>
      </c>
      <c r="R226" s="22" t="s">
        <v>2864</v>
      </c>
      <c r="S226" s="55" t="s">
        <v>427</v>
      </c>
      <c r="T226" s="91" t="s">
        <v>404</v>
      </c>
      <c r="U226" s="94">
        <v>40518</v>
      </c>
      <c r="V226" s="91" t="s">
        <v>404</v>
      </c>
      <c r="W226" s="80">
        <v>40739</v>
      </c>
      <c r="X226" s="74">
        <v>0</v>
      </c>
      <c r="Y226" s="28"/>
      <c r="Z226" s="9"/>
      <c r="AA226" s="24" t="s">
        <v>393</v>
      </c>
      <c r="AB226" s="28">
        <v>40700</v>
      </c>
      <c r="AC226" s="69"/>
    </row>
    <row r="227" spans="1:29" ht="14.25" customHeight="1" x14ac:dyDescent="0.4">
      <c r="B227" s="24">
        <v>40688</v>
      </c>
      <c r="C227" s="24">
        <v>40688</v>
      </c>
      <c r="D227" s="24">
        <v>40688</v>
      </c>
      <c r="E227" s="24">
        <v>40688</v>
      </c>
      <c r="F227" s="24" t="s">
        <v>393</v>
      </c>
      <c r="G227" s="24">
        <v>40694</v>
      </c>
      <c r="H227" s="37">
        <v>377</v>
      </c>
      <c r="I227" s="23" t="s">
        <v>2003</v>
      </c>
      <c r="J227" s="37">
        <v>47</v>
      </c>
      <c r="K227" s="24" t="s">
        <v>412</v>
      </c>
      <c r="L227" s="24">
        <v>0</v>
      </c>
      <c r="M227" s="24">
        <v>40518</v>
      </c>
      <c r="N227" s="22" t="s">
        <v>592</v>
      </c>
      <c r="O227" s="4">
        <v>9110397</v>
      </c>
      <c r="P227" s="22">
        <v>1220</v>
      </c>
      <c r="Q227" s="22">
        <v>50</v>
      </c>
      <c r="R227" s="22" t="s">
        <v>2865</v>
      </c>
      <c r="S227" s="55" t="s">
        <v>427</v>
      </c>
      <c r="T227" s="91" t="s">
        <v>404</v>
      </c>
      <c r="U227" s="94">
        <v>40587</v>
      </c>
      <c r="V227" s="91" t="s">
        <v>404</v>
      </c>
      <c r="W227" s="80">
        <v>40739</v>
      </c>
      <c r="X227" s="74">
        <v>0</v>
      </c>
      <c r="Y227" s="28"/>
      <c r="Z227" s="9"/>
      <c r="AA227" s="24" t="s">
        <v>393</v>
      </c>
      <c r="AB227" s="28">
        <v>40694</v>
      </c>
      <c r="AC227" s="69"/>
    </row>
    <row r="228" spans="1:29" ht="14.25" customHeight="1" x14ac:dyDescent="0.4">
      <c r="B228" s="22">
        <v>0</v>
      </c>
      <c r="C228" s="22" t="s">
        <v>2165</v>
      </c>
      <c r="D228" s="22">
        <v>0</v>
      </c>
      <c r="E228" s="24">
        <v>40436</v>
      </c>
      <c r="F228" s="24" t="s">
        <v>393</v>
      </c>
      <c r="G228" s="24">
        <v>40451</v>
      </c>
      <c r="H228" s="37">
        <v>12</v>
      </c>
      <c r="I228" s="23" t="e">
        <v>#REF!</v>
      </c>
      <c r="J228" s="37" t="e">
        <v>#REF!</v>
      </c>
      <c r="K228" s="24" t="s">
        <v>550</v>
      </c>
      <c r="L228" s="24" t="s">
        <v>1992</v>
      </c>
      <c r="M228" s="24">
        <v>40403</v>
      </c>
      <c r="N228" s="22" t="s">
        <v>576</v>
      </c>
      <c r="O228" s="4">
        <v>9110187</v>
      </c>
      <c r="P228" s="22">
        <v>720</v>
      </c>
      <c r="Q228" s="22">
        <v>42</v>
      </c>
      <c r="R228" s="22" t="s">
        <v>2866</v>
      </c>
      <c r="S228" s="102" t="s">
        <v>76</v>
      </c>
      <c r="T228" s="91" t="s">
        <v>404</v>
      </c>
      <c r="U228" s="94">
        <v>40611</v>
      </c>
      <c r="V228" s="91"/>
      <c r="W228" s="92"/>
      <c r="Y228" s="28"/>
      <c r="Z228" s="9"/>
      <c r="AA228" s="24" t="s">
        <v>393</v>
      </c>
      <c r="AB228" s="28">
        <v>40451</v>
      </c>
      <c r="AC228" s="69"/>
    </row>
    <row r="229" spans="1:29" ht="14.25" customHeight="1" x14ac:dyDescent="0.4">
      <c r="B229" s="22">
        <v>0</v>
      </c>
      <c r="C229" s="22" t="s">
        <v>2165</v>
      </c>
      <c r="D229" s="22">
        <v>0</v>
      </c>
      <c r="E229" s="24">
        <v>40476</v>
      </c>
      <c r="F229" s="24" t="s">
        <v>393</v>
      </c>
      <c r="G229" s="24">
        <v>40483</v>
      </c>
      <c r="H229" s="37">
        <v>40</v>
      </c>
      <c r="I229" s="23" t="s">
        <v>1993</v>
      </c>
      <c r="J229" s="37" t="e">
        <v>#REF!</v>
      </c>
      <c r="K229" s="24" t="s">
        <v>550</v>
      </c>
      <c r="L229" s="24" t="s">
        <v>1992</v>
      </c>
      <c r="M229" s="24">
        <v>40403</v>
      </c>
      <c r="N229" s="22" t="s">
        <v>576</v>
      </c>
      <c r="O229" s="4">
        <v>9110188</v>
      </c>
      <c r="P229" s="22">
        <v>720</v>
      </c>
      <c r="Q229" s="22">
        <v>42</v>
      </c>
      <c r="R229" s="22" t="s">
        <v>2867</v>
      </c>
      <c r="S229" s="102" t="s">
        <v>2132</v>
      </c>
      <c r="T229" s="91" t="s">
        <v>404</v>
      </c>
      <c r="U229" s="94">
        <v>40581</v>
      </c>
      <c r="V229" s="91"/>
      <c r="W229" s="94"/>
      <c r="X229" s="74"/>
      <c r="Y229" s="28"/>
      <c r="Z229" s="28"/>
      <c r="AA229" s="24" t="s">
        <v>393</v>
      </c>
      <c r="AB229" s="28">
        <v>40483</v>
      </c>
      <c r="AC229" s="69"/>
    </row>
    <row r="230" spans="1:29" ht="14.25" customHeight="1" x14ac:dyDescent="0.4">
      <c r="B230" s="24">
        <v>40473</v>
      </c>
      <c r="C230" s="24">
        <v>40473</v>
      </c>
      <c r="D230" s="24">
        <v>40473</v>
      </c>
      <c r="E230" s="24">
        <v>40473</v>
      </c>
      <c r="F230" s="24" t="s">
        <v>393</v>
      </c>
      <c r="G230" s="24">
        <v>40485</v>
      </c>
      <c r="H230" s="37">
        <v>39</v>
      </c>
      <c r="I230" s="23" t="e">
        <v>#REF!</v>
      </c>
      <c r="J230" s="37" t="e">
        <v>#REF!</v>
      </c>
      <c r="K230" s="24" t="s">
        <v>550</v>
      </c>
      <c r="L230" s="24" t="s">
        <v>1992</v>
      </c>
      <c r="M230" s="24">
        <v>40403</v>
      </c>
      <c r="N230" s="22" t="s">
        <v>576</v>
      </c>
      <c r="O230" s="4">
        <v>9110209</v>
      </c>
      <c r="P230" s="22">
        <v>1020</v>
      </c>
      <c r="Q230" s="22">
        <v>42</v>
      </c>
      <c r="R230" s="22" t="s">
        <v>2868</v>
      </c>
      <c r="S230" s="4" t="s">
        <v>2134</v>
      </c>
      <c r="T230" s="4" t="s">
        <v>404</v>
      </c>
      <c r="U230" s="57">
        <v>40584</v>
      </c>
      <c r="V230" s="4"/>
      <c r="W230" s="59"/>
      <c r="X230" s="74"/>
      <c r="Y230" s="28"/>
      <c r="Z230" s="9"/>
      <c r="AA230" s="24" t="s">
        <v>393</v>
      </c>
      <c r="AB230" s="28">
        <v>40485</v>
      </c>
      <c r="AC230" s="69"/>
    </row>
    <row r="231" spans="1:29" ht="14.25" customHeight="1" x14ac:dyDescent="0.4">
      <c r="B231" s="24">
        <v>40436</v>
      </c>
      <c r="C231" s="24">
        <v>40436</v>
      </c>
      <c r="D231" s="24">
        <v>40436</v>
      </c>
      <c r="E231" s="24">
        <v>40436</v>
      </c>
      <c r="F231" s="24" t="s">
        <v>393</v>
      </c>
      <c r="G231" s="24">
        <v>40451</v>
      </c>
      <c r="H231" s="37">
        <v>11</v>
      </c>
      <c r="I231" s="23" t="s">
        <v>1992</v>
      </c>
      <c r="J231" s="37" t="e">
        <v>#REF!</v>
      </c>
      <c r="K231" s="24" t="s">
        <v>550</v>
      </c>
      <c r="L231" s="24" t="s">
        <v>1992</v>
      </c>
      <c r="M231" s="24">
        <v>40403</v>
      </c>
      <c r="N231" s="22" t="s">
        <v>576</v>
      </c>
      <c r="O231" s="4">
        <v>9110210</v>
      </c>
      <c r="P231" s="22">
        <v>1020</v>
      </c>
      <c r="Q231" s="22">
        <v>50</v>
      </c>
      <c r="R231" s="22" t="s">
        <v>2869</v>
      </c>
      <c r="S231" s="4" t="s">
        <v>1910</v>
      </c>
      <c r="T231" s="4" t="s">
        <v>404</v>
      </c>
      <c r="U231" s="57">
        <v>40431</v>
      </c>
      <c r="V231" s="4"/>
      <c r="W231" s="59"/>
      <c r="X231" s="74"/>
      <c r="Y231" s="28"/>
      <c r="Z231" s="9"/>
      <c r="AA231" s="24" t="s">
        <v>393</v>
      </c>
      <c r="AB231" s="28">
        <v>40451</v>
      </c>
      <c r="AC231" s="69"/>
    </row>
    <row r="232" spans="1:29" ht="14.25" customHeight="1" x14ac:dyDescent="0.4">
      <c r="A232" s="4"/>
      <c r="B232" s="22">
        <v>0</v>
      </c>
      <c r="C232" s="22" t="s">
        <v>2165</v>
      </c>
      <c r="D232" s="22">
        <v>0</v>
      </c>
      <c r="E232" s="24">
        <v>40492</v>
      </c>
      <c r="F232" s="24" t="s">
        <v>393</v>
      </c>
      <c r="G232" s="24">
        <v>40511</v>
      </c>
      <c r="H232" s="37">
        <v>63</v>
      </c>
      <c r="I232" s="23" t="s">
        <v>1997</v>
      </c>
      <c r="J232" s="37" t="e">
        <v>#REF!</v>
      </c>
      <c r="K232" s="24" t="s">
        <v>550</v>
      </c>
      <c r="L232" s="24" t="s">
        <v>1993</v>
      </c>
      <c r="M232" s="24">
        <v>40403</v>
      </c>
      <c r="N232" s="22" t="s">
        <v>576</v>
      </c>
      <c r="O232" s="4">
        <v>9110189</v>
      </c>
      <c r="P232" s="22">
        <v>720</v>
      </c>
      <c r="Q232" s="22">
        <v>42</v>
      </c>
      <c r="R232" s="22" t="s">
        <v>2870</v>
      </c>
      <c r="S232" s="4" t="s">
        <v>2133</v>
      </c>
      <c r="T232" s="4" t="s">
        <v>404</v>
      </c>
      <c r="U232" s="44">
        <v>40581</v>
      </c>
      <c r="V232" s="38"/>
      <c r="W232" s="9"/>
      <c r="X232" s="74"/>
      <c r="Y232" s="28"/>
      <c r="Z232" s="9"/>
      <c r="AA232" s="24" t="s">
        <v>393</v>
      </c>
      <c r="AB232" s="28">
        <v>40511</v>
      </c>
      <c r="AC232" s="69"/>
    </row>
    <row r="233" spans="1:29" ht="14.25" customHeight="1" x14ac:dyDescent="0.4">
      <c r="A233" s="4"/>
      <c r="B233" s="22">
        <v>0</v>
      </c>
      <c r="C233" s="22" t="s">
        <v>2165</v>
      </c>
      <c r="D233" s="22">
        <v>0</v>
      </c>
      <c r="E233" s="24">
        <v>40492</v>
      </c>
      <c r="F233" s="24" t="s">
        <v>393</v>
      </c>
      <c r="G233" s="24">
        <v>40497</v>
      </c>
      <c r="H233" s="37">
        <v>64</v>
      </c>
      <c r="I233" s="23" t="s">
        <v>1997</v>
      </c>
      <c r="J233" s="37" t="e">
        <v>#REF!</v>
      </c>
      <c r="K233" s="24" t="s">
        <v>550</v>
      </c>
      <c r="L233" s="24" t="s">
        <v>1993</v>
      </c>
      <c r="M233" s="24">
        <v>40403</v>
      </c>
      <c r="N233" s="22" t="s">
        <v>576</v>
      </c>
      <c r="O233" s="4">
        <v>9110190</v>
      </c>
      <c r="P233" s="22">
        <v>720</v>
      </c>
      <c r="Q233" s="22">
        <v>42</v>
      </c>
      <c r="R233" s="22" t="s">
        <v>2871</v>
      </c>
      <c r="S233" s="55" t="s">
        <v>1930</v>
      </c>
      <c r="T233" s="91" t="s">
        <v>404</v>
      </c>
      <c r="U233" s="92">
        <v>40448</v>
      </c>
      <c r="V233" s="91"/>
      <c r="W233" s="92"/>
      <c r="X233" s="74"/>
      <c r="Y233" s="28"/>
      <c r="Z233" s="28"/>
      <c r="AA233" s="24" t="s">
        <v>393</v>
      </c>
      <c r="AB233" s="28">
        <v>40497</v>
      </c>
      <c r="AC233" s="69"/>
    </row>
    <row r="234" spans="1:29" s="4" customFormat="1" ht="14.25" customHeight="1" x14ac:dyDescent="0.4">
      <c r="B234" s="22">
        <v>0</v>
      </c>
      <c r="C234" s="22" t="s">
        <v>2102</v>
      </c>
      <c r="D234" s="22">
        <v>0</v>
      </c>
      <c r="E234" s="24">
        <v>40490</v>
      </c>
      <c r="F234" s="24" t="s">
        <v>393</v>
      </c>
      <c r="G234" s="24">
        <v>40505</v>
      </c>
      <c r="H234" s="37">
        <v>60</v>
      </c>
      <c r="I234" s="23" t="s">
        <v>1997</v>
      </c>
      <c r="J234" s="37" t="e">
        <v>#REF!</v>
      </c>
      <c r="K234" s="24" t="s">
        <v>550</v>
      </c>
      <c r="L234" s="24" t="s">
        <v>1993</v>
      </c>
      <c r="M234" s="24">
        <v>40403</v>
      </c>
      <c r="N234" s="22" t="s">
        <v>576</v>
      </c>
      <c r="O234" s="4">
        <v>9110211</v>
      </c>
      <c r="P234" s="22">
        <v>1020</v>
      </c>
      <c r="Q234" s="22">
        <v>50</v>
      </c>
      <c r="R234" s="22" t="s">
        <v>2872</v>
      </c>
      <c r="S234" s="55" t="s">
        <v>1954</v>
      </c>
      <c r="T234" s="91" t="s">
        <v>404</v>
      </c>
      <c r="U234" s="92">
        <v>40479</v>
      </c>
      <c r="V234" s="91"/>
      <c r="W234" s="92"/>
      <c r="X234" s="74"/>
      <c r="Y234" s="28"/>
      <c r="Z234" s="28"/>
      <c r="AA234" s="24" t="s">
        <v>393</v>
      </c>
      <c r="AB234" s="28">
        <v>40505</v>
      </c>
      <c r="AC234" s="69"/>
    </row>
    <row r="235" spans="1:29" s="4" customFormat="1" ht="14.25" customHeight="1" x14ac:dyDescent="0.4">
      <c r="A235"/>
      <c r="B235" s="22">
        <v>0</v>
      </c>
      <c r="C235" s="22">
        <v>0</v>
      </c>
      <c r="D235" s="22">
        <v>0</v>
      </c>
      <c r="E235" s="24">
        <v>40486</v>
      </c>
      <c r="F235" s="24" t="s">
        <v>393</v>
      </c>
      <c r="G235" s="24">
        <v>40494</v>
      </c>
      <c r="H235" s="37">
        <v>57</v>
      </c>
      <c r="I235" s="23" t="s">
        <v>1997</v>
      </c>
      <c r="J235" s="37" t="e">
        <v>#REF!</v>
      </c>
      <c r="K235" s="24" t="s">
        <v>550</v>
      </c>
      <c r="L235" s="24" t="s">
        <v>1993</v>
      </c>
      <c r="M235" s="24">
        <v>40403</v>
      </c>
      <c r="N235" s="22" t="s">
        <v>576</v>
      </c>
      <c r="O235" s="4">
        <v>9110212</v>
      </c>
      <c r="P235" s="22">
        <v>1020</v>
      </c>
      <c r="Q235" s="22">
        <v>42</v>
      </c>
      <c r="R235" s="22" t="s">
        <v>2873</v>
      </c>
      <c r="S235" s="55" t="s">
        <v>1931</v>
      </c>
      <c r="T235" s="91" t="s">
        <v>404</v>
      </c>
      <c r="U235" s="92">
        <v>40452</v>
      </c>
      <c r="V235" s="91"/>
      <c r="W235" s="92"/>
      <c r="X235" s="74"/>
      <c r="Y235" s="28"/>
      <c r="Z235" s="28"/>
      <c r="AA235" s="24" t="s">
        <v>393</v>
      </c>
      <c r="AB235" s="28">
        <v>40494</v>
      </c>
      <c r="AC235" s="69"/>
    </row>
    <row r="236" spans="1:29" s="4" customFormat="1" ht="14.25" customHeight="1" x14ac:dyDescent="0.4">
      <c r="A236"/>
      <c r="B236" s="22">
        <v>0</v>
      </c>
      <c r="C236" s="22" t="s">
        <v>2102</v>
      </c>
      <c r="D236" s="22">
        <v>0</v>
      </c>
      <c r="E236" s="24">
        <v>40185</v>
      </c>
      <c r="F236" s="24" t="s">
        <v>393</v>
      </c>
      <c r="G236" s="24">
        <v>40561</v>
      </c>
      <c r="H236" s="37">
        <v>118</v>
      </c>
      <c r="I236" s="23" t="s">
        <v>1999</v>
      </c>
      <c r="J236" s="37">
        <v>9</v>
      </c>
      <c r="K236" s="24" t="s">
        <v>550</v>
      </c>
      <c r="L236" s="24" t="s">
        <v>1997</v>
      </c>
      <c r="M236" s="24">
        <v>40403</v>
      </c>
      <c r="N236" s="22" t="s">
        <v>576</v>
      </c>
      <c r="O236" s="4">
        <v>9110191</v>
      </c>
      <c r="P236" s="22">
        <v>1020</v>
      </c>
      <c r="Q236" s="22">
        <v>50</v>
      </c>
      <c r="R236" s="22" t="s">
        <v>2874</v>
      </c>
      <c r="S236" s="55" t="s">
        <v>1958</v>
      </c>
      <c r="T236" s="91" t="s">
        <v>404</v>
      </c>
      <c r="U236" s="92">
        <v>40487</v>
      </c>
      <c r="V236" s="91"/>
      <c r="W236" s="92"/>
      <c r="X236" s="74"/>
      <c r="Y236" s="28"/>
      <c r="Z236" s="28"/>
      <c r="AA236" s="24" t="s">
        <v>393</v>
      </c>
      <c r="AB236" s="28">
        <v>40561</v>
      </c>
      <c r="AC236" s="69"/>
    </row>
    <row r="237" spans="1:29" ht="14.25" customHeight="1" x14ac:dyDescent="0.4">
      <c r="B237" s="22">
        <v>0</v>
      </c>
      <c r="C237" s="22" t="s">
        <v>2102</v>
      </c>
      <c r="D237" s="22">
        <v>0</v>
      </c>
      <c r="E237" s="24">
        <v>40553</v>
      </c>
      <c r="F237" s="24" t="s">
        <v>393</v>
      </c>
      <c r="G237" s="24">
        <v>40558</v>
      </c>
      <c r="H237" s="37">
        <v>119</v>
      </c>
      <c r="I237" s="23" t="s">
        <v>1999</v>
      </c>
      <c r="J237" s="37">
        <v>10</v>
      </c>
      <c r="K237" s="24" t="s">
        <v>550</v>
      </c>
      <c r="L237" s="24" t="s">
        <v>1997</v>
      </c>
      <c r="M237" s="24">
        <v>40403</v>
      </c>
      <c r="N237" s="22" t="s">
        <v>576</v>
      </c>
      <c r="O237" s="4">
        <v>9110192</v>
      </c>
      <c r="P237" s="22">
        <v>720</v>
      </c>
      <c r="Q237" s="22">
        <v>42</v>
      </c>
      <c r="R237" s="22" t="s">
        <v>2875</v>
      </c>
      <c r="S237" s="1" t="s">
        <v>1955</v>
      </c>
      <c r="T237" s="3" t="s">
        <v>404</v>
      </c>
      <c r="U237" s="92">
        <v>40480</v>
      </c>
      <c r="V237" s="91"/>
      <c r="W237" s="92"/>
      <c r="X237" s="74"/>
      <c r="Y237" s="28"/>
      <c r="Z237" s="9"/>
      <c r="AA237" s="24" t="s">
        <v>393</v>
      </c>
      <c r="AB237" s="28">
        <v>40558</v>
      </c>
      <c r="AC237" s="69"/>
    </row>
    <row r="238" spans="1:29" ht="14.25" customHeight="1" x14ac:dyDescent="0.4">
      <c r="B238" s="22">
        <v>0</v>
      </c>
      <c r="C238" s="22">
        <v>0</v>
      </c>
      <c r="D238" s="22">
        <v>0</v>
      </c>
      <c r="E238" s="24">
        <v>40553</v>
      </c>
      <c r="F238" s="24" t="s">
        <v>393</v>
      </c>
      <c r="G238" s="24">
        <v>40556</v>
      </c>
      <c r="H238" s="37">
        <v>120</v>
      </c>
      <c r="I238" s="23" t="s">
        <v>1999</v>
      </c>
      <c r="J238" s="37">
        <v>11</v>
      </c>
      <c r="K238" s="24" t="s">
        <v>550</v>
      </c>
      <c r="L238" s="24" t="s">
        <v>1997</v>
      </c>
      <c r="M238" s="24">
        <v>40403</v>
      </c>
      <c r="N238" s="22" t="s">
        <v>576</v>
      </c>
      <c r="O238" s="4">
        <v>9110213</v>
      </c>
      <c r="P238" s="22">
        <v>1020</v>
      </c>
      <c r="Q238" s="22">
        <v>42</v>
      </c>
      <c r="R238" s="22" t="s">
        <v>2876</v>
      </c>
      <c r="S238" s="55" t="s">
        <v>1911</v>
      </c>
      <c r="T238" s="55" t="s">
        <v>404</v>
      </c>
      <c r="U238" s="94">
        <v>40438</v>
      </c>
      <c r="V238" s="55"/>
      <c r="W238" s="95"/>
      <c r="X238" s="74"/>
      <c r="Y238" s="28"/>
      <c r="Z238" s="9"/>
      <c r="AA238" s="24" t="s">
        <v>393</v>
      </c>
      <c r="AB238" s="28">
        <v>40556</v>
      </c>
      <c r="AC238" s="69"/>
    </row>
    <row r="239" spans="1:29" s="6" customFormat="1" ht="14.25" customHeight="1" x14ac:dyDescent="0.4">
      <c r="A239"/>
      <c r="B239" s="22">
        <v>0</v>
      </c>
      <c r="C239" s="22" t="s">
        <v>2102</v>
      </c>
      <c r="D239" s="22">
        <v>0</v>
      </c>
      <c r="E239" s="24">
        <v>40581</v>
      </c>
      <c r="F239" s="24" t="s">
        <v>393</v>
      </c>
      <c r="G239" s="24">
        <v>40625</v>
      </c>
      <c r="H239" s="37">
        <v>160</v>
      </c>
      <c r="I239" s="23" t="s">
        <v>2000</v>
      </c>
      <c r="J239" s="37">
        <v>8</v>
      </c>
      <c r="K239" s="24" t="s">
        <v>550</v>
      </c>
      <c r="L239" s="24" t="s">
        <v>1997</v>
      </c>
      <c r="M239" s="24">
        <v>40403</v>
      </c>
      <c r="N239" s="22" t="s">
        <v>576</v>
      </c>
      <c r="O239" s="4">
        <v>9110217</v>
      </c>
      <c r="P239" s="22">
        <v>1220</v>
      </c>
      <c r="Q239" s="22">
        <v>50</v>
      </c>
      <c r="R239" s="22" t="s">
        <v>2877</v>
      </c>
      <c r="S239" s="102" t="s">
        <v>2047</v>
      </c>
      <c r="T239" s="91" t="s">
        <v>404</v>
      </c>
      <c r="U239" s="92">
        <v>40542</v>
      </c>
      <c r="V239" s="91"/>
      <c r="W239" s="92"/>
      <c r="X239" s="74"/>
      <c r="Y239" s="28"/>
      <c r="Z239" s="28"/>
      <c r="AA239" s="24" t="s">
        <v>393</v>
      </c>
      <c r="AB239" s="28">
        <v>40625</v>
      </c>
      <c r="AC239" s="69"/>
    </row>
    <row r="240" spans="1:29" s="4" customFormat="1" ht="14.25" customHeight="1" x14ac:dyDescent="0.4">
      <c r="A240"/>
      <c r="B240" s="22">
        <v>0</v>
      </c>
      <c r="C240" s="22" t="s">
        <v>2165</v>
      </c>
      <c r="D240" s="22">
        <v>0</v>
      </c>
      <c r="E240" s="24">
        <v>40554</v>
      </c>
      <c r="F240" s="24" t="s">
        <v>393</v>
      </c>
      <c r="G240" s="24">
        <v>40556</v>
      </c>
      <c r="H240" s="37">
        <v>121</v>
      </c>
      <c r="I240" s="23" t="s">
        <v>1999</v>
      </c>
      <c r="J240" s="37">
        <v>12</v>
      </c>
      <c r="K240" s="24" t="s">
        <v>550</v>
      </c>
      <c r="L240" s="24" t="s">
        <v>1997</v>
      </c>
      <c r="M240" s="24">
        <v>40403</v>
      </c>
      <c r="N240" s="22" t="s">
        <v>576</v>
      </c>
      <c r="O240" s="4">
        <v>9110214</v>
      </c>
      <c r="P240" s="22">
        <v>1020</v>
      </c>
      <c r="Q240" s="22">
        <v>42</v>
      </c>
      <c r="R240" s="22" t="s">
        <v>2878</v>
      </c>
      <c r="S240" s="4" t="s">
        <v>1912</v>
      </c>
      <c r="T240" s="91" t="s">
        <v>404</v>
      </c>
      <c r="U240" s="94">
        <v>40434</v>
      </c>
      <c r="V240" s="91"/>
      <c r="W240" s="92"/>
      <c r="X240" s="74"/>
      <c r="Y240" s="28"/>
      <c r="Z240" s="9"/>
      <c r="AA240" s="24" t="s">
        <v>393</v>
      </c>
      <c r="AB240" s="28">
        <v>40556</v>
      </c>
      <c r="AC240" s="69"/>
    </row>
    <row r="241" spans="1:29" s="4" customFormat="1" ht="14.25" customHeight="1" x14ac:dyDescent="0.4">
      <c r="A241"/>
      <c r="B241" s="22">
        <v>0</v>
      </c>
      <c r="C241" s="22" t="s">
        <v>2102</v>
      </c>
      <c r="D241" s="22">
        <v>0</v>
      </c>
      <c r="E241" s="24">
        <v>40561</v>
      </c>
      <c r="F241" s="24" t="s">
        <v>393</v>
      </c>
      <c r="G241" s="24">
        <v>40583</v>
      </c>
      <c r="H241" s="37">
        <v>130</v>
      </c>
      <c r="I241" s="23" t="s">
        <v>1999</v>
      </c>
      <c r="J241" s="37">
        <v>21</v>
      </c>
      <c r="K241" s="24" t="s">
        <v>550</v>
      </c>
      <c r="L241" s="24" t="s">
        <v>1997</v>
      </c>
      <c r="M241" s="24">
        <v>40403</v>
      </c>
      <c r="N241" s="22" t="s">
        <v>576</v>
      </c>
      <c r="O241" s="4">
        <v>9110229</v>
      </c>
      <c r="P241" s="22">
        <v>720</v>
      </c>
      <c r="Q241" s="22">
        <v>42</v>
      </c>
      <c r="R241" s="22" t="s">
        <v>2879</v>
      </c>
      <c r="S241" s="4" t="s">
        <v>1964</v>
      </c>
      <c r="T241" s="4" t="s">
        <v>404</v>
      </c>
      <c r="U241" s="57">
        <v>40501</v>
      </c>
      <c r="W241" s="57"/>
      <c r="X241" s="74"/>
      <c r="Y241" s="28"/>
      <c r="Z241" s="9"/>
      <c r="AA241" s="24" t="s">
        <v>393</v>
      </c>
      <c r="AB241" s="28">
        <v>40583</v>
      </c>
      <c r="AC241" s="69"/>
    </row>
    <row r="242" spans="1:29" s="4" customFormat="1" ht="14.25" customHeight="1" x14ac:dyDescent="0.4">
      <c r="A242"/>
      <c r="B242" s="22">
        <v>0</v>
      </c>
      <c r="C242" s="22">
        <v>0</v>
      </c>
      <c r="D242" s="22">
        <v>0</v>
      </c>
      <c r="E242" s="24">
        <v>40562</v>
      </c>
      <c r="F242" s="24" t="s">
        <v>393</v>
      </c>
      <c r="G242" s="24">
        <v>40564</v>
      </c>
      <c r="H242" s="37">
        <v>134</v>
      </c>
      <c r="I242" s="23" t="s">
        <v>1999</v>
      </c>
      <c r="J242" s="37">
        <v>25</v>
      </c>
      <c r="K242" s="24" t="s">
        <v>550</v>
      </c>
      <c r="L242" s="24" t="s">
        <v>1997</v>
      </c>
      <c r="M242" s="24">
        <v>40403</v>
      </c>
      <c r="N242" s="22" t="s">
        <v>576</v>
      </c>
      <c r="O242" s="4">
        <v>9110219</v>
      </c>
      <c r="P242" s="22">
        <v>720</v>
      </c>
      <c r="Q242" s="22">
        <v>42</v>
      </c>
      <c r="R242" s="22" t="s">
        <v>2880</v>
      </c>
      <c r="S242" s="4" t="s">
        <v>2048</v>
      </c>
      <c r="T242" s="4" t="s">
        <v>404</v>
      </c>
      <c r="U242" s="59">
        <v>40526</v>
      </c>
      <c r="W242" s="57"/>
      <c r="X242" s="75"/>
      <c r="Y242" s="28"/>
      <c r="Z242" s="28"/>
      <c r="AA242" s="24" t="s">
        <v>393</v>
      </c>
      <c r="AB242" s="28">
        <v>40564</v>
      </c>
      <c r="AC242" s="69"/>
    </row>
    <row r="243" spans="1:29" ht="14.25" customHeight="1" x14ac:dyDescent="0.4">
      <c r="B243" s="22"/>
      <c r="C243" s="22"/>
      <c r="D243" s="22"/>
      <c r="E243" s="24">
        <v>40560</v>
      </c>
      <c r="F243" s="24" t="s">
        <v>393</v>
      </c>
      <c r="G243" s="24">
        <v>40562</v>
      </c>
      <c r="H243" s="37">
        <v>129</v>
      </c>
      <c r="I243" s="23" t="s">
        <v>1999</v>
      </c>
      <c r="J243" s="37">
        <v>20</v>
      </c>
      <c r="K243" s="24" t="s">
        <v>550</v>
      </c>
      <c r="L243" s="24" t="s">
        <v>1997</v>
      </c>
      <c r="M243" s="24">
        <v>40403</v>
      </c>
      <c r="N243" s="22" t="s">
        <v>576</v>
      </c>
      <c r="O243" s="4">
        <v>9110220</v>
      </c>
      <c r="P243" s="22">
        <v>720</v>
      </c>
      <c r="Q243" s="22">
        <v>42</v>
      </c>
      <c r="R243" s="22" t="s">
        <v>2881</v>
      </c>
      <c r="S243" s="4" t="s">
        <v>1055</v>
      </c>
      <c r="T243" s="4" t="s">
        <v>404</v>
      </c>
      <c r="U243" s="59">
        <v>40526</v>
      </c>
      <c r="V243" s="4"/>
      <c r="W243" s="57"/>
      <c r="X243" s="74"/>
      <c r="Y243" s="28"/>
      <c r="Z243" s="28"/>
      <c r="AA243" s="24" t="s">
        <v>393</v>
      </c>
      <c r="AB243" s="28">
        <v>40562</v>
      </c>
      <c r="AC243" s="69"/>
    </row>
    <row r="244" spans="1:29" s="4" customFormat="1" ht="14.25" customHeight="1" x14ac:dyDescent="0.4">
      <c r="A244"/>
      <c r="B244" s="22">
        <v>0</v>
      </c>
      <c r="C244" s="22" t="s">
        <v>2102</v>
      </c>
      <c r="D244" s="22">
        <v>0</v>
      </c>
      <c r="E244" s="24">
        <v>40578</v>
      </c>
      <c r="F244" s="24" t="s">
        <v>393</v>
      </c>
      <c r="G244" s="24">
        <v>40584</v>
      </c>
      <c r="H244" s="37">
        <v>157</v>
      </c>
      <c r="I244" s="23" t="s">
        <v>2000</v>
      </c>
      <c r="J244" s="37">
        <v>5</v>
      </c>
      <c r="K244" s="24" t="s">
        <v>550</v>
      </c>
      <c r="L244" s="24" t="s">
        <v>1998</v>
      </c>
      <c r="M244" s="24">
        <v>40403</v>
      </c>
      <c r="N244" s="22" t="s">
        <v>576</v>
      </c>
      <c r="O244" s="4">
        <v>9110193</v>
      </c>
      <c r="P244" s="22">
        <v>720</v>
      </c>
      <c r="Q244" s="22">
        <v>42</v>
      </c>
      <c r="R244" s="22" t="s">
        <v>2882</v>
      </c>
      <c r="S244" s="4" t="s">
        <v>2049</v>
      </c>
      <c r="T244" s="4" t="s">
        <v>404</v>
      </c>
      <c r="U244" s="57">
        <v>40533</v>
      </c>
      <c r="W244" s="57"/>
      <c r="X244" s="74"/>
      <c r="Y244" s="28"/>
      <c r="Z244" s="9"/>
      <c r="AA244" s="24" t="s">
        <v>393</v>
      </c>
      <c r="AB244" s="28">
        <v>40584</v>
      </c>
      <c r="AC244" s="69"/>
    </row>
    <row r="245" spans="1:29" s="4" customFormat="1" ht="14.25" customHeight="1" x14ac:dyDescent="0.4">
      <c r="A245"/>
      <c r="B245" s="22">
        <v>0</v>
      </c>
      <c r="C245" s="22" t="s">
        <v>2102</v>
      </c>
      <c r="D245" s="22">
        <v>0</v>
      </c>
      <c r="E245" s="24">
        <v>40584</v>
      </c>
      <c r="F245" s="24" t="s">
        <v>393</v>
      </c>
      <c r="G245" s="24">
        <v>40585</v>
      </c>
      <c r="H245" s="37">
        <v>165</v>
      </c>
      <c r="I245" s="23" t="s">
        <v>2000</v>
      </c>
      <c r="J245" s="37">
        <v>13</v>
      </c>
      <c r="K245" s="24" t="s">
        <v>550</v>
      </c>
      <c r="L245" s="24" t="s">
        <v>1998</v>
      </c>
      <c r="M245" s="24">
        <v>40403</v>
      </c>
      <c r="N245" s="22" t="s">
        <v>576</v>
      </c>
      <c r="O245" s="4">
        <v>9110194</v>
      </c>
      <c r="P245" s="22">
        <v>720</v>
      </c>
      <c r="Q245" s="22">
        <v>42</v>
      </c>
      <c r="R245" s="22" t="s">
        <v>2883</v>
      </c>
      <c r="S245" s="4" t="s">
        <v>2150</v>
      </c>
      <c r="T245" s="4" t="s">
        <v>404</v>
      </c>
      <c r="U245" s="57">
        <v>40589</v>
      </c>
      <c r="W245" s="57"/>
      <c r="X245" s="74"/>
      <c r="Y245" s="28"/>
      <c r="Z245" s="9"/>
      <c r="AA245" s="24" t="s">
        <v>393</v>
      </c>
      <c r="AB245" s="28">
        <v>40585</v>
      </c>
      <c r="AC245" s="69"/>
    </row>
    <row r="246" spans="1:29" s="4" customFormat="1" ht="14.25" customHeight="1" x14ac:dyDescent="0.4">
      <c r="A246"/>
      <c r="B246" s="22">
        <v>0</v>
      </c>
      <c r="C246" s="22" t="s">
        <v>2165</v>
      </c>
      <c r="D246" s="22">
        <v>0</v>
      </c>
      <c r="E246" s="24">
        <v>40590</v>
      </c>
      <c r="F246" s="24" t="s">
        <v>393</v>
      </c>
      <c r="G246" s="24">
        <v>40595</v>
      </c>
      <c r="H246" s="37">
        <v>174</v>
      </c>
      <c r="I246" s="23" t="s">
        <v>2000</v>
      </c>
      <c r="J246" s="37">
        <v>22</v>
      </c>
      <c r="K246" s="24" t="s">
        <v>550</v>
      </c>
      <c r="L246" s="24" t="s">
        <v>1998</v>
      </c>
      <c r="M246" s="24">
        <v>40403</v>
      </c>
      <c r="N246" s="22" t="s">
        <v>576</v>
      </c>
      <c r="O246" s="4">
        <v>9110226</v>
      </c>
      <c r="P246" s="22">
        <v>1020</v>
      </c>
      <c r="Q246" s="22">
        <v>42</v>
      </c>
      <c r="R246" s="22" t="s">
        <v>2884</v>
      </c>
      <c r="S246" s="4" t="s">
        <v>1913</v>
      </c>
      <c r="T246" s="4" t="s">
        <v>404</v>
      </c>
      <c r="U246" s="57">
        <v>40436</v>
      </c>
      <c r="W246" s="57"/>
      <c r="X246" s="74"/>
      <c r="Y246" s="28"/>
      <c r="Z246" s="28"/>
      <c r="AA246" s="24" t="s">
        <v>393</v>
      </c>
      <c r="AB246" s="28">
        <v>40595</v>
      </c>
      <c r="AC246" s="69"/>
    </row>
    <row r="247" spans="1:29" ht="14.25" customHeight="1" x14ac:dyDescent="0.4">
      <c r="B247" s="22">
        <v>0</v>
      </c>
      <c r="C247" s="22" t="s">
        <v>2165</v>
      </c>
      <c r="D247" s="22">
        <v>0</v>
      </c>
      <c r="E247" s="24">
        <v>40562</v>
      </c>
      <c r="F247" s="24" t="s">
        <v>393</v>
      </c>
      <c r="G247" s="24">
        <v>40564</v>
      </c>
      <c r="H247" s="37">
        <v>133</v>
      </c>
      <c r="I247" s="23" t="s">
        <v>1999</v>
      </c>
      <c r="J247" s="37">
        <v>24</v>
      </c>
      <c r="K247" s="24" t="s">
        <v>550</v>
      </c>
      <c r="L247" s="24" t="s">
        <v>1998</v>
      </c>
      <c r="M247" s="24">
        <v>40403</v>
      </c>
      <c r="N247" s="22" t="s">
        <v>576</v>
      </c>
      <c r="O247" s="4">
        <v>9110215</v>
      </c>
      <c r="P247" s="22">
        <v>1020</v>
      </c>
      <c r="Q247" s="22">
        <v>50</v>
      </c>
      <c r="R247" s="22" t="s">
        <v>2885</v>
      </c>
      <c r="S247" s="4" t="s">
        <v>1961</v>
      </c>
      <c r="T247" s="4" t="s">
        <v>404</v>
      </c>
      <c r="U247" s="57">
        <v>40492</v>
      </c>
      <c r="V247" s="4"/>
      <c r="W247" s="57"/>
      <c r="X247" s="74"/>
      <c r="Y247" s="28"/>
      <c r="Z247" s="28"/>
      <c r="AA247" s="24" t="s">
        <v>393</v>
      </c>
      <c r="AB247" s="28">
        <v>40564</v>
      </c>
      <c r="AC247" s="69"/>
    </row>
    <row r="248" spans="1:29" ht="14.25" customHeight="1" x14ac:dyDescent="0.4">
      <c r="B248" s="22">
        <v>0</v>
      </c>
      <c r="C248" s="22">
        <v>0</v>
      </c>
      <c r="D248" s="22">
        <v>0</v>
      </c>
      <c r="E248" s="24">
        <v>40582</v>
      </c>
      <c r="F248" s="24" t="s">
        <v>393</v>
      </c>
      <c r="G248" s="24">
        <v>40583</v>
      </c>
      <c r="H248" s="37">
        <v>161</v>
      </c>
      <c r="I248" s="23" t="s">
        <v>2000</v>
      </c>
      <c r="J248" s="37">
        <v>9</v>
      </c>
      <c r="K248" s="24" t="s">
        <v>550</v>
      </c>
      <c r="L248" s="24" t="s">
        <v>1998</v>
      </c>
      <c r="M248" s="24">
        <v>40403</v>
      </c>
      <c r="N248" s="22" t="s">
        <v>576</v>
      </c>
      <c r="O248" s="4">
        <v>9110216</v>
      </c>
      <c r="P248" s="22">
        <v>1020</v>
      </c>
      <c r="Q248" s="22">
        <v>42</v>
      </c>
      <c r="R248" s="22" t="s">
        <v>2886</v>
      </c>
      <c r="S248" s="4" t="s">
        <v>2098</v>
      </c>
      <c r="T248" s="4" t="s">
        <v>404</v>
      </c>
      <c r="U248" s="57">
        <v>40548</v>
      </c>
      <c r="V248" s="4"/>
      <c r="W248" s="57"/>
      <c r="X248" s="74"/>
      <c r="Y248" s="28"/>
      <c r="Z248" s="9"/>
      <c r="AA248" s="24" t="s">
        <v>393</v>
      </c>
      <c r="AB248" s="28">
        <v>40583</v>
      </c>
      <c r="AC248" s="69"/>
    </row>
    <row r="249" spans="1:29" ht="14.25" customHeight="1" x14ac:dyDescent="0.4">
      <c r="B249" s="22">
        <v>0</v>
      </c>
      <c r="C249" s="22">
        <v>0</v>
      </c>
      <c r="D249" s="22">
        <v>0</v>
      </c>
      <c r="E249" s="24">
        <v>40591</v>
      </c>
      <c r="F249" s="24" t="s">
        <v>393</v>
      </c>
      <c r="G249" s="24">
        <v>40592</v>
      </c>
      <c r="H249" s="37">
        <v>175</v>
      </c>
      <c r="I249" s="23" t="s">
        <v>2000</v>
      </c>
      <c r="J249" s="37">
        <v>23</v>
      </c>
      <c r="K249" s="24" t="s">
        <v>550</v>
      </c>
      <c r="L249" s="24" t="s">
        <v>1998</v>
      </c>
      <c r="M249" s="24">
        <v>40403</v>
      </c>
      <c r="N249" s="22" t="s">
        <v>576</v>
      </c>
      <c r="O249" s="4">
        <v>9110227</v>
      </c>
      <c r="P249" s="22">
        <v>1020</v>
      </c>
      <c r="Q249" s="22">
        <v>50</v>
      </c>
      <c r="R249" s="22" t="s">
        <v>2887</v>
      </c>
      <c r="S249" s="4" t="s">
        <v>2050</v>
      </c>
      <c r="T249" s="4" t="s">
        <v>404</v>
      </c>
      <c r="U249" s="57">
        <v>40525</v>
      </c>
      <c r="V249" s="4"/>
      <c r="W249" s="57"/>
      <c r="X249" s="74"/>
      <c r="Y249" s="28"/>
      <c r="Z249" s="28"/>
      <c r="AA249" s="24" t="s">
        <v>393</v>
      </c>
      <c r="AB249" s="28">
        <v>40592</v>
      </c>
      <c r="AC249" s="69"/>
    </row>
    <row r="250" spans="1:29" s="4" customFormat="1" ht="14.25" customHeight="1" x14ac:dyDescent="0.4">
      <c r="A250"/>
      <c r="B250" s="22">
        <v>0</v>
      </c>
      <c r="C250" s="22" t="s">
        <v>2165</v>
      </c>
      <c r="D250" s="22">
        <v>0</v>
      </c>
      <c r="E250" s="24">
        <v>40584</v>
      </c>
      <c r="F250" s="24" t="s">
        <v>393</v>
      </c>
      <c r="G250" s="24">
        <v>40589</v>
      </c>
      <c r="H250" s="37">
        <v>166</v>
      </c>
      <c r="I250" s="23" t="s">
        <v>2000</v>
      </c>
      <c r="J250" s="37">
        <v>14</v>
      </c>
      <c r="K250" s="24" t="s">
        <v>550</v>
      </c>
      <c r="L250" s="24" t="s">
        <v>1998</v>
      </c>
      <c r="M250" s="24">
        <v>40403</v>
      </c>
      <c r="N250" s="22" t="s">
        <v>576</v>
      </c>
      <c r="O250" s="4">
        <v>9110230</v>
      </c>
      <c r="P250" s="22">
        <v>1020</v>
      </c>
      <c r="Q250" s="22">
        <v>50</v>
      </c>
      <c r="R250" s="22" t="s">
        <v>2888</v>
      </c>
      <c r="S250" s="102" t="s">
        <v>2099</v>
      </c>
      <c r="T250" s="91" t="s">
        <v>404</v>
      </c>
      <c r="U250" s="94">
        <v>40549</v>
      </c>
      <c r="V250" s="91"/>
      <c r="W250" s="92"/>
      <c r="X250" s="74"/>
      <c r="Y250" s="28"/>
      <c r="Z250" s="28"/>
      <c r="AA250" s="24" t="s">
        <v>393</v>
      </c>
      <c r="AB250" s="28">
        <v>40589</v>
      </c>
      <c r="AC250" s="69"/>
    </row>
    <row r="251" spans="1:29" s="4" customFormat="1" ht="14.25" customHeight="1" x14ac:dyDescent="0.4">
      <c r="A251"/>
      <c r="B251" s="22">
        <v>0</v>
      </c>
      <c r="C251" s="22" t="s">
        <v>2165</v>
      </c>
      <c r="D251" s="22">
        <v>0</v>
      </c>
      <c r="E251" s="24">
        <v>40577</v>
      </c>
      <c r="F251" s="24" t="s">
        <v>393</v>
      </c>
      <c r="G251" s="24">
        <v>40581</v>
      </c>
      <c r="H251" s="37">
        <v>155</v>
      </c>
      <c r="I251" s="23" t="s">
        <v>2000</v>
      </c>
      <c r="J251" s="37">
        <v>3</v>
      </c>
      <c r="K251" s="24" t="s">
        <v>550</v>
      </c>
      <c r="L251" s="24" t="s">
        <v>1998</v>
      </c>
      <c r="M251" s="24">
        <v>40403</v>
      </c>
      <c r="N251" s="22" t="s">
        <v>576</v>
      </c>
      <c r="O251" s="4">
        <v>9110236</v>
      </c>
      <c r="P251" s="22">
        <v>1020</v>
      </c>
      <c r="Q251" s="22">
        <v>42</v>
      </c>
      <c r="R251" s="22" t="s">
        <v>2889</v>
      </c>
      <c r="S251" s="4" t="s">
        <v>2109</v>
      </c>
      <c r="T251" s="4" t="s">
        <v>404</v>
      </c>
      <c r="U251" s="57">
        <v>40560</v>
      </c>
      <c r="W251" s="58"/>
      <c r="X251" s="84"/>
      <c r="Y251" s="28"/>
      <c r="Z251" s="9"/>
      <c r="AA251" s="24" t="s">
        <v>393</v>
      </c>
      <c r="AB251" s="28">
        <v>40581</v>
      </c>
      <c r="AC251" s="69"/>
    </row>
    <row r="252" spans="1:29" s="4" customFormat="1" ht="14.25" customHeight="1" x14ac:dyDescent="0.4">
      <c r="A252"/>
      <c r="B252" s="22">
        <v>0</v>
      </c>
      <c r="C252" s="22" t="s">
        <v>2165</v>
      </c>
      <c r="D252" s="22">
        <v>0</v>
      </c>
      <c r="E252" s="24">
        <v>40605</v>
      </c>
      <c r="F252" s="24" t="s">
        <v>393</v>
      </c>
      <c r="G252" s="24">
        <v>40612</v>
      </c>
      <c r="H252" s="37">
        <v>205</v>
      </c>
      <c r="I252" s="23" t="s">
        <v>2001</v>
      </c>
      <c r="J252" s="37">
        <v>7</v>
      </c>
      <c r="K252" s="24" t="s">
        <v>550</v>
      </c>
      <c r="L252" s="24" t="s">
        <v>1999</v>
      </c>
      <c r="M252" s="24">
        <v>40403</v>
      </c>
      <c r="N252" s="22" t="s">
        <v>576</v>
      </c>
      <c r="O252" s="4">
        <v>9110195</v>
      </c>
      <c r="P252" s="22">
        <v>1020</v>
      </c>
      <c r="Q252" s="22">
        <v>42</v>
      </c>
      <c r="R252" s="22" t="s">
        <v>2890</v>
      </c>
      <c r="S252" s="4" t="s">
        <v>2100</v>
      </c>
      <c r="T252" s="4" t="s">
        <v>404</v>
      </c>
      <c r="U252" s="57">
        <v>40547</v>
      </c>
      <c r="W252" s="59"/>
      <c r="X252" s="74"/>
      <c r="Y252" s="28"/>
      <c r="Z252" s="28"/>
      <c r="AA252" s="24" t="s">
        <v>393</v>
      </c>
      <c r="AB252" s="28">
        <v>40612</v>
      </c>
      <c r="AC252" s="69"/>
    </row>
    <row r="253" spans="1:29" s="4" customFormat="1" ht="14.25" customHeight="1" x14ac:dyDescent="0.4">
      <c r="A253"/>
      <c r="B253" s="22">
        <v>0</v>
      </c>
      <c r="C253" s="22" t="s">
        <v>2165</v>
      </c>
      <c r="D253" s="22">
        <v>0</v>
      </c>
      <c r="E253" s="24">
        <v>40569</v>
      </c>
      <c r="F253" s="24" t="s">
        <v>393</v>
      </c>
      <c r="G253" s="24">
        <v>40574</v>
      </c>
      <c r="H253" s="37">
        <v>145</v>
      </c>
      <c r="I253" s="23" t="s">
        <v>1999</v>
      </c>
      <c r="J253" s="37">
        <v>36</v>
      </c>
      <c r="K253" s="24" t="s">
        <v>550</v>
      </c>
      <c r="L253" s="24" t="s">
        <v>2891</v>
      </c>
      <c r="M253" s="24">
        <v>40403</v>
      </c>
      <c r="N253" s="22" t="s">
        <v>576</v>
      </c>
      <c r="O253" s="4">
        <v>9110196</v>
      </c>
      <c r="P253" s="22">
        <v>720</v>
      </c>
      <c r="Q253" s="22">
        <v>42</v>
      </c>
      <c r="R253" s="22" t="s">
        <v>2892</v>
      </c>
      <c r="S253" s="4" t="s">
        <v>2162</v>
      </c>
      <c r="T253" s="4" t="s">
        <v>404</v>
      </c>
      <c r="U253" s="57">
        <v>40596</v>
      </c>
      <c r="W253" s="57"/>
      <c r="X253" s="74"/>
      <c r="Y253" s="28"/>
      <c r="Z253" s="28"/>
      <c r="AA253" s="24" t="s">
        <v>393</v>
      </c>
      <c r="AB253" s="28">
        <v>40574</v>
      </c>
      <c r="AC253" s="69"/>
    </row>
    <row r="254" spans="1:29" s="4" customFormat="1" ht="14.25" customHeight="1" x14ac:dyDescent="0.4">
      <c r="A254"/>
      <c r="B254" s="22">
        <v>0</v>
      </c>
      <c r="C254" s="22">
        <v>0</v>
      </c>
      <c r="D254" s="22">
        <v>0</v>
      </c>
      <c r="E254" s="24">
        <v>40606</v>
      </c>
      <c r="F254" s="24" t="s">
        <v>393</v>
      </c>
      <c r="G254" s="24">
        <v>40612</v>
      </c>
      <c r="H254" s="37">
        <v>209</v>
      </c>
      <c r="I254" s="23" t="s">
        <v>2001</v>
      </c>
      <c r="J254" s="37">
        <v>11</v>
      </c>
      <c r="K254" s="24" t="s">
        <v>550</v>
      </c>
      <c r="L254" s="24" t="s">
        <v>1999</v>
      </c>
      <c r="M254" s="24">
        <v>40403</v>
      </c>
      <c r="N254" s="22" t="s">
        <v>576</v>
      </c>
      <c r="O254" s="4">
        <v>9110197</v>
      </c>
      <c r="P254" s="22">
        <v>720</v>
      </c>
      <c r="Q254" s="22">
        <v>42</v>
      </c>
      <c r="R254" s="22" t="s">
        <v>2893</v>
      </c>
      <c r="S254" s="4" t="s">
        <v>2113</v>
      </c>
      <c r="T254" s="4" t="s">
        <v>404</v>
      </c>
      <c r="U254" s="57">
        <v>40562</v>
      </c>
      <c r="W254" s="58"/>
      <c r="X254" s="74"/>
      <c r="Y254" s="28"/>
      <c r="Z254" s="28"/>
      <c r="AA254" s="24" t="s">
        <v>393</v>
      </c>
      <c r="AB254" s="28">
        <v>40612</v>
      </c>
      <c r="AC254" s="69"/>
    </row>
    <row r="255" spans="1:29" s="4" customFormat="1" ht="14.25" customHeight="1" x14ac:dyDescent="0.4">
      <c r="A255"/>
      <c r="B255" s="22">
        <v>0</v>
      </c>
      <c r="C255" s="22" t="s">
        <v>2102</v>
      </c>
      <c r="D255" s="22">
        <v>0</v>
      </c>
      <c r="E255" s="24">
        <v>40606</v>
      </c>
      <c r="F255" s="24" t="s">
        <v>393</v>
      </c>
      <c r="G255" s="24">
        <v>40609</v>
      </c>
      <c r="H255" s="37">
        <v>210</v>
      </c>
      <c r="I255" s="23" t="s">
        <v>2001</v>
      </c>
      <c r="J255" s="37">
        <v>12</v>
      </c>
      <c r="K255" s="24" t="s">
        <v>550</v>
      </c>
      <c r="L255" s="24" t="s">
        <v>1999</v>
      </c>
      <c r="M255" s="24">
        <v>40403</v>
      </c>
      <c r="N255" s="22" t="s">
        <v>576</v>
      </c>
      <c r="O255" s="4">
        <v>9110198</v>
      </c>
      <c r="P255" s="22">
        <v>1020</v>
      </c>
      <c r="Q255" s="22">
        <v>42</v>
      </c>
      <c r="R255" s="139" t="s">
        <v>2894</v>
      </c>
      <c r="S255" s="124" t="s">
        <v>1084</v>
      </c>
      <c r="T255" s="124" t="s">
        <v>404</v>
      </c>
      <c r="U255" s="140">
        <v>40564</v>
      </c>
      <c r="V255" s="124"/>
      <c r="W255" s="141"/>
      <c r="X255" s="142"/>
      <c r="Y255" s="28"/>
      <c r="Z255" s="28"/>
      <c r="AA255" s="24" t="s">
        <v>393</v>
      </c>
      <c r="AB255" s="28">
        <v>40609</v>
      </c>
      <c r="AC255" s="69"/>
    </row>
    <row r="256" spans="1:29" s="4" customFormat="1" ht="14.25" customHeight="1" x14ac:dyDescent="0.4">
      <c r="B256" s="22">
        <v>0</v>
      </c>
      <c r="C256" s="22" t="s">
        <v>2165</v>
      </c>
      <c r="D256" s="22">
        <v>0</v>
      </c>
      <c r="E256" s="24">
        <v>40569</v>
      </c>
      <c r="F256" s="24" t="s">
        <v>393</v>
      </c>
      <c r="G256" s="24">
        <v>40578</v>
      </c>
      <c r="H256" s="37">
        <v>146</v>
      </c>
      <c r="I256" s="23" t="s">
        <v>1999</v>
      </c>
      <c r="J256" s="37">
        <v>37</v>
      </c>
      <c r="K256" s="24" t="s">
        <v>550</v>
      </c>
      <c r="L256" s="24" t="s">
        <v>2891</v>
      </c>
      <c r="M256" s="24">
        <v>40403</v>
      </c>
      <c r="N256" s="22" t="s">
        <v>576</v>
      </c>
      <c r="O256" s="4">
        <v>9110228</v>
      </c>
      <c r="P256" s="22">
        <v>1020</v>
      </c>
      <c r="Q256" s="22">
        <v>50</v>
      </c>
      <c r="R256" s="22" t="s">
        <v>2895</v>
      </c>
      <c r="S256" s="4" t="s">
        <v>2122</v>
      </c>
      <c r="T256" s="38" t="s">
        <v>404</v>
      </c>
      <c r="U256" s="44">
        <v>40572</v>
      </c>
      <c r="V256" s="38"/>
      <c r="W256" s="9"/>
      <c r="X256" s="74"/>
      <c r="Y256" s="28"/>
      <c r="Z256" s="9"/>
      <c r="AA256" s="24" t="s">
        <v>393</v>
      </c>
      <c r="AB256" s="28">
        <v>40578</v>
      </c>
      <c r="AC256" s="69"/>
    </row>
    <row r="257" spans="1:29" s="4" customFormat="1" ht="14.25" customHeight="1" x14ac:dyDescent="0.4">
      <c r="B257" s="22">
        <v>0</v>
      </c>
      <c r="C257" s="22" t="s">
        <v>2165</v>
      </c>
      <c r="D257" s="22">
        <v>0</v>
      </c>
      <c r="E257" s="24" t="s">
        <v>2896</v>
      </c>
      <c r="F257" s="24" t="s">
        <v>393</v>
      </c>
      <c r="G257" s="24">
        <v>40612</v>
      </c>
      <c r="H257" s="37">
        <v>213</v>
      </c>
      <c r="I257" s="23" t="s">
        <v>2001</v>
      </c>
      <c r="J257" s="37">
        <v>15</v>
      </c>
      <c r="K257" s="24" t="s">
        <v>550</v>
      </c>
      <c r="L257" s="24" t="s">
        <v>2000</v>
      </c>
      <c r="M257" s="24">
        <v>40403</v>
      </c>
      <c r="N257" s="22" t="s">
        <v>576</v>
      </c>
      <c r="O257" s="4">
        <v>9110199</v>
      </c>
      <c r="P257" s="22">
        <v>720</v>
      </c>
      <c r="Q257" s="22">
        <v>50</v>
      </c>
      <c r="R257" s="22" t="s">
        <v>2897</v>
      </c>
      <c r="S257" s="48" t="s">
        <v>2123</v>
      </c>
      <c r="T257" s="49" t="s">
        <v>404</v>
      </c>
      <c r="U257" s="28">
        <v>40569</v>
      </c>
      <c r="V257" s="3"/>
      <c r="W257" s="28"/>
      <c r="X257" s="74"/>
      <c r="Y257" s="28"/>
      <c r="Z257" s="28"/>
      <c r="AA257" s="24" t="s">
        <v>393</v>
      </c>
      <c r="AB257" s="28">
        <v>40612</v>
      </c>
      <c r="AC257" s="69"/>
    </row>
    <row r="258" spans="1:29" s="4" customFormat="1" ht="14.25" customHeight="1" x14ac:dyDescent="0.4">
      <c r="B258" s="22">
        <v>0</v>
      </c>
      <c r="C258" s="22">
        <v>0</v>
      </c>
      <c r="D258" s="22">
        <v>0</v>
      </c>
      <c r="E258" s="24">
        <v>40624</v>
      </c>
      <c r="F258" s="24" t="s">
        <v>393</v>
      </c>
      <c r="G258" s="24">
        <v>40631</v>
      </c>
      <c r="H258" s="37">
        <v>245</v>
      </c>
      <c r="I258" s="23" t="s">
        <v>2001</v>
      </c>
      <c r="J258" s="37">
        <v>47</v>
      </c>
      <c r="K258" s="24" t="s">
        <v>550</v>
      </c>
      <c r="L258" s="24" t="s">
        <v>2000</v>
      </c>
      <c r="M258" s="24">
        <v>40403</v>
      </c>
      <c r="N258" s="22" t="s">
        <v>576</v>
      </c>
      <c r="O258" s="4">
        <v>9110221</v>
      </c>
      <c r="P258" s="22">
        <v>720</v>
      </c>
      <c r="Q258" s="22">
        <v>42</v>
      </c>
      <c r="R258" s="22" t="s">
        <v>2898</v>
      </c>
      <c r="S258" s="4" t="s">
        <v>77</v>
      </c>
      <c r="T258" s="3" t="s">
        <v>404</v>
      </c>
      <c r="U258" s="28">
        <v>40612</v>
      </c>
      <c r="V258" s="3"/>
      <c r="W258" s="28"/>
      <c r="X258" s="74"/>
      <c r="Y258" s="28"/>
      <c r="Z258" s="9"/>
      <c r="AA258" s="24" t="s">
        <v>393</v>
      </c>
      <c r="AB258" s="28">
        <v>40631</v>
      </c>
      <c r="AC258" s="69"/>
    </row>
    <row r="259" spans="1:29" s="4" customFormat="1" ht="14.25" customHeight="1" x14ac:dyDescent="0.4">
      <c r="A259"/>
      <c r="B259" s="22">
        <v>0</v>
      </c>
      <c r="C259" s="22" t="s">
        <v>2102</v>
      </c>
      <c r="D259" s="22">
        <v>0</v>
      </c>
      <c r="E259" s="24">
        <v>40616</v>
      </c>
      <c r="F259" s="24" t="s">
        <v>393</v>
      </c>
      <c r="G259" s="24">
        <v>40618</v>
      </c>
      <c r="H259" s="37">
        <v>227</v>
      </c>
      <c r="I259" s="23" t="s">
        <v>2001</v>
      </c>
      <c r="J259" s="37">
        <v>29</v>
      </c>
      <c r="K259" s="24" t="s">
        <v>550</v>
      </c>
      <c r="L259" s="24" t="s">
        <v>2001</v>
      </c>
      <c r="M259" s="24">
        <v>40403</v>
      </c>
      <c r="N259" s="22" t="s">
        <v>576</v>
      </c>
      <c r="O259" s="4">
        <v>9110201</v>
      </c>
      <c r="P259" s="22">
        <v>720</v>
      </c>
      <c r="Q259" s="22">
        <v>42</v>
      </c>
      <c r="R259" s="22" t="s">
        <v>2899</v>
      </c>
      <c r="S259" s="4" t="s">
        <v>2163</v>
      </c>
      <c r="T259" s="3" t="s">
        <v>404</v>
      </c>
      <c r="U259" s="28">
        <v>40600</v>
      </c>
      <c r="V259" s="3"/>
      <c r="W259" s="28"/>
      <c r="X259" s="74"/>
      <c r="Y259" s="28"/>
      <c r="Z259" s="9"/>
      <c r="AA259" s="24" t="s">
        <v>393</v>
      </c>
      <c r="AB259" s="28">
        <v>40618</v>
      </c>
      <c r="AC259" s="69"/>
    </row>
    <row r="260" spans="1:29" s="4" customFormat="1" ht="14.25" customHeight="1" x14ac:dyDescent="0.4">
      <c r="A260"/>
      <c r="B260" s="22">
        <v>0</v>
      </c>
      <c r="C260" s="22">
        <v>0</v>
      </c>
      <c r="D260" s="22">
        <v>0</v>
      </c>
      <c r="E260" s="24">
        <v>40616</v>
      </c>
      <c r="F260" s="24" t="s">
        <v>393</v>
      </c>
      <c r="G260" s="24">
        <v>40618</v>
      </c>
      <c r="H260" s="37">
        <v>228</v>
      </c>
      <c r="I260" s="23" t="s">
        <v>2001</v>
      </c>
      <c r="J260" s="37">
        <v>30</v>
      </c>
      <c r="K260" s="24" t="s">
        <v>550</v>
      </c>
      <c r="L260" s="24" t="s">
        <v>2001</v>
      </c>
      <c r="M260" s="24">
        <v>40403</v>
      </c>
      <c r="N260" s="22" t="s">
        <v>576</v>
      </c>
      <c r="O260" s="4">
        <v>9110202</v>
      </c>
      <c r="P260" s="22">
        <v>720</v>
      </c>
      <c r="Q260" s="22">
        <v>42</v>
      </c>
      <c r="R260" s="22" t="s">
        <v>2900</v>
      </c>
      <c r="S260" s="4" t="s">
        <v>78</v>
      </c>
      <c r="T260" s="3" t="s">
        <v>404</v>
      </c>
      <c r="U260" s="28">
        <v>40612</v>
      </c>
      <c r="V260" s="3"/>
      <c r="W260" s="9"/>
      <c r="X260" s="74"/>
      <c r="Y260" s="28"/>
      <c r="Z260" s="28"/>
      <c r="AA260" s="24" t="s">
        <v>393</v>
      </c>
      <c r="AB260" s="28">
        <v>40618</v>
      </c>
      <c r="AC260" s="69"/>
    </row>
    <row r="261" spans="1:29" s="4" customFormat="1" ht="14.25" customHeight="1" x14ac:dyDescent="0.4">
      <c r="A261"/>
      <c r="B261" s="22">
        <v>0</v>
      </c>
      <c r="C261" s="22">
        <v>0</v>
      </c>
      <c r="D261" s="22">
        <v>0</v>
      </c>
      <c r="E261" s="24">
        <v>40602</v>
      </c>
      <c r="F261" s="24" t="s">
        <v>393</v>
      </c>
      <c r="G261" s="24">
        <v>40605</v>
      </c>
      <c r="H261" s="37">
        <v>196</v>
      </c>
      <c r="I261" s="23" t="s">
        <v>2000</v>
      </c>
      <c r="J261" s="37">
        <v>44</v>
      </c>
      <c r="K261" s="24" t="s">
        <v>550</v>
      </c>
      <c r="L261" s="24" t="s">
        <v>2001</v>
      </c>
      <c r="M261" s="24">
        <v>40403</v>
      </c>
      <c r="N261" s="22" t="s">
        <v>576</v>
      </c>
      <c r="O261" s="4">
        <v>9110222</v>
      </c>
      <c r="P261" s="22">
        <v>1020</v>
      </c>
      <c r="Q261" s="22">
        <v>42</v>
      </c>
      <c r="R261" s="22" t="s">
        <v>2901</v>
      </c>
      <c r="S261" s="4" t="s">
        <v>1070</v>
      </c>
      <c r="T261" s="1" t="s">
        <v>404</v>
      </c>
      <c r="U261" s="28">
        <v>40589</v>
      </c>
      <c r="V261" s="1"/>
      <c r="W261" s="9"/>
      <c r="X261" s="74"/>
      <c r="Y261" s="28"/>
      <c r="Z261" s="28"/>
      <c r="AA261" s="24" t="s">
        <v>393</v>
      </c>
      <c r="AB261" s="28">
        <v>40605</v>
      </c>
      <c r="AC261" s="69"/>
    </row>
    <row r="262" spans="1:29" s="4" customFormat="1" ht="14.25" customHeight="1" x14ac:dyDescent="0.4">
      <c r="A262"/>
      <c r="B262" s="22">
        <v>0</v>
      </c>
      <c r="C262" s="22">
        <v>0</v>
      </c>
      <c r="D262" s="22">
        <v>0</v>
      </c>
      <c r="E262" s="24">
        <v>40610</v>
      </c>
      <c r="F262" s="24" t="s">
        <v>393</v>
      </c>
      <c r="G262" s="24">
        <v>40618</v>
      </c>
      <c r="H262" s="37">
        <v>214</v>
      </c>
      <c r="I262" s="23" t="s">
        <v>2001</v>
      </c>
      <c r="J262" s="37">
        <v>16</v>
      </c>
      <c r="K262" s="24" t="s">
        <v>550</v>
      </c>
      <c r="L262" s="24" t="s">
        <v>2001</v>
      </c>
      <c r="M262" s="24">
        <v>40403</v>
      </c>
      <c r="N262" s="22" t="s">
        <v>576</v>
      </c>
      <c r="O262" s="4">
        <v>9110223</v>
      </c>
      <c r="P262" s="22">
        <v>1020</v>
      </c>
      <c r="Q262" s="22">
        <v>42</v>
      </c>
      <c r="R262" s="22" t="s">
        <v>2902</v>
      </c>
      <c r="S262" s="4" t="s">
        <v>2021</v>
      </c>
      <c r="T262" s="4" t="s">
        <v>404</v>
      </c>
      <c r="U262" s="57">
        <v>40900</v>
      </c>
      <c r="X262" s="75"/>
      <c r="Y262" s="28"/>
      <c r="Z262" s="9"/>
      <c r="AA262" s="24" t="s">
        <v>393</v>
      </c>
      <c r="AB262" s="28">
        <v>40618</v>
      </c>
      <c r="AC262" s="69"/>
    </row>
    <row r="263" spans="1:29" s="4" customFormat="1" ht="14.25" customHeight="1" x14ac:dyDescent="0.4">
      <c r="B263" s="22">
        <v>0</v>
      </c>
      <c r="C263" s="22">
        <v>0</v>
      </c>
      <c r="D263" s="22">
        <v>0</v>
      </c>
      <c r="E263" s="24">
        <v>40645</v>
      </c>
      <c r="F263" s="24" t="s">
        <v>393</v>
      </c>
      <c r="G263" s="24">
        <v>40647</v>
      </c>
      <c r="H263" s="37">
        <v>289</v>
      </c>
      <c r="I263" s="23" t="s">
        <v>2002</v>
      </c>
      <c r="J263" s="37">
        <v>22</v>
      </c>
      <c r="K263" s="24" t="s">
        <v>550</v>
      </c>
      <c r="L263" s="24" t="s">
        <v>2002</v>
      </c>
      <c r="M263" s="24">
        <v>40403</v>
      </c>
      <c r="N263" s="22" t="s">
        <v>576</v>
      </c>
      <c r="O263" s="4">
        <v>9110203</v>
      </c>
      <c r="P263" s="22">
        <v>720</v>
      </c>
      <c r="Q263" s="22">
        <v>42</v>
      </c>
      <c r="R263" s="22" t="s">
        <v>2903</v>
      </c>
      <c r="S263" s="4" t="s">
        <v>1448</v>
      </c>
      <c r="T263" s="4" t="s">
        <v>404</v>
      </c>
      <c r="U263" s="44">
        <v>40845</v>
      </c>
      <c r="W263" s="9"/>
      <c r="X263" s="74"/>
      <c r="Y263" s="28"/>
      <c r="Z263" s="9"/>
      <c r="AA263" s="24" t="s">
        <v>393</v>
      </c>
      <c r="AB263" s="28">
        <v>40647</v>
      </c>
      <c r="AC263" s="69"/>
    </row>
    <row r="264" spans="1:29" s="4" customFormat="1" ht="14.25" customHeight="1" x14ac:dyDescent="0.4">
      <c r="A264"/>
      <c r="B264" s="22">
        <v>0</v>
      </c>
      <c r="C264" s="22">
        <v>0</v>
      </c>
      <c r="D264" s="22">
        <v>0</v>
      </c>
      <c r="E264" s="24">
        <v>40645</v>
      </c>
      <c r="F264" s="24" t="s">
        <v>393</v>
      </c>
      <c r="G264" s="24">
        <v>40655</v>
      </c>
      <c r="H264" s="37">
        <v>290</v>
      </c>
      <c r="I264" s="23" t="s">
        <v>2002</v>
      </c>
      <c r="J264" s="37">
        <v>23</v>
      </c>
      <c r="K264" s="24" t="s">
        <v>550</v>
      </c>
      <c r="L264" s="24" t="s">
        <v>2002</v>
      </c>
      <c r="M264" s="24">
        <v>40403</v>
      </c>
      <c r="N264" s="22" t="s">
        <v>576</v>
      </c>
      <c r="O264" s="4">
        <v>9110204</v>
      </c>
      <c r="P264" s="22">
        <v>720</v>
      </c>
      <c r="Q264" s="22">
        <v>42</v>
      </c>
      <c r="R264" s="22" t="s">
        <v>2904</v>
      </c>
      <c r="S264" s="4" t="s">
        <v>1449</v>
      </c>
      <c r="T264" s="4" t="s">
        <v>404</v>
      </c>
      <c r="U264" s="43">
        <v>40848</v>
      </c>
      <c r="V264" s="4" t="s">
        <v>406</v>
      </c>
      <c r="X264" s="74"/>
      <c r="Y264" s="28"/>
      <c r="Z264" s="28"/>
      <c r="AA264" s="24" t="s">
        <v>393</v>
      </c>
      <c r="AB264" s="28">
        <v>40655</v>
      </c>
      <c r="AC264" s="69"/>
    </row>
    <row r="265" spans="1:29" s="4" customFormat="1" ht="14.25" customHeight="1" x14ac:dyDescent="0.4">
      <c r="A265"/>
      <c r="B265" s="22">
        <v>0</v>
      </c>
      <c r="C265" s="22">
        <v>0</v>
      </c>
      <c r="D265" s="22">
        <v>0</v>
      </c>
      <c r="E265" s="24">
        <v>40632</v>
      </c>
      <c r="F265" s="24" t="s">
        <v>393</v>
      </c>
      <c r="G265" s="24">
        <v>40639</v>
      </c>
      <c r="H265" s="37">
        <v>264</v>
      </c>
      <c r="I265" s="23" t="s">
        <v>2001</v>
      </c>
      <c r="J265" s="37">
        <v>66</v>
      </c>
      <c r="K265" s="24" t="s">
        <v>550</v>
      </c>
      <c r="L265" s="24" t="s">
        <v>2003</v>
      </c>
      <c r="M265" s="24">
        <v>40403</v>
      </c>
      <c r="N265" s="22" t="s">
        <v>576</v>
      </c>
      <c r="O265" s="4">
        <v>9110205</v>
      </c>
      <c r="P265" s="22">
        <v>720</v>
      </c>
      <c r="Q265" s="22">
        <v>42</v>
      </c>
      <c r="R265" s="22" t="s">
        <v>2905</v>
      </c>
      <c r="S265" s="4" t="s">
        <v>298</v>
      </c>
      <c r="T265" s="1" t="s">
        <v>404</v>
      </c>
      <c r="U265" s="42">
        <v>40731</v>
      </c>
      <c r="V265" s="1" t="s">
        <v>404</v>
      </c>
      <c r="W265" s="28">
        <v>40731</v>
      </c>
      <c r="X265" s="74"/>
      <c r="Y265" s="28"/>
      <c r="Z265" s="28"/>
      <c r="AA265" s="24" t="s">
        <v>393</v>
      </c>
      <c r="AB265" s="28">
        <v>40639</v>
      </c>
      <c r="AC265" s="69"/>
    </row>
    <row r="266" spans="1:29" s="4" customFormat="1" ht="14.25" customHeight="1" x14ac:dyDescent="0.4">
      <c r="A266"/>
      <c r="B266" s="22">
        <v>0</v>
      </c>
      <c r="C266" s="22">
        <v>0</v>
      </c>
      <c r="D266" s="22">
        <v>0</v>
      </c>
      <c r="E266" s="24">
        <v>40651</v>
      </c>
      <c r="F266" s="24" t="s">
        <v>393</v>
      </c>
      <c r="G266" s="24">
        <v>40654</v>
      </c>
      <c r="H266" s="37">
        <v>301</v>
      </c>
      <c r="I266" s="23" t="s">
        <v>2002</v>
      </c>
      <c r="J266" s="37">
        <v>34</v>
      </c>
      <c r="K266" s="24" t="s">
        <v>550</v>
      </c>
      <c r="L266" s="24" t="s">
        <v>2003</v>
      </c>
      <c r="M266" s="24">
        <v>40403</v>
      </c>
      <c r="N266" s="22" t="s">
        <v>576</v>
      </c>
      <c r="O266" s="4">
        <v>9110225</v>
      </c>
      <c r="P266" s="22">
        <v>1020</v>
      </c>
      <c r="Q266" s="22">
        <v>42</v>
      </c>
      <c r="R266" s="22" t="s">
        <v>2906</v>
      </c>
      <c r="S266" s="4" t="s">
        <v>2022</v>
      </c>
      <c r="T266" s="38" t="s">
        <v>404</v>
      </c>
      <c r="U266" s="44">
        <v>40900</v>
      </c>
      <c r="V266" s="38"/>
      <c r="W266" s="9"/>
      <c r="X266" s="74"/>
      <c r="Y266" s="28"/>
      <c r="Z266" s="9"/>
      <c r="AA266" s="24" t="s">
        <v>393</v>
      </c>
      <c r="AB266" s="28">
        <v>40654</v>
      </c>
      <c r="AC266" s="69"/>
    </row>
    <row r="267" spans="1:29" ht="14.25" customHeight="1" x14ac:dyDescent="0.4">
      <c r="B267" s="22">
        <v>0</v>
      </c>
      <c r="C267" s="22">
        <v>0</v>
      </c>
      <c r="D267" s="22">
        <v>0</v>
      </c>
      <c r="E267" s="24">
        <v>40652</v>
      </c>
      <c r="F267" s="24" t="s">
        <v>393</v>
      </c>
      <c r="G267" s="24">
        <v>40655</v>
      </c>
      <c r="H267" s="37">
        <v>304</v>
      </c>
      <c r="I267" s="23" t="s">
        <v>2002</v>
      </c>
      <c r="J267" s="37">
        <v>37</v>
      </c>
      <c r="K267" s="24" t="s">
        <v>550</v>
      </c>
      <c r="L267" s="24" t="s">
        <v>2004</v>
      </c>
      <c r="M267" s="24">
        <v>40403</v>
      </c>
      <c r="N267" s="22" t="s">
        <v>576</v>
      </c>
      <c r="O267" s="4">
        <v>9110207</v>
      </c>
      <c r="P267" s="22">
        <v>720</v>
      </c>
      <c r="Q267" s="22">
        <v>42</v>
      </c>
      <c r="R267" s="22" t="s">
        <v>2907</v>
      </c>
      <c r="S267" s="102" t="s">
        <v>291</v>
      </c>
      <c r="T267" s="91" t="s">
        <v>404</v>
      </c>
      <c r="U267" s="92">
        <v>40709</v>
      </c>
      <c r="V267" s="91"/>
      <c r="W267" s="92"/>
      <c r="X267" s="74"/>
      <c r="Y267" s="28"/>
      <c r="Z267" s="9"/>
      <c r="AA267" s="24" t="s">
        <v>393</v>
      </c>
      <c r="AB267" s="28">
        <v>40655</v>
      </c>
      <c r="AC267" s="69"/>
    </row>
    <row r="268" spans="1:29" s="5" customFormat="1" ht="14.25" customHeight="1" x14ac:dyDescent="0.4">
      <c r="A268"/>
      <c r="B268" s="22">
        <v>0</v>
      </c>
      <c r="C268" s="22">
        <v>0</v>
      </c>
      <c r="D268" s="22">
        <v>0</v>
      </c>
      <c r="E268" s="24">
        <v>40673</v>
      </c>
      <c r="F268" s="24" t="s">
        <v>393</v>
      </c>
      <c r="G268" s="24">
        <v>40676</v>
      </c>
      <c r="H268" s="37">
        <v>349</v>
      </c>
      <c r="I268" s="23" t="s">
        <v>2003</v>
      </c>
      <c r="J268" s="37">
        <v>19</v>
      </c>
      <c r="K268" s="24" t="s">
        <v>550</v>
      </c>
      <c r="L268" s="24" t="s">
        <v>2004</v>
      </c>
      <c r="M268" s="24">
        <v>40403</v>
      </c>
      <c r="N268" s="22" t="s">
        <v>576</v>
      </c>
      <c r="O268" s="4">
        <v>9110234</v>
      </c>
      <c r="P268" s="22">
        <v>1020</v>
      </c>
      <c r="Q268" s="22">
        <v>50</v>
      </c>
      <c r="R268" s="22" t="s">
        <v>2908</v>
      </c>
      <c r="S268" s="4" t="s">
        <v>2164</v>
      </c>
      <c r="T268" s="4" t="s">
        <v>404</v>
      </c>
      <c r="U268" s="43">
        <v>40598</v>
      </c>
      <c r="V268" s="4"/>
      <c r="W268" s="4"/>
      <c r="X268" s="74"/>
      <c r="Y268" s="28"/>
      <c r="Z268" s="9"/>
      <c r="AA268" s="24" t="s">
        <v>393</v>
      </c>
      <c r="AB268" s="28">
        <v>40676</v>
      </c>
      <c r="AC268" s="69"/>
    </row>
    <row r="269" spans="1:29" ht="14.25" customHeight="1" x14ac:dyDescent="0.4">
      <c r="B269" s="24">
        <v>40369</v>
      </c>
      <c r="C269" s="24">
        <v>40369</v>
      </c>
      <c r="D269" s="24">
        <v>40369</v>
      </c>
      <c r="E269" s="24">
        <v>40369</v>
      </c>
      <c r="F269" s="24" t="s">
        <v>392</v>
      </c>
      <c r="G269" s="24">
        <v>41075</v>
      </c>
      <c r="H269" s="37">
        <v>420</v>
      </c>
      <c r="I269" s="23" t="s">
        <v>2004</v>
      </c>
      <c r="J269" s="37">
        <v>34</v>
      </c>
      <c r="K269" s="24" t="s">
        <v>550</v>
      </c>
      <c r="L269" s="24">
        <v>0</v>
      </c>
      <c r="M269" s="24">
        <v>40359</v>
      </c>
      <c r="N269" s="22" t="s">
        <v>576</v>
      </c>
      <c r="O269" s="11">
        <v>9110032</v>
      </c>
      <c r="P269" s="22">
        <v>1220</v>
      </c>
      <c r="Q269" s="22">
        <v>50</v>
      </c>
      <c r="R269" s="171" t="s">
        <v>2140</v>
      </c>
      <c r="S269" s="5" t="s">
        <v>2141</v>
      </c>
      <c r="T269" s="5" t="s">
        <v>404</v>
      </c>
      <c r="U269" s="174">
        <v>41043</v>
      </c>
      <c r="V269" s="4"/>
      <c r="W269" s="57"/>
      <c r="X269" s="74"/>
      <c r="Y269" s="28"/>
      <c r="Z269" s="28"/>
      <c r="AA269" s="24" t="s">
        <v>392</v>
      </c>
      <c r="AB269" s="28">
        <v>41075</v>
      </c>
      <c r="AC269" s="69"/>
    </row>
    <row r="270" spans="1:29" ht="14.25" customHeight="1" x14ac:dyDescent="0.4">
      <c r="B270" s="22">
        <v>0</v>
      </c>
      <c r="C270" s="22">
        <v>0</v>
      </c>
      <c r="D270" s="22">
        <v>0</v>
      </c>
      <c r="E270" s="24">
        <v>40624</v>
      </c>
      <c r="F270" s="24" t="s">
        <v>393</v>
      </c>
      <c r="G270" s="24">
        <v>40630</v>
      </c>
      <c r="H270" s="37">
        <v>244</v>
      </c>
      <c r="I270" s="23" t="s">
        <v>2001</v>
      </c>
      <c r="J270" s="37">
        <v>46</v>
      </c>
      <c r="K270" s="24" t="s">
        <v>550</v>
      </c>
      <c r="L270" s="24" t="s">
        <v>2000</v>
      </c>
      <c r="M270" s="24">
        <v>40403</v>
      </c>
      <c r="N270" s="22" t="s">
        <v>286</v>
      </c>
      <c r="O270" s="4">
        <v>9110200</v>
      </c>
      <c r="P270" s="22">
        <v>1020</v>
      </c>
      <c r="Q270" s="22">
        <v>50</v>
      </c>
      <c r="R270" s="22" t="s">
        <v>2909</v>
      </c>
      <c r="S270" s="4" t="s">
        <v>387</v>
      </c>
      <c r="T270" s="4" t="s">
        <v>404</v>
      </c>
      <c r="U270" s="9">
        <v>40584</v>
      </c>
      <c r="V270" s="4"/>
      <c r="W270" s="9"/>
      <c r="Y270" s="28"/>
      <c r="Z270" s="28"/>
      <c r="AA270" s="24" t="s">
        <v>393</v>
      </c>
      <c r="AB270" s="28">
        <v>40630</v>
      </c>
      <c r="AC270" s="69"/>
    </row>
    <row r="271" spans="1:29" ht="14.25" customHeight="1" x14ac:dyDescent="0.4">
      <c r="A271" s="4"/>
      <c r="B271" s="22">
        <v>0</v>
      </c>
      <c r="C271" s="22">
        <v>0</v>
      </c>
      <c r="D271" s="22">
        <v>0</v>
      </c>
      <c r="E271" s="24">
        <v>40639</v>
      </c>
      <c r="F271" s="24" t="s">
        <v>393</v>
      </c>
      <c r="G271" s="24">
        <v>40644</v>
      </c>
      <c r="H271" s="37">
        <v>277</v>
      </c>
      <c r="I271" s="23" t="s">
        <v>2002</v>
      </c>
      <c r="J271" s="37">
        <v>10</v>
      </c>
      <c r="K271" s="24" t="s">
        <v>550</v>
      </c>
      <c r="L271" s="24" t="s">
        <v>2001</v>
      </c>
      <c r="M271" s="24">
        <v>40403</v>
      </c>
      <c r="N271" s="22" t="s">
        <v>286</v>
      </c>
      <c r="O271" s="4">
        <v>9110232</v>
      </c>
      <c r="P271" s="22">
        <v>1020</v>
      </c>
      <c r="Q271" s="22">
        <v>42</v>
      </c>
      <c r="R271" s="22" t="s">
        <v>2910</v>
      </c>
      <c r="S271" s="4" t="s">
        <v>388</v>
      </c>
      <c r="T271" s="38" t="s">
        <v>404</v>
      </c>
      <c r="U271" s="44">
        <v>40756</v>
      </c>
      <c r="V271" s="38"/>
      <c r="W271" s="9"/>
      <c r="X271" s="74"/>
      <c r="Y271" s="28"/>
      <c r="Z271" s="9"/>
      <c r="AA271" s="24" t="s">
        <v>393</v>
      </c>
      <c r="AB271" s="28">
        <v>40644</v>
      </c>
      <c r="AC271" s="69"/>
    </row>
    <row r="272" spans="1:29" s="4" customFormat="1" ht="14.25" customHeight="1" x14ac:dyDescent="0.4">
      <c r="A272"/>
      <c r="B272" s="22">
        <v>0</v>
      </c>
      <c r="C272" s="22">
        <v>0</v>
      </c>
      <c r="D272" s="22">
        <v>0</v>
      </c>
      <c r="E272" s="24">
        <v>40648</v>
      </c>
      <c r="F272" s="24" t="s">
        <v>393</v>
      </c>
      <c r="G272" s="24">
        <v>40651</v>
      </c>
      <c r="H272" s="37">
        <v>300</v>
      </c>
      <c r="I272" s="23" t="s">
        <v>2002</v>
      </c>
      <c r="J272" s="37">
        <v>33</v>
      </c>
      <c r="K272" s="24" t="s">
        <v>550</v>
      </c>
      <c r="L272" s="24" t="s">
        <v>2003</v>
      </c>
      <c r="M272" s="24">
        <v>40403</v>
      </c>
      <c r="N272" s="22" t="s">
        <v>286</v>
      </c>
      <c r="O272" s="4">
        <v>9110224</v>
      </c>
      <c r="P272" s="22">
        <v>1020</v>
      </c>
      <c r="Q272" s="22">
        <v>42</v>
      </c>
      <c r="R272" s="22" t="s">
        <v>2911</v>
      </c>
      <c r="S272" s="1" t="s">
        <v>389</v>
      </c>
      <c r="T272" s="55" t="s">
        <v>404</v>
      </c>
      <c r="U272" s="43">
        <v>40906</v>
      </c>
      <c r="V272" s="55"/>
      <c r="W272" s="71"/>
      <c r="X272" s="74"/>
      <c r="Y272" s="28"/>
      <c r="Z272" s="28"/>
      <c r="AA272" s="24" t="s">
        <v>393</v>
      </c>
      <c r="AB272" s="28">
        <v>40651</v>
      </c>
      <c r="AC272" s="69"/>
    </row>
    <row r="273" spans="1:29" s="4" customFormat="1" ht="14.25" customHeight="1" x14ac:dyDescent="0.4">
      <c r="A273"/>
      <c r="B273" s="22">
        <v>0</v>
      </c>
      <c r="C273" s="22" t="s">
        <v>2102</v>
      </c>
      <c r="D273" s="22">
        <v>0</v>
      </c>
      <c r="E273" s="24">
        <v>40455</v>
      </c>
      <c r="F273" s="24" t="s">
        <v>393</v>
      </c>
      <c r="G273" s="24">
        <v>40466</v>
      </c>
      <c r="H273" s="37">
        <v>18</v>
      </c>
      <c r="I273" s="23" t="e">
        <v>#REF!</v>
      </c>
      <c r="J273" s="37" t="e">
        <v>#REF!</v>
      </c>
      <c r="K273" s="24" t="s">
        <v>411</v>
      </c>
      <c r="L273" s="24" t="s">
        <v>2912</v>
      </c>
      <c r="M273" s="24">
        <v>40394</v>
      </c>
      <c r="N273" s="22" t="s">
        <v>566</v>
      </c>
      <c r="O273" s="4">
        <v>9110053</v>
      </c>
      <c r="P273" s="22">
        <v>1020</v>
      </c>
      <c r="Q273" s="22">
        <v>50</v>
      </c>
      <c r="R273" s="22" t="s">
        <v>694</v>
      </c>
      <c r="S273" s="1" t="s">
        <v>984</v>
      </c>
      <c r="T273" s="38"/>
      <c r="U273" s="9"/>
      <c r="V273" s="38"/>
      <c r="W273" s="92"/>
      <c r="X273" s="75"/>
      <c r="Y273" s="28"/>
      <c r="Z273" s="9"/>
      <c r="AA273" s="24" t="s">
        <v>393</v>
      </c>
      <c r="AB273" s="28">
        <v>40466</v>
      </c>
      <c r="AC273" s="69"/>
    </row>
    <row r="274" spans="1:29" s="4" customFormat="1" ht="14.25" customHeight="1" x14ac:dyDescent="0.4">
      <c r="A274"/>
      <c r="B274" s="22">
        <v>0</v>
      </c>
      <c r="C274" s="22" t="s">
        <v>2165</v>
      </c>
      <c r="D274" s="22">
        <v>0</v>
      </c>
      <c r="E274" s="24">
        <v>40457</v>
      </c>
      <c r="F274" s="24" t="s">
        <v>393</v>
      </c>
      <c r="G274" s="24">
        <v>40463</v>
      </c>
      <c r="H274" s="37">
        <v>20</v>
      </c>
      <c r="I274" s="23" t="e">
        <v>#REF!</v>
      </c>
      <c r="J274" s="37" t="e">
        <v>#REF!</v>
      </c>
      <c r="K274" s="24" t="s">
        <v>411</v>
      </c>
      <c r="L274" s="24" t="s">
        <v>2912</v>
      </c>
      <c r="M274" s="24">
        <v>40394</v>
      </c>
      <c r="N274" s="22" t="s">
        <v>566</v>
      </c>
      <c r="O274" s="4">
        <v>9110054</v>
      </c>
      <c r="P274" s="22">
        <v>1020</v>
      </c>
      <c r="Q274" s="22">
        <v>50</v>
      </c>
      <c r="R274" s="22" t="s">
        <v>696</v>
      </c>
      <c r="S274" s="1" t="s">
        <v>269</v>
      </c>
      <c r="T274" s="38" t="s">
        <v>404</v>
      </c>
      <c r="U274" s="9">
        <v>40877</v>
      </c>
      <c r="V274" s="38" t="s">
        <v>404</v>
      </c>
      <c r="W274" s="92">
        <v>40877</v>
      </c>
      <c r="X274" s="75"/>
      <c r="Y274" s="28"/>
      <c r="Z274" s="9"/>
      <c r="AA274" s="24" t="s">
        <v>393</v>
      </c>
      <c r="AB274" s="28">
        <v>40463</v>
      </c>
      <c r="AC274" s="69"/>
    </row>
    <row r="275" spans="1:29" s="4" customFormat="1" ht="14.25" customHeight="1" x14ac:dyDescent="0.4">
      <c r="A275"/>
      <c r="B275" s="22">
        <v>0</v>
      </c>
      <c r="C275" s="22">
        <v>0</v>
      </c>
      <c r="D275" s="22">
        <v>0</v>
      </c>
      <c r="E275" s="24">
        <v>40533</v>
      </c>
      <c r="F275" s="24" t="s">
        <v>393</v>
      </c>
      <c r="G275" s="24">
        <v>40539</v>
      </c>
      <c r="H275" s="37">
        <v>103</v>
      </c>
      <c r="I275" s="23" t="s">
        <v>1998</v>
      </c>
      <c r="J275" s="37">
        <v>24</v>
      </c>
      <c r="K275" s="24" t="s">
        <v>411</v>
      </c>
      <c r="L275" s="24" t="s">
        <v>1997</v>
      </c>
      <c r="M275" s="24">
        <v>40394</v>
      </c>
      <c r="N275" s="22" t="s">
        <v>566</v>
      </c>
      <c r="O275" s="4">
        <v>9110055</v>
      </c>
      <c r="P275" s="22">
        <v>1020</v>
      </c>
      <c r="Q275" s="22">
        <v>50</v>
      </c>
      <c r="R275" s="22" t="s">
        <v>698</v>
      </c>
      <c r="S275" s="1" t="s">
        <v>1605</v>
      </c>
      <c r="T275" s="38" t="s">
        <v>404</v>
      </c>
      <c r="U275" s="9">
        <v>40725</v>
      </c>
      <c r="V275" s="38" t="s">
        <v>404</v>
      </c>
      <c r="W275" s="92">
        <v>40725</v>
      </c>
      <c r="X275" s="74"/>
      <c r="Y275" s="28"/>
      <c r="Z275" s="28"/>
      <c r="AA275" s="24" t="s">
        <v>393</v>
      </c>
      <c r="AB275" s="28">
        <v>40539</v>
      </c>
      <c r="AC275" s="69"/>
    </row>
    <row r="276" spans="1:29" ht="14.25" customHeight="1" x14ac:dyDescent="0.4">
      <c r="B276" s="22">
        <v>0</v>
      </c>
      <c r="C276" s="22">
        <v>0</v>
      </c>
      <c r="D276" s="22">
        <v>0</v>
      </c>
      <c r="E276" s="24">
        <v>40532</v>
      </c>
      <c r="F276" s="24" t="s">
        <v>393</v>
      </c>
      <c r="G276" s="24">
        <v>40541</v>
      </c>
      <c r="H276" s="37">
        <v>101</v>
      </c>
      <c r="I276" s="23" t="s">
        <v>1998</v>
      </c>
      <c r="J276" s="37">
        <v>22</v>
      </c>
      <c r="K276" s="24" t="s">
        <v>411</v>
      </c>
      <c r="L276" s="24" t="s">
        <v>1997</v>
      </c>
      <c r="M276" s="24">
        <v>40394</v>
      </c>
      <c r="N276" s="22" t="s">
        <v>566</v>
      </c>
      <c r="O276" s="4">
        <v>9110056</v>
      </c>
      <c r="P276" s="22">
        <v>1020</v>
      </c>
      <c r="Q276" s="22">
        <v>50</v>
      </c>
      <c r="R276" s="22" t="s">
        <v>699</v>
      </c>
      <c r="S276" s="4" t="s">
        <v>984</v>
      </c>
      <c r="T276" s="4"/>
      <c r="U276" s="9"/>
      <c r="V276" s="4"/>
      <c r="W276" s="92"/>
      <c r="X276" s="74"/>
      <c r="Y276" s="28"/>
      <c r="Z276" s="28"/>
      <c r="AA276" s="24" t="s">
        <v>393</v>
      </c>
      <c r="AB276" s="28">
        <v>40541</v>
      </c>
      <c r="AC276" s="69"/>
    </row>
    <row r="277" spans="1:29" s="4" customFormat="1" ht="14.25" customHeight="1" x14ac:dyDescent="0.4">
      <c r="A277"/>
      <c r="B277" s="22">
        <v>0</v>
      </c>
      <c r="C277" s="22" t="s">
        <v>2165</v>
      </c>
      <c r="D277" s="22">
        <v>0</v>
      </c>
      <c r="E277" s="24">
        <v>40715</v>
      </c>
      <c r="F277" s="24" t="s">
        <v>393</v>
      </c>
      <c r="G277" s="24">
        <v>40718</v>
      </c>
      <c r="H277" s="37">
        <v>410</v>
      </c>
      <c r="I277" s="23" t="s">
        <v>2004</v>
      </c>
      <c r="J277" s="37">
        <v>24</v>
      </c>
      <c r="K277" s="24" t="s">
        <v>411</v>
      </c>
      <c r="L277" s="24" t="s">
        <v>2002</v>
      </c>
      <c r="M277" s="24">
        <v>40394</v>
      </c>
      <c r="N277" s="22" t="s">
        <v>566</v>
      </c>
      <c r="O277" s="4">
        <v>9110057</v>
      </c>
      <c r="P277" s="22">
        <v>1020</v>
      </c>
      <c r="Q277" s="22">
        <v>50</v>
      </c>
      <c r="R277" s="22" t="s">
        <v>846</v>
      </c>
      <c r="S277" s="11" t="s">
        <v>1568</v>
      </c>
      <c r="T277" s="4" t="s">
        <v>404</v>
      </c>
      <c r="U277" s="9">
        <v>41038</v>
      </c>
      <c r="V277" s="9" t="s">
        <v>404</v>
      </c>
      <c r="W277" s="9">
        <v>41038</v>
      </c>
      <c r="X277" s="146"/>
      <c r="Y277" s="28"/>
      <c r="Z277" s="28"/>
      <c r="AA277" s="24" t="s">
        <v>393</v>
      </c>
      <c r="AB277" s="28">
        <v>40718</v>
      </c>
      <c r="AC277" s="69"/>
    </row>
    <row r="278" spans="1:29" s="4" customFormat="1" ht="14.25" customHeight="1" x14ac:dyDescent="0.4">
      <c r="A278"/>
      <c r="B278" s="22">
        <v>0</v>
      </c>
      <c r="C278" s="22" t="s">
        <v>2165</v>
      </c>
      <c r="D278" s="22">
        <v>0</v>
      </c>
      <c r="E278" s="24">
        <v>40716</v>
      </c>
      <c r="F278" s="24" t="s">
        <v>393</v>
      </c>
      <c r="G278" s="24">
        <v>40722</v>
      </c>
      <c r="H278" s="37">
        <v>411</v>
      </c>
      <c r="I278" s="23" t="s">
        <v>2004</v>
      </c>
      <c r="J278" s="37">
        <v>25</v>
      </c>
      <c r="K278" s="24" t="s">
        <v>411</v>
      </c>
      <c r="L278" s="24" t="s">
        <v>1999</v>
      </c>
      <c r="M278" s="24">
        <v>40394</v>
      </c>
      <c r="N278" s="22" t="s">
        <v>566</v>
      </c>
      <c r="O278" s="4">
        <v>9110058</v>
      </c>
      <c r="P278" s="22">
        <v>1220</v>
      </c>
      <c r="Q278" s="22">
        <v>50</v>
      </c>
      <c r="R278" s="22" t="s">
        <v>1575</v>
      </c>
      <c r="S278" s="11" t="s">
        <v>984</v>
      </c>
      <c r="U278" s="57"/>
      <c r="X278" s="74"/>
      <c r="Y278" s="28"/>
      <c r="Z278" s="28"/>
      <c r="AA278" s="24" t="s">
        <v>393</v>
      </c>
      <c r="AB278" s="28">
        <v>40722</v>
      </c>
      <c r="AC278" s="69"/>
    </row>
    <row r="279" spans="1:29" s="4" customFormat="1" ht="14.25" customHeight="1" x14ac:dyDescent="0.4">
      <c r="A279"/>
      <c r="B279" s="24">
        <v>40722</v>
      </c>
      <c r="C279" s="24">
        <v>40722</v>
      </c>
      <c r="D279" s="24">
        <v>40722</v>
      </c>
      <c r="E279" s="24">
        <v>40722</v>
      </c>
      <c r="F279" s="24" t="s">
        <v>393</v>
      </c>
      <c r="G279" s="24">
        <v>40723</v>
      </c>
      <c r="H279" s="37">
        <v>414</v>
      </c>
      <c r="I279" s="23" t="s">
        <v>2004</v>
      </c>
      <c r="J279" s="37">
        <v>28</v>
      </c>
      <c r="K279" s="24" t="s">
        <v>411</v>
      </c>
      <c r="L279" s="24">
        <v>0</v>
      </c>
      <c r="M279" s="24">
        <v>40434</v>
      </c>
      <c r="N279" s="22" t="s">
        <v>572</v>
      </c>
      <c r="O279" s="4">
        <v>9110366</v>
      </c>
      <c r="P279" s="22">
        <v>1020</v>
      </c>
      <c r="Q279" s="22">
        <v>50</v>
      </c>
      <c r="R279" s="22" t="s">
        <v>2913</v>
      </c>
      <c r="S279" s="11" t="s">
        <v>182</v>
      </c>
      <c r="T279" s="38" t="s">
        <v>404</v>
      </c>
      <c r="U279" s="44">
        <v>40711</v>
      </c>
      <c r="V279" s="38" t="s">
        <v>404</v>
      </c>
      <c r="W279" s="44">
        <v>40711</v>
      </c>
      <c r="X279" s="74">
        <v>0</v>
      </c>
      <c r="Y279" s="28"/>
      <c r="Z279" s="9"/>
      <c r="AA279" s="24" t="s">
        <v>393</v>
      </c>
      <c r="AB279" s="28">
        <v>40723</v>
      </c>
      <c r="AC279" s="69"/>
    </row>
    <row r="280" spans="1:29" s="4" customFormat="1" ht="14.25" customHeight="1" x14ac:dyDescent="0.4">
      <c r="A280"/>
      <c r="B280" s="22">
        <v>0</v>
      </c>
      <c r="C280" s="22" t="s">
        <v>2165</v>
      </c>
      <c r="D280" s="22">
        <v>0</v>
      </c>
      <c r="E280" s="24">
        <v>40465</v>
      </c>
      <c r="F280" s="24" t="s">
        <v>393</v>
      </c>
      <c r="G280" s="24">
        <v>40473</v>
      </c>
      <c r="H280" s="37">
        <v>28</v>
      </c>
      <c r="I280" s="23" t="e">
        <v>#REF!</v>
      </c>
      <c r="J280" s="37" t="e">
        <v>#REF!</v>
      </c>
      <c r="K280" s="24" t="s">
        <v>411</v>
      </c>
      <c r="L280" s="24">
        <v>0</v>
      </c>
      <c r="M280" s="24">
        <v>40403</v>
      </c>
      <c r="N280" s="22" t="s">
        <v>604</v>
      </c>
      <c r="O280" s="11">
        <v>9110125</v>
      </c>
      <c r="P280" s="22">
        <v>1220</v>
      </c>
      <c r="Q280" s="22">
        <v>50</v>
      </c>
      <c r="R280" s="22" t="s">
        <v>1679</v>
      </c>
      <c r="S280" s="4" t="s">
        <v>138</v>
      </c>
      <c r="T280" s="38" t="s">
        <v>404</v>
      </c>
      <c r="U280" s="9">
        <v>40417</v>
      </c>
      <c r="V280" s="38" t="s">
        <v>404</v>
      </c>
      <c r="W280" s="127" t="s">
        <v>257</v>
      </c>
      <c r="X280" s="74"/>
      <c r="Y280" s="28"/>
      <c r="Z280" s="9"/>
      <c r="AA280" s="24" t="s">
        <v>393</v>
      </c>
      <c r="AB280" s="28">
        <v>40473</v>
      </c>
      <c r="AC280" s="69"/>
    </row>
    <row r="281" spans="1:29" ht="14.25" customHeight="1" x14ac:dyDescent="0.4">
      <c r="B281" s="22">
        <v>0</v>
      </c>
      <c r="C281" s="22" t="s">
        <v>2165</v>
      </c>
      <c r="D281" s="22">
        <v>0</v>
      </c>
      <c r="E281" s="24">
        <v>40466</v>
      </c>
      <c r="F281" s="24" t="s">
        <v>393</v>
      </c>
      <c r="G281" s="24">
        <v>40472</v>
      </c>
      <c r="H281" s="37">
        <v>29</v>
      </c>
      <c r="I281" s="23" t="e">
        <v>#REF!</v>
      </c>
      <c r="J281" s="37" t="e">
        <v>#REF!</v>
      </c>
      <c r="K281" s="24" t="s">
        <v>411</v>
      </c>
      <c r="L281" s="24">
        <v>0</v>
      </c>
      <c r="M281" s="24">
        <v>40403</v>
      </c>
      <c r="N281" s="22" t="s">
        <v>604</v>
      </c>
      <c r="O281" s="4">
        <v>9110126</v>
      </c>
      <c r="P281" s="22">
        <v>1220</v>
      </c>
      <c r="Q281" s="22">
        <v>50</v>
      </c>
      <c r="R281" s="22" t="s">
        <v>1679</v>
      </c>
      <c r="S281" s="38" t="s">
        <v>139</v>
      </c>
      <c r="T281" s="38" t="s">
        <v>404</v>
      </c>
      <c r="U281" s="9">
        <v>40423</v>
      </c>
      <c r="V281" s="38" t="s">
        <v>404</v>
      </c>
      <c r="W281" s="127" t="s">
        <v>257</v>
      </c>
      <c r="X281" s="74"/>
      <c r="Y281" s="28"/>
      <c r="Z281" s="28"/>
      <c r="AA281" s="24" t="s">
        <v>393</v>
      </c>
      <c r="AB281" s="28">
        <v>40472</v>
      </c>
      <c r="AC281" s="69"/>
    </row>
    <row r="282" spans="1:29" ht="14.25" customHeight="1" x14ac:dyDescent="0.4">
      <c r="A282" s="4"/>
      <c r="B282" s="24">
        <v>40548</v>
      </c>
      <c r="C282" s="24">
        <v>40548</v>
      </c>
      <c r="D282" s="24">
        <v>40548</v>
      </c>
      <c r="E282" s="24">
        <v>40548</v>
      </c>
      <c r="F282" s="24" t="s">
        <v>393</v>
      </c>
      <c r="G282" s="24">
        <v>40556</v>
      </c>
      <c r="H282" s="37">
        <v>114</v>
      </c>
      <c r="I282" s="23" t="s">
        <v>1999</v>
      </c>
      <c r="J282" s="37">
        <v>5</v>
      </c>
      <c r="K282" s="24" t="s">
        <v>411</v>
      </c>
      <c r="L282" s="36"/>
      <c r="M282" s="24">
        <v>40410</v>
      </c>
      <c r="N282" s="22" t="s">
        <v>604</v>
      </c>
      <c r="O282" s="4">
        <v>9110307</v>
      </c>
      <c r="P282" s="22">
        <v>1220</v>
      </c>
      <c r="Q282" s="22">
        <v>50</v>
      </c>
      <c r="R282" s="22" t="s">
        <v>698</v>
      </c>
      <c r="S282" s="4" t="s">
        <v>140</v>
      </c>
      <c r="T282" s="38" t="s">
        <v>404</v>
      </c>
      <c r="U282" s="44">
        <v>40620</v>
      </c>
      <c r="V282" s="38" t="s">
        <v>404</v>
      </c>
      <c r="W282" s="127" t="s">
        <v>257</v>
      </c>
      <c r="X282" s="74"/>
      <c r="Y282" s="28"/>
      <c r="Z282" s="9"/>
      <c r="AA282" s="24" t="s">
        <v>393</v>
      </c>
      <c r="AB282" s="28">
        <v>40556</v>
      </c>
      <c r="AC282" s="69"/>
    </row>
    <row r="283" spans="1:29" ht="14.25" customHeight="1" x14ac:dyDescent="0.4">
      <c r="A283" s="4"/>
      <c r="B283" s="24">
        <v>40534</v>
      </c>
      <c r="C283" s="24">
        <v>40534</v>
      </c>
      <c r="D283" s="24">
        <v>40534</v>
      </c>
      <c r="E283" s="24">
        <v>40534</v>
      </c>
      <c r="F283" s="24" t="s">
        <v>393</v>
      </c>
      <c r="G283" s="24">
        <v>40541</v>
      </c>
      <c r="H283" s="37">
        <v>104</v>
      </c>
      <c r="I283" s="23" t="s">
        <v>1998</v>
      </c>
      <c r="J283" s="37">
        <v>25</v>
      </c>
      <c r="K283" s="24" t="s">
        <v>411</v>
      </c>
      <c r="L283" s="36"/>
      <c r="M283" s="24">
        <v>40410</v>
      </c>
      <c r="N283" s="22" t="s">
        <v>604</v>
      </c>
      <c r="O283" s="4">
        <v>9110308</v>
      </c>
      <c r="P283" s="22">
        <v>1020</v>
      </c>
      <c r="Q283" s="22">
        <v>42</v>
      </c>
      <c r="R283" s="22" t="s">
        <v>699</v>
      </c>
      <c r="S283" s="4" t="s">
        <v>265</v>
      </c>
      <c r="T283" s="38" t="s">
        <v>404</v>
      </c>
      <c r="U283" s="44">
        <v>40689</v>
      </c>
      <c r="V283" s="38" t="s">
        <v>404</v>
      </c>
      <c r="W283" s="127">
        <v>40689</v>
      </c>
      <c r="X283" s="74"/>
      <c r="Y283" s="28"/>
      <c r="Z283" s="9"/>
      <c r="AA283" s="24" t="s">
        <v>393</v>
      </c>
      <c r="AB283" s="28">
        <v>40541</v>
      </c>
      <c r="AC283" s="69"/>
    </row>
    <row r="284" spans="1:29" ht="14.25" customHeight="1" x14ac:dyDescent="0.4">
      <c r="A284" s="4"/>
      <c r="B284" s="22">
        <v>0</v>
      </c>
      <c r="C284" s="22" t="s">
        <v>2102</v>
      </c>
      <c r="D284" s="22">
        <v>0</v>
      </c>
      <c r="E284" s="24">
        <v>40714</v>
      </c>
      <c r="F284" s="24" t="s">
        <v>393</v>
      </c>
      <c r="G284" s="24">
        <v>40717</v>
      </c>
      <c r="H284" s="37">
        <v>409</v>
      </c>
      <c r="I284" s="23" t="s">
        <v>2004</v>
      </c>
      <c r="J284" s="37">
        <v>23</v>
      </c>
      <c r="K284" s="24" t="s">
        <v>411</v>
      </c>
      <c r="L284" s="36"/>
      <c r="M284" s="24">
        <v>40410</v>
      </c>
      <c r="N284" s="22" t="s">
        <v>604</v>
      </c>
      <c r="O284" s="4">
        <v>9110309</v>
      </c>
      <c r="P284" s="22">
        <v>1220</v>
      </c>
      <c r="Q284" s="22">
        <v>50</v>
      </c>
      <c r="R284" s="22" t="s">
        <v>846</v>
      </c>
      <c r="S284" s="11" t="s">
        <v>1037</v>
      </c>
      <c r="T284" s="38" t="s">
        <v>404</v>
      </c>
      <c r="U284" s="44">
        <v>40836</v>
      </c>
      <c r="V284" s="38" t="s">
        <v>404</v>
      </c>
      <c r="W284" s="127">
        <v>40973</v>
      </c>
      <c r="X284" s="74"/>
      <c r="Y284" s="28"/>
      <c r="Z284" s="9"/>
      <c r="AA284" s="24" t="s">
        <v>393</v>
      </c>
      <c r="AB284" s="28">
        <v>40717</v>
      </c>
      <c r="AC284" s="69"/>
    </row>
    <row r="285" spans="1:29" ht="14.25" customHeight="1" x14ac:dyDescent="0.4">
      <c r="A285" s="4"/>
      <c r="B285" s="22">
        <v>0</v>
      </c>
      <c r="C285" s="22" t="s">
        <v>2165</v>
      </c>
      <c r="D285" s="22">
        <v>0</v>
      </c>
      <c r="E285" s="24">
        <v>40640</v>
      </c>
      <c r="F285" s="24" t="s">
        <v>393</v>
      </c>
      <c r="G285" s="24">
        <v>40646</v>
      </c>
      <c r="H285" s="37">
        <v>280</v>
      </c>
      <c r="I285" s="23" t="s">
        <v>2002</v>
      </c>
      <c r="J285" s="37">
        <v>13</v>
      </c>
      <c r="K285" s="24" t="s">
        <v>411</v>
      </c>
      <c r="L285" s="36"/>
      <c r="M285" s="24">
        <v>40410</v>
      </c>
      <c r="N285" s="22" t="s">
        <v>604</v>
      </c>
      <c r="O285" s="4">
        <v>9110310</v>
      </c>
      <c r="P285" s="22">
        <v>1020</v>
      </c>
      <c r="Q285" s="22">
        <v>42</v>
      </c>
      <c r="R285" s="22" t="s">
        <v>1575</v>
      </c>
      <c r="S285" s="4" t="s">
        <v>208</v>
      </c>
      <c r="T285" s="38" t="s">
        <v>404</v>
      </c>
      <c r="U285" s="44">
        <v>40668</v>
      </c>
      <c r="V285" s="38" t="s">
        <v>404</v>
      </c>
      <c r="W285" s="127" t="s">
        <v>257</v>
      </c>
      <c r="X285" s="74"/>
      <c r="Y285" s="28"/>
      <c r="Z285" s="9"/>
      <c r="AA285" s="24" t="s">
        <v>393</v>
      </c>
      <c r="AB285" s="28">
        <v>40646</v>
      </c>
      <c r="AC285" s="69"/>
    </row>
    <row r="286" spans="1:29" ht="14.25" customHeight="1" x14ac:dyDescent="0.4">
      <c r="B286" s="22">
        <v>0</v>
      </c>
      <c r="C286" s="22" t="s">
        <v>2165</v>
      </c>
      <c r="D286" s="22">
        <v>0</v>
      </c>
      <c r="E286" s="24">
        <v>40714</v>
      </c>
      <c r="F286" s="24" t="s">
        <v>393</v>
      </c>
      <c r="G286" s="24">
        <v>40716</v>
      </c>
      <c r="H286" s="37">
        <v>407</v>
      </c>
      <c r="I286" s="23" t="s">
        <v>2004</v>
      </c>
      <c r="J286" s="37">
        <v>21</v>
      </c>
      <c r="K286" s="24" t="s">
        <v>411</v>
      </c>
      <c r="L286" s="36"/>
      <c r="M286" s="24">
        <v>40410</v>
      </c>
      <c r="N286" s="22" t="s">
        <v>604</v>
      </c>
      <c r="O286" s="4">
        <v>9110311</v>
      </c>
      <c r="P286" s="22">
        <v>1220</v>
      </c>
      <c r="Q286" s="22">
        <v>50</v>
      </c>
      <c r="R286" s="22" t="s">
        <v>810</v>
      </c>
      <c r="S286" s="11" t="s">
        <v>1842</v>
      </c>
      <c r="T286" s="38" t="s">
        <v>404</v>
      </c>
      <c r="U286" s="44">
        <v>40973</v>
      </c>
      <c r="V286" s="38"/>
      <c r="W286" s="127"/>
      <c r="X286" s="74"/>
      <c r="Y286" s="28"/>
      <c r="Z286" s="9"/>
      <c r="AA286" s="24" t="s">
        <v>393</v>
      </c>
      <c r="AB286" s="28">
        <v>40716</v>
      </c>
      <c r="AC286" s="69"/>
    </row>
    <row r="287" spans="1:29" s="4" customFormat="1" ht="14.25" customHeight="1" x14ac:dyDescent="0.4">
      <c r="B287" s="22">
        <v>0</v>
      </c>
      <c r="C287" s="22" t="s">
        <v>2165</v>
      </c>
      <c r="D287" s="22">
        <v>0</v>
      </c>
      <c r="E287" s="24">
        <v>40711</v>
      </c>
      <c r="F287" s="24" t="s">
        <v>393</v>
      </c>
      <c r="G287" s="24">
        <v>40718</v>
      </c>
      <c r="H287" s="37">
        <v>406</v>
      </c>
      <c r="I287" s="23" t="s">
        <v>2004</v>
      </c>
      <c r="J287" s="37">
        <v>20</v>
      </c>
      <c r="K287" s="24" t="s">
        <v>411</v>
      </c>
      <c r="L287" s="36"/>
      <c r="M287" s="24">
        <v>40410</v>
      </c>
      <c r="N287" s="22" t="s">
        <v>604</v>
      </c>
      <c r="O287" s="4">
        <v>9110312</v>
      </c>
      <c r="P287" s="22">
        <v>1220</v>
      </c>
      <c r="Q287" s="22">
        <v>50</v>
      </c>
      <c r="R287" s="22" t="s">
        <v>826</v>
      </c>
      <c r="S287" s="4" t="s">
        <v>1540</v>
      </c>
      <c r="T287" s="38" t="s">
        <v>404</v>
      </c>
      <c r="U287" s="44">
        <v>40795</v>
      </c>
      <c r="V287" s="38" t="s">
        <v>404</v>
      </c>
      <c r="W287" s="127">
        <v>40862</v>
      </c>
      <c r="X287" s="74"/>
      <c r="Y287" s="28"/>
      <c r="Z287" s="9"/>
      <c r="AA287" s="24" t="s">
        <v>393</v>
      </c>
      <c r="AB287" s="28">
        <v>40718</v>
      </c>
      <c r="AC287" s="69"/>
    </row>
    <row r="288" spans="1:29" ht="14.25" customHeight="1" x14ac:dyDescent="0.4">
      <c r="B288" s="22">
        <v>0</v>
      </c>
      <c r="C288" s="22" t="s">
        <v>2165</v>
      </c>
      <c r="D288" s="22">
        <v>0</v>
      </c>
      <c r="E288" s="24">
        <v>40466</v>
      </c>
      <c r="F288" s="24" t="s">
        <v>393</v>
      </c>
      <c r="G288" s="24">
        <v>40472</v>
      </c>
      <c r="H288" s="37">
        <v>30</v>
      </c>
      <c r="I288" s="23" t="e">
        <v>#REF!</v>
      </c>
      <c r="J288" s="37" t="e">
        <v>#REF!</v>
      </c>
      <c r="K288" s="24" t="s">
        <v>411</v>
      </c>
      <c r="L288" s="24" t="s">
        <v>2912</v>
      </c>
      <c r="M288" s="24">
        <v>40401</v>
      </c>
      <c r="N288" s="22" t="s">
        <v>1453</v>
      </c>
      <c r="O288" s="4">
        <v>9110079</v>
      </c>
      <c r="P288" s="22">
        <v>1020</v>
      </c>
      <c r="Q288" s="22">
        <v>42</v>
      </c>
      <c r="R288" s="22" t="s">
        <v>2914</v>
      </c>
      <c r="S288" s="4" t="s">
        <v>141</v>
      </c>
      <c r="T288" s="38" t="s">
        <v>404</v>
      </c>
      <c r="U288" s="127">
        <v>40592</v>
      </c>
      <c r="V288" s="38" t="s">
        <v>404</v>
      </c>
      <c r="W288" s="127" t="s">
        <v>257</v>
      </c>
      <c r="X288" s="74"/>
      <c r="Y288" s="28"/>
      <c r="Z288" s="9"/>
      <c r="AA288" s="24" t="s">
        <v>393</v>
      </c>
      <c r="AB288" s="28">
        <v>40472</v>
      </c>
      <c r="AC288" s="69"/>
    </row>
    <row r="289" spans="1:29" s="4" customFormat="1" ht="14.25" customHeight="1" x14ac:dyDescent="0.4">
      <c r="A289" s="5"/>
      <c r="B289" s="22">
        <v>0</v>
      </c>
      <c r="C289" s="22" t="s">
        <v>2165</v>
      </c>
      <c r="D289" s="22">
        <v>0</v>
      </c>
      <c r="E289" s="24">
        <v>40479</v>
      </c>
      <c r="F289" s="24" t="s">
        <v>393</v>
      </c>
      <c r="G289" s="24">
        <v>40499</v>
      </c>
      <c r="H289" s="37">
        <v>46</v>
      </c>
      <c r="I289" s="23" t="e">
        <v>#REF!</v>
      </c>
      <c r="J289" s="37" t="e">
        <v>#REF!</v>
      </c>
      <c r="K289" s="24" t="s">
        <v>411</v>
      </c>
      <c r="L289" s="24" t="s">
        <v>2912</v>
      </c>
      <c r="M289" s="24">
        <v>40401</v>
      </c>
      <c r="N289" s="22" t="s">
        <v>1453</v>
      </c>
      <c r="O289" s="4">
        <v>9110082</v>
      </c>
      <c r="P289" s="22">
        <v>1220</v>
      </c>
      <c r="Q289" s="22">
        <v>50</v>
      </c>
      <c r="R289" s="22" t="s">
        <v>2915</v>
      </c>
      <c r="S289" s="4" t="s">
        <v>898</v>
      </c>
      <c r="T289" s="38" t="s">
        <v>404</v>
      </c>
      <c r="U289" s="44">
        <v>40763</v>
      </c>
      <c r="V289" s="38" t="s">
        <v>404</v>
      </c>
      <c r="W289" s="44">
        <v>40763</v>
      </c>
      <c r="X289" s="74"/>
      <c r="Y289" s="28"/>
      <c r="Z289" s="9"/>
      <c r="AA289" s="24" t="s">
        <v>393</v>
      </c>
      <c r="AB289" s="28">
        <v>40499</v>
      </c>
      <c r="AC289" s="69"/>
    </row>
    <row r="290" spans="1:29" ht="14.25" customHeight="1" x14ac:dyDescent="0.4">
      <c r="B290" s="22">
        <v>0</v>
      </c>
      <c r="C290" s="22" t="s">
        <v>2102</v>
      </c>
      <c r="D290" s="22">
        <v>0</v>
      </c>
      <c r="E290" s="24">
        <v>40675</v>
      </c>
      <c r="F290" s="24" t="s">
        <v>393</v>
      </c>
      <c r="G290" s="24">
        <v>40683</v>
      </c>
      <c r="H290" s="37">
        <v>354</v>
      </c>
      <c r="I290" s="23" t="s">
        <v>2003</v>
      </c>
      <c r="J290" s="37">
        <v>24</v>
      </c>
      <c r="K290" s="24" t="s">
        <v>411</v>
      </c>
      <c r="L290" s="24">
        <v>0</v>
      </c>
      <c r="M290" s="24">
        <v>40401</v>
      </c>
      <c r="N290" s="22" t="s">
        <v>1453</v>
      </c>
      <c r="O290" s="4">
        <v>9110080</v>
      </c>
      <c r="P290" s="22">
        <v>1020</v>
      </c>
      <c r="Q290" s="22">
        <v>42</v>
      </c>
      <c r="R290" s="22" t="s">
        <v>2916</v>
      </c>
      <c r="S290" s="4" t="s">
        <v>153</v>
      </c>
      <c r="T290" s="38" t="s">
        <v>404</v>
      </c>
      <c r="U290" s="9">
        <v>40688</v>
      </c>
      <c r="V290" s="38" t="s">
        <v>404</v>
      </c>
      <c r="W290" s="127">
        <v>40688</v>
      </c>
      <c r="X290" s="74"/>
      <c r="Y290" s="28"/>
      <c r="Z290" s="28"/>
      <c r="AA290" s="24" t="s">
        <v>393</v>
      </c>
      <c r="AB290" s="28">
        <v>40683</v>
      </c>
      <c r="AC290" s="69"/>
    </row>
    <row r="291" spans="1:29" ht="14.25" customHeight="1" x14ac:dyDescent="0.4">
      <c r="B291" s="22">
        <v>0</v>
      </c>
      <c r="C291" s="22" t="s">
        <v>2165</v>
      </c>
      <c r="D291" s="22">
        <v>0</v>
      </c>
      <c r="E291" s="24">
        <v>40526</v>
      </c>
      <c r="F291" s="24" t="s">
        <v>393</v>
      </c>
      <c r="G291" s="24">
        <v>40533</v>
      </c>
      <c r="H291" s="37">
        <v>94</v>
      </c>
      <c r="I291" s="23" t="s">
        <v>1998</v>
      </c>
      <c r="J291" s="37">
        <v>15</v>
      </c>
      <c r="K291" s="24" t="s">
        <v>411</v>
      </c>
      <c r="L291" s="24" t="s">
        <v>2912</v>
      </c>
      <c r="M291" s="24">
        <v>40401</v>
      </c>
      <c r="N291" s="22" t="s">
        <v>1453</v>
      </c>
      <c r="O291" s="4">
        <v>9110081</v>
      </c>
      <c r="P291" s="22">
        <v>1020</v>
      </c>
      <c r="Q291" s="22">
        <v>42</v>
      </c>
      <c r="R291" s="22" t="s">
        <v>2917</v>
      </c>
      <c r="S291" s="4" t="s">
        <v>151</v>
      </c>
      <c r="T291" s="38" t="s">
        <v>404</v>
      </c>
      <c r="U291" s="9">
        <v>40569</v>
      </c>
      <c r="V291" s="38" t="s">
        <v>404</v>
      </c>
      <c r="W291" s="127" t="s">
        <v>257</v>
      </c>
      <c r="X291" s="74"/>
      <c r="Y291" s="28"/>
      <c r="Z291" s="9"/>
      <c r="AA291" s="24" t="s">
        <v>393</v>
      </c>
      <c r="AB291" s="28">
        <v>40533</v>
      </c>
      <c r="AC291" s="69"/>
    </row>
    <row r="292" spans="1:29" ht="14.25" customHeight="1" x14ac:dyDescent="0.4">
      <c r="B292" s="22">
        <v>0</v>
      </c>
      <c r="C292" s="22" t="s">
        <v>2165</v>
      </c>
      <c r="D292" s="22">
        <v>0</v>
      </c>
      <c r="E292" s="24">
        <v>40547</v>
      </c>
      <c r="F292" s="24" t="s">
        <v>393</v>
      </c>
      <c r="G292" s="24">
        <v>40553</v>
      </c>
      <c r="H292" s="37">
        <v>112</v>
      </c>
      <c r="I292" s="23" t="s">
        <v>1999</v>
      </c>
      <c r="J292" s="37">
        <v>3</v>
      </c>
      <c r="K292" s="24" t="s">
        <v>411</v>
      </c>
      <c r="L292" s="24" t="s">
        <v>2912</v>
      </c>
      <c r="M292" s="24">
        <v>40401</v>
      </c>
      <c r="N292" s="22" t="s">
        <v>1453</v>
      </c>
      <c r="O292" s="4">
        <v>9110083</v>
      </c>
      <c r="P292" s="22">
        <v>1020</v>
      </c>
      <c r="Q292" s="22">
        <v>50</v>
      </c>
      <c r="R292" s="22" t="s">
        <v>2918</v>
      </c>
      <c r="S292" s="38" t="s">
        <v>137</v>
      </c>
      <c r="T292" s="38" t="s">
        <v>404</v>
      </c>
      <c r="U292" s="44">
        <v>40652</v>
      </c>
      <c r="V292" s="38" t="s">
        <v>404</v>
      </c>
      <c r="W292" s="127" t="s">
        <v>257</v>
      </c>
      <c r="X292" s="74"/>
      <c r="Y292" s="28"/>
      <c r="Z292" s="28"/>
      <c r="AA292" s="24" t="s">
        <v>393</v>
      </c>
      <c r="AB292" s="28">
        <v>40553</v>
      </c>
      <c r="AC292" s="69"/>
    </row>
    <row r="293" spans="1:29" ht="14.25" customHeight="1" x14ac:dyDescent="0.4">
      <c r="B293" s="22">
        <v>0</v>
      </c>
      <c r="C293" s="22" t="s">
        <v>2165</v>
      </c>
      <c r="D293" s="22">
        <v>0</v>
      </c>
      <c r="E293" s="24">
        <v>40548</v>
      </c>
      <c r="F293" s="24" t="s">
        <v>393</v>
      </c>
      <c r="G293" s="24">
        <v>40553</v>
      </c>
      <c r="H293" s="37">
        <v>113</v>
      </c>
      <c r="I293" s="23" t="s">
        <v>1999</v>
      </c>
      <c r="J293" s="37">
        <v>4</v>
      </c>
      <c r="K293" s="24" t="s">
        <v>411</v>
      </c>
      <c r="L293" s="24" t="s">
        <v>2912</v>
      </c>
      <c r="M293" s="24">
        <v>40401</v>
      </c>
      <c r="N293" s="22" t="s">
        <v>1453</v>
      </c>
      <c r="O293" s="4">
        <v>9110084</v>
      </c>
      <c r="P293" s="22">
        <v>1020</v>
      </c>
      <c r="Q293" s="22">
        <v>50</v>
      </c>
      <c r="R293" s="22" t="s">
        <v>2919</v>
      </c>
      <c r="S293" s="4" t="s">
        <v>152</v>
      </c>
      <c r="T293" s="4" t="s">
        <v>404</v>
      </c>
      <c r="U293" s="57">
        <v>40557</v>
      </c>
      <c r="V293" s="4" t="s">
        <v>404</v>
      </c>
      <c r="W293" s="127" t="s">
        <v>257</v>
      </c>
      <c r="X293" s="74"/>
      <c r="Y293" s="28"/>
      <c r="Z293" s="28"/>
      <c r="AA293" s="24" t="s">
        <v>393</v>
      </c>
      <c r="AB293" s="28">
        <v>40553</v>
      </c>
      <c r="AC293" s="69"/>
    </row>
    <row r="294" spans="1:29" ht="14.25" customHeight="1" x14ac:dyDescent="0.4">
      <c r="B294" s="24">
        <v>40483</v>
      </c>
      <c r="C294" s="24">
        <v>40483</v>
      </c>
      <c r="D294" s="24">
        <v>40483</v>
      </c>
      <c r="E294" s="24">
        <v>40483</v>
      </c>
      <c r="F294" s="24" t="s">
        <v>393</v>
      </c>
      <c r="G294" s="24">
        <v>40504</v>
      </c>
      <c r="H294" s="37">
        <v>51</v>
      </c>
      <c r="I294" s="23" t="s">
        <v>1993</v>
      </c>
      <c r="J294" s="37" t="e">
        <v>#REF!</v>
      </c>
      <c r="K294" s="24" t="s">
        <v>411</v>
      </c>
      <c r="L294" s="24" t="s">
        <v>2912</v>
      </c>
      <c r="M294" s="24">
        <v>40480</v>
      </c>
      <c r="N294" s="22" t="s">
        <v>1453</v>
      </c>
      <c r="O294" s="4">
        <v>9110392</v>
      </c>
      <c r="P294" s="22">
        <v>1020</v>
      </c>
      <c r="Q294" s="22">
        <v>42</v>
      </c>
      <c r="R294" s="22" t="s">
        <v>2920</v>
      </c>
      <c r="S294" s="11" t="s">
        <v>184</v>
      </c>
      <c r="T294" s="38" t="s">
        <v>404</v>
      </c>
      <c r="U294" s="9">
        <v>40641</v>
      </c>
      <c r="V294" s="38" t="s">
        <v>404</v>
      </c>
      <c r="W294" s="127">
        <v>40709</v>
      </c>
      <c r="X294" s="74">
        <v>0</v>
      </c>
      <c r="Y294" s="28"/>
      <c r="Z294" s="9"/>
      <c r="AA294" s="24" t="s">
        <v>393</v>
      </c>
      <c r="AB294" s="28">
        <v>40504</v>
      </c>
      <c r="AC294" s="69"/>
    </row>
    <row r="295" spans="1:29" ht="14.25" customHeight="1" x14ac:dyDescent="0.4">
      <c r="B295" s="22">
        <v>0</v>
      </c>
      <c r="C295" s="22" t="s">
        <v>2165</v>
      </c>
      <c r="D295" s="22">
        <v>0</v>
      </c>
      <c r="E295" s="24">
        <v>40469</v>
      </c>
      <c r="F295" s="24" t="s">
        <v>393</v>
      </c>
      <c r="G295" s="24">
        <v>40472</v>
      </c>
      <c r="H295" s="37">
        <v>31</v>
      </c>
      <c r="I295" s="23" t="e">
        <v>#REF!</v>
      </c>
      <c r="J295" s="37" t="e">
        <v>#REF!</v>
      </c>
      <c r="K295" s="24" t="s">
        <v>411</v>
      </c>
      <c r="L295" s="24" t="s">
        <v>2912</v>
      </c>
      <c r="M295" s="24">
        <v>40403</v>
      </c>
      <c r="N295" s="22" t="s">
        <v>584</v>
      </c>
      <c r="O295" s="4">
        <v>9110127</v>
      </c>
      <c r="P295" s="22">
        <v>1020</v>
      </c>
      <c r="Q295" s="22">
        <v>42</v>
      </c>
      <c r="R295" s="22" t="s">
        <v>694</v>
      </c>
      <c r="S295" s="4" t="s">
        <v>154</v>
      </c>
      <c r="T295" s="38" t="s">
        <v>404</v>
      </c>
      <c r="U295" s="9">
        <v>40534</v>
      </c>
      <c r="V295" s="38" t="s">
        <v>404</v>
      </c>
      <c r="W295" s="127" t="s">
        <v>257</v>
      </c>
      <c r="Y295" s="28"/>
      <c r="Z295" s="28"/>
      <c r="AA295" s="24" t="s">
        <v>393</v>
      </c>
      <c r="AB295" s="28">
        <v>40472</v>
      </c>
      <c r="AC295" s="69"/>
    </row>
    <row r="296" spans="1:29" s="4" customFormat="1" ht="14.25" customHeight="1" x14ac:dyDescent="0.4">
      <c r="A296"/>
      <c r="B296" s="22">
        <v>0</v>
      </c>
      <c r="C296" s="22" t="s">
        <v>2165</v>
      </c>
      <c r="D296" s="22">
        <v>0</v>
      </c>
      <c r="E296" s="24">
        <v>40469</v>
      </c>
      <c r="F296" s="24" t="s">
        <v>393</v>
      </c>
      <c r="G296" s="24">
        <v>40473</v>
      </c>
      <c r="H296" s="37">
        <v>32</v>
      </c>
      <c r="I296" s="23" t="e">
        <v>#REF!</v>
      </c>
      <c r="J296" s="37" t="e">
        <v>#REF!</v>
      </c>
      <c r="K296" s="24" t="s">
        <v>411</v>
      </c>
      <c r="L296" s="24" t="s">
        <v>2912</v>
      </c>
      <c r="M296" s="24">
        <v>40403</v>
      </c>
      <c r="N296" s="22" t="s">
        <v>584</v>
      </c>
      <c r="O296" s="4">
        <v>9110128</v>
      </c>
      <c r="P296" s="22">
        <v>1020</v>
      </c>
      <c r="Q296" s="22">
        <v>42</v>
      </c>
      <c r="R296" s="22" t="s">
        <v>696</v>
      </c>
      <c r="S296" s="4" t="s">
        <v>155</v>
      </c>
      <c r="T296" s="38" t="s">
        <v>404</v>
      </c>
      <c r="U296" s="9">
        <v>40595</v>
      </c>
      <c r="V296" s="38" t="s">
        <v>404</v>
      </c>
      <c r="W296" s="127" t="s">
        <v>257</v>
      </c>
      <c r="X296" s="75"/>
      <c r="Y296" s="28"/>
      <c r="Z296" s="28"/>
      <c r="AA296" s="24" t="s">
        <v>393</v>
      </c>
      <c r="AB296" s="28">
        <v>40473</v>
      </c>
      <c r="AC296" s="69"/>
    </row>
    <row r="297" spans="1:29" ht="14.25" customHeight="1" x14ac:dyDescent="0.4">
      <c r="B297" s="22">
        <v>0</v>
      </c>
      <c r="C297" s="22" t="s">
        <v>2102</v>
      </c>
      <c r="D297" s="22">
        <v>0</v>
      </c>
      <c r="E297" s="24">
        <v>40570</v>
      </c>
      <c r="F297" s="24" t="s">
        <v>393</v>
      </c>
      <c r="G297" s="24">
        <v>40581</v>
      </c>
      <c r="H297" s="37">
        <v>147</v>
      </c>
      <c r="I297" s="23" t="s">
        <v>1999</v>
      </c>
      <c r="J297" s="37">
        <v>38</v>
      </c>
      <c r="K297" s="24" t="s">
        <v>411</v>
      </c>
      <c r="L297" s="24" t="s">
        <v>1998</v>
      </c>
      <c r="M297" s="24">
        <v>40403</v>
      </c>
      <c r="N297" s="22" t="s">
        <v>584</v>
      </c>
      <c r="O297" s="4">
        <v>9110129</v>
      </c>
      <c r="P297" s="22">
        <v>1020</v>
      </c>
      <c r="Q297" s="22">
        <v>42</v>
      </c>
      <c r="R297" s="22" t="s">
        <v>698</v>
      </c>
      <c r="S297" s="4" t="s">
        <v>254</v>
      </c>
      <c r="T297" s="38" t="s">
        <v>404</v>
      </c>
      <c r="U297" s="9">
        <v>40662</v>
      </c>
      <c r="V297" s="38" t="s">
        <v>404</v>
      </c>
      <c r="W297" s="127" t="s">
        <v>257</v>
      </c>
      <c r="X297" s="74"/>
      <c r="Y297" s="28"/>
      <c r="Z297" s="9"/>
      <c r="AA297" s="24" t="s">
        <v>393</v>
      </c>
      <c r="AB297" s="28">
        <v>40581</v>
      </c>
      <c r="AC297" s="69"/>
    </row>
    <row r="298" spans="1:29" ht="14.25" customHeight="1" x14ac:dyDescent="0.4">
      <c r="A298" s="4"/>
      <c r="B298" s="22">
        <v>0</v>
      </c>
      <c r="C298" s="22" t="s">
        <v>2102</v>
      </c>
      <c r="D298" s="22">
        <v>0</v>
      </c>
      <c r="E298" s="24">
        <v>40570</v>
      </c>
      <c r="F298" s="24" t="s">
        <v>393</v>
      </c>
      <c r="G298" s="24">
        <v>40574</v>
      </c>
      <c r="H298" s="37">
        <v>148</v>
      </c>
      <c r="I298" s="23" t="s">
        <v>1999</v>
      </c>
      <c r="J298" s="37">
        <v>39</v>
      </c>
      <c r="K298" s="24" t="s">
        <v>411</v>
      </c>
      <c r="L298" s="24" t="s">
        <v>1998</v>
      </c>
      <c r="M298" s="24">
        <v>40403</v>
      </c>
      <c r="N298" s="22" t="s">
        <v>584</v>
      </c>
      <c r="O298" s="4">
        <v>9110130</v>
      </c>
      <c r="P298" s="22">
        <v>1020</v>
      </c>
      <c r="Q298" s="22">
        <v>42</v>
      </c>
      <c r="R298" s="22" t="s">
        <v>699</v>
      </c>
      <c r="S298" s="4" t="s">
        <v>156</v>
      </c>
      <c r="T298" s="4" t="s">
        <v>404</v>
      </c>
      <c r="U298" s="9">
        <v>40597</v>
      </c>
      <c r="V298" s="4" t="s">
        <v>404</v>
      </c>
      <c r="W298" s="127" t="s">
        <v>257</v>
      </c>
      <c r="X298" s="74"/>
      <c r="Y298" s="28"/>
      <c r="Z298" s="28"/>
      <c r="AA298" s="24" t="s">
        <v>393</v>
      </c>
      <c r="AB298" s="28">
        <v>40574</v>
      </c>
      <c r="AC298" s="69"/>
    </row>
    <row r="299" spans="1:29" ht="14.25" customHeight="1" x14ac:dyDescent="0.4">
      <c r="B299" s="22">
        <v>0</v>
      </c>
      <c r="C299" s="22" t="s">
        <v>2102</v>
      </c>
      <c r="D299" s="22">
        <v>0</v>
      </c>
      <c r="E299" s="24">
        <v>40599</v>
      </c>
      <c r="F299" s="24" t="s">
        <v>393</v>
      </c>
      <c r="G299" s="24">
        <v>40602</v>
      </c>
      <c r="H299" s="37">
        <v>194</v>
      </c>
      <c r="I299" s="23" t="s">
        <v>2000</v>
      </c>
      <c r="J299" s="37">
        <v>42</v>
      </c>
      <c r="K299" s="24" t="s">
        <v>411</v>
      </c>
      <c r="L299" s="24" t="s">
        <v>2000</v>
      </c>
      <c r="M299" s="24">
        <v>40403</v>
      </c>
      <c r="N299" s="22" t="s">
        <v>584</v>
      </c>
      <c r="O299" s="4">
        <v>9110131</v>
      </c>
      <c r="P299" s="22">
        <v>1220</v>
      </c>
      <c r="Q299" s="22">
        <v>50</v>
      </c>
      <c r="R299" s="22" t="s">
        <v>846</v>
      </c>
      <c r="S299" s="4" t="s">
        <v>157</v>
      </c>
      <c r="T299" s="3" t="s">
        <v>404</v>
      </c>
      <c r="U299" s="28">
        <v>40571</v>
      </c>
      <c r="V299" s="3" t="s">
        <v>404</v>
      </c>
      <c r="W299" s="127" t="s">
        <v>257</v>
      </c>
      <c r="Y299" s="28"/>
      <c r="Z299" s="28"/>
      <c r="AA299" s="24" t="s">
        <v>393</v>
      </c>
      <c r="AB299" s="28">
        <v>40602</v>
      </c>
      <c r="AC299" s="69"/>
    </row>
    <row r="300" spans="1:29" ht="14.25" customHeight="1" x14ac:dyDescent="0.4">
      <c r="B300" s="22">
        <v>0</v>
      </c>
      <c r="C300" s="22">
        <v>0</v>
      </c>
      <c r="D300" s="22">
        <v>0</v>
      </c>
      <c r="E300" s="24">
        <v>40639</v>
      </c>
      <c r="F300" s="24" t="s">
        <v>393</v>
      </c>
      <c r="G300" s="24">
        <v>40645</v>
      </c>
      <c r="H300" s="37">
        <v>279</v>
      </c>
      <c r="I300" s="23" t="s">
        <v>2002</v>
      </c>
      <c r="J300" s="37">
        <v>12</v>
      </c>
      <c r="K300" s="24" t="s">
        <v>411</v>
      </c>
      <c r="L300" s="24" t="s">
        <v>2001</v>
      </c>
      <c r="M300" s="24">
        <v>40403</v>
      </c>
      <c r="N300" s="22" t="s">
        <v>584</v>
      </c>
      <c r="O300" s="4">
        <v>9110132</v>
      </c>
      <c r="P300" s="22">
        <v>1020</v>
      </c>
      <c r="Q300" s="22">
        <v>42</v>
      </c>
      <c r="R300" s="22" t="s">
        <v>1575</v>
      </c>
      <c r="S300" s="4" t="s">
        <v>295</v>
      </c>
      <c r="T300" s="1" t="s">
        <v>404</v>
      </c>
      <c r="U300" s="28">
        <v>40723</v>
      </c>
      <c r="V300" s="1" t="s">
        <v>404</v>
      </c>
      <c r="W300" s="128">
        <v>40723</v>
      </c>
      <c r="Y300" s="28"/>
      <c r="Z300" s="28"/>
      <c r="AA300" s="24" t="s">
        <v>393</v>
      </c>
      <c r="AB300" s="28">
        <v>40645</v>
      </c>
      <c r="AC300" s="69"/>
    </row>
    <row r="301" spans="1:29" ht="14.25" customHeight="1" x14ac:dyDescent="0.4">
      <c r="A301" s="6"/>
      <c r="B301" s="22">
        <v>0</v>
      </c>
      <c r="C301" s="22">
        <v>0</v>
      </c>
      <c r="D301" s="22">
        <v>0</v>
      </c>
      <c r="E301" s="24">
        <v>40616</v>
      </c>
      <c r="F301" s="24" t="s">
        <v>393</v>
      </c>
      <c r="G301" s="24">
        <v>40625</v>
      </c>
      <c r="H301" s="37">
        <v>226</v>
      </c>
      <c r="I301" s="23" t="s">
        <v>2001</v>
      </c>
      <c r="J301" s="37">
        <v>28</v>
      </c>
      <c r="K301" s="24" t="s">
        <v>411</v>
      </c>
      <c r="L301" s="24" t="s">
        <v>2001</v>
      </c>
      <c r="M301" s="24">
        <v>40403</v>
      </c>
      <c r="N301" s="22" t="s">
        <v>584</v>
      </c>
      <c r="O301" s="4">
        <v>9110133</v>
      </c>
      <c r="P301" s="22">
        <v>1220</v>
      </c>
      <c r="Q301" s="22">
        <v>50</v>
      </c>
      <c r="R301" s="22" t="s">
        <v>2921</v>
      </c>
      <c r="S301" s="4" t="s">
        <v>158</v>
      </c>
      <c r="T301" s="1" t="s">
        <v>404</v>
      </c>
      <c r="U301" s="42">
        <v>40576</v>
      </c>
      <c r="V301" s="1" t="s">
        <v>404</v>
      </c>
      <c r="W301" s="127" t="s">
        <v>257</v>
      </c>
      <c r="X301" s="74"/>
      <c r="Y301" s="28"/>
      <c r="Z301" s="28"/>
      <c r="AA301" s="24" t="s">
        <v>393</v>
      </c>
      <c r="AB301" s="28">
        <v>40625</v>
      </c>
      <c r="AC301" s="69"/>
    </row>
    <row r="302" spans="1:29" ht="14.25" customHeight="1" x14ac:dyDescent="0.4">
      <c r="B302" s="22">
        <v>0</v>
      </c>
      <c r="C302" s="22">
        <v>0</v>
      </c>
      <c r="D302" s="22">
        <v>0</v>
      </c>
      <c r="E302" s="24">
        <v>40651</v>
      </c>
      <c r="F302" s="24" t="s">
        <v>393</v>
      </c>
      <c r="G302" s="24">
        <v>40653</v>
      </c>
      <c r="H302" s="37">
        <v>302</v>
      </c>
      <c r="I302" s="23" t="s">
        <v>2002</v>
      </c>
      <c r="J302" s="37">
        <v>35</v>
      </c>
      <c r="K302" s="24" t="s">
        <v>411</v>
      </c>
      <c r="L302" s="24" t="s">
        <v>2003</v>
      </c>
      <c r="M302" s="24">
        <v>40403</v>
      </c>
      <c r="N302" s="22" t="s">
        <v>584</v>
      </c>
      <c r="O302" s="4">
        <v>9110134</v>
      </c>
      <c r="P302" s="22">
        <v>1020</v>
      </c>
      <c r="Q302" s="22">
        <v>42</v>
      </c>
      <c r="R302" s="22" t="s">
        <v>826</v>
      </c>
      <c r="S302" s="4" t="s">
        <v>290</v>
      </c>
      <c r="T302" s="1" t="s">
        <v>404</v>
      </c>
      <c r="U302" s="42">
        <v>40703</v>
      </c>
      <c r="V302" s="1" t="s">
        <v>404</v>
      </c>
      <c r="W302" s="128">
        <v>40709</v>
      </c>
      <c r="X302" s="74"/>
      <c r="Y302" s="28"/>
      <c r="Z302" s="28"/>
      <c r="AA302" s="24" t="s">
        <v>393</v>
      </c>
      <c r="AB302" s="28">
        <v>40653</v>
      </c>
      <c r="AC302" s="69"/>
    </row>
    <row r="303" spans="1:29" s="4" customFormat="1" ht="14.25" customHeight="1" x14ac:dyDescent="0.4">
      <c r="A303"/>
      <c r="B303" s="22">
        <v>0</v>
      </c>
      <c r="C303" s="22">
        <v>0</v>
      </c>
      <c r="D303" s="22">
        <v>0</v>
      </c>
      <c r="E303" s="24">
        <v>40651</v>
      </c>
      <c r="F303" s="24" t="s">
        <v>393</v>
      </c>
      <c r="G303" s="24">
        <v>40653</v>
      </c>
      <c r="H303" s="37">
        <v>303</v>
      </c>
      <c r="I303" s="23" t="s">
        <v>2002</v>
      </c>
      <c r="J303" s="37">
        <v>36</v>
      </c>
      <c r="K303" s="24" t="s">
        <v>411</v>
      </c>
      <c r="L303" s="24" t="s">
        <v>2003</v>
      </c>
      <c r="M303" s="24">
        <v>40403</v>
      </c>
      <c r="N303" s="22" t="s">
        <v>584</v>
      </c>
      <c r="O303" s="4">
        <v>9110135</v>
      </c>
      <c r="P303" s="22">
        <v>1020</v>
      </c>
      <c r="Q303" s="22">
        <v>42</v>
      </c>
      <c r="R303" s="22" t="s">
        <v>822</v>
      </c>
      <c r="S303" s="4" t="s">
        <v>2080</v>
      </c>
      <c r="T303" s="38" t="s">
        <v>404</v>
      </c>
      <c r="U303" s="44">
        <v>40770</v>
      </c>
      <c r="V303" s="38" t="s">
        <v>404</v>
      </c>
      <c r="W303" s="127">
        <v>40770</v>
      </c>
      <c r="X303" s="74"/>
      <c r="Y303" s="28"/>
      <c r="Z303" s="30"/>
      <c r="AA303" s="24" t="s">
        <v>393</v>
      </c>
      <c r="AB303" s="28">
        <v>40653</v>
      </c>
      <c r="AC303" s="69"/>
    </row>
    <row r="304" spans="1:29" s="4" customFormat="1" ht="14.25" customHeight="1" x14ac:dyDescent="0.4">
      <c r="B304" s="22">
        <v>0</v>
      </c>
      <c r="C304" s="22" t="s">
        <v>2165</v>
      </c>
      <c r="D304" s="22">
        <v>0</v>
      </c>
      <c r="E304" s="24">
        <v>40519</v>
      </c>
      <c r="F304" s="24" t="s">
        <v>393</v>
      </c>
      <c r="G304" s="24">
        <v>40526</v>
      </c>
      <c r="H304" s="37">
        <v>86</v>
      </c>
      <c r="I304" s="23" t="s">
        <v>1998</v>
      </c>
      <c r="J304" s="37">
        <v>7</v>
      </c>
      <c r="K304" s="24" t="s">
        <v>411</v>
      </c>
      <c r="L304" s="24" t="s">
        <v>2912</v>
      </c>
      <c r="M304" s="24">
        <v>40396</v>
      </c>
      <c r="N304" s="22" t="s">
        <v>587</v>
      </c>
      <c r="O304" s="4">
        <v>9110059</v>
      </c>
      <c r="P304" s="22">
        <v>1020</v>
      </c>
      <c r="Q304" s="22">
        <v>50</v>
      </c>
      <c r="R304" s="22" t="s">
        <v>694</v>
      </c>
      <c r="S304" s="4" t="s">
        <v>159</v>
      </c>
      <c r="T304" s="38" t="s">
        <v>404</v>
      </c>
      <c r="U304" s="44">
        <v>40564</v>
      </c>
      <c r="V304" s="38" t="s">
        <v>404</v>
      </c>
      <c r="W304" s="127" t="s">
        <v>257</v>
      </c>
      <c r="X304" s="75"/>
      <c r="Y304" s="28"/>
      <c r="Z304" s="9"/>
      <c r="AA304" s="24" t="s">
        <v>393</v>
      </c>
      <c r="AB304" s="28">
        <v>40526</v>
      </c>
      <c r="AC304" s="69"/>
    </row>
    <row r="305" spans="1:29" ht="14.25" customHeight="1" x14ac:dyDescent="0.4">
      <c r="B305" s="22">
        <v>0</v>
      </c>
      <c r="C305" s="22" t="s">
        <v>2165</v>
      </c>
      <c r="D305" s="22">
        <v>0</v>
      </c>
      <c r="E305" s="24">
        <v>40519</v>
      </c>
      <c r="F305" s="24" t="s">
        <v>393</v>
      </c>
      <c r="G305" s="24">
        <v>40529</v>
      </c>
      <c r="H305" s="37">
        <v>87</v>
      </c>
      <c r="I305" s="23" t="s">
        <v>1998</v>
      </c>
      <c r="J305" s="37">
        <v>8</v>
      </c>
      <c r="K305" s="24" t="s">
        <v>411</v>
      </c>
      <c r="L305" s="24" t="s">
        <v>2912</v>
      </c>
      <c r="M305" s="24">
        <v>40396</v>
      </c>
      <c r="N305" s="22" t="s">
        <v>587</v>
      </c>
      <c r="O305" s="4">
        <v>9110060</v>
      </c>
      <c r="P305" s="22">
        <v>1020</v>
      </c>
      <c r="Q305" s="22">
        <v>50</v>
      </c>
      <c r="R305" s="22" t="s">
        <v>696</v>
      </c>
      <c r="S305" s="4" t="s">
        <v>160</v>
      </c>
      <c r="T305" s="38" t="s">
        <v>404</v>
      </c>
      <c r="U305" s="44">
        <v>40585</v>
      </c>
      <c r="V305" s="38" t="s">
        <v>404</v>
      </c>
      <c r="W305" s="127" t="s">
        <v>257</v>
      </c>
      <c r="Y305" s="28"/>
      <c r="Z305" s="9"/>
      <c r="AA305" s="24" t="s">
        <v>393</v>
      </c>
      <c r="AB305" s="28">
        <v>40529</v>
      </c>
      <c r="AC305" s="69"/>
    </row>
    <row r="306" spans="1:29" ht="14.25" customHeight="1" x14ac:dyDescent="0.4">
      <c r="A306" s="4"/>
      <c r="B306" s="24">
        <v>40687</v>
      </c>
      <c r="C306" s="24">
        <v>40687</v>
      </c>
      <c r="D306" s="24">
        <v>40687</v>
      </c>
      <c r="E306" s="24">
        <v>40687</v>
      </c>
      <c r="F306" s="24" t="s">
        <v>393</v>
      </c>
      <c r="G306" s="24">
        <v>40694</v>
      </c>
      <c r="H306" s="37">
        <v>375</v>
      </c>
      <c r="I306" s="23" t="s">
        <v>2003</v>
      </c>
      <c r="J306" s="37">
        <v>45</v>
      </c>
      <c r="K306" s="24" t="s">
        <v>411</v>
      </c>
      <c r="L306" s="24" t="s">
        <v>2003</v>
      </c>
      <c r="M306" s="24">
        <v>40527</v>
      </c>
      <c r="N306" s="22" t="s">
        <v>587</v>
      </c>
      <c r="O306" s="4">
        <v>9110399</v>
      </c>
      <c r="P306" s="22">
        <v>1220</v>
      </c>
      <c r="Q306" s="22">
        <v>50</v>
      </c>
      <c r="R306" s="22" t="s">
        <v>2922</v>
      </c>
      <c r="S306" s="11" t="s">
        <v>185</v>
      </c>
      <c r="T306" s="38" t="s">
        <v>404</v>
      </c>
      <c r="U306" s="44">
        <v>40527</v>
      </c>
      <c r="V306" s="38" t="s">
        <v>404</v>
      </c>
      <c r="W306" s="127">
        <v>40714</v>
      </c>
      <c r="X306" s="74">
        <v>0</v>
      </c>
      <c r="Y306" s="28"/>
      <c r="Z306" s="9"/>
      <c r="AA306" s="24" t="s">
        <v>393</v>
      </c>
      <c r="AB306" s="28">
        <v>40694</v>
      </c>
      <c r="AC306" s="69"/>
    </row>
    <row r="307" spans="1:29" ht="14.25" customHeight="1" x14ac:dyDescent="0.4">
      <c r="B307" s="22">
        <v>0</v>
      </c>
      <c r="C307" s="22" t="s">
        <v>2165</v>
      </c>
      <c r="D307" s="22">
        <v>0</v>
      </c>
      <c r="E307" s="24">
        <v>40464</v>
      </c>
      <c r="F307" s="24" t="s">
        <v>393</v>
      </c>
      <c r="G307" s="24">
        <v>40471</v>
      </c>
      <c r="H307" s="37">
        <v>26</v>
      </c>
      <c r="I307" s="23" t="e">
        <v>#REF!</v>
      </c>
      <c r="J307" s="37" t="e">
        <v>#REF!</v>
      </c>
      <c r="K307" s="24" t="s">
        <v>411</v>
      </c>
      <c r="L307" s="24" t="s">
        <v>2912</v>
      </c>
      <c r="M307" s="24">
        <v>40395</v>
      </c>
      <c r="N307" s="22" t="s">
        <v>1412</v>
      </c>
      <c r="O307" s="4">
        <v>9110061</v>
      </c>
      <c r="P307" s="22">
        <v>720</v>
      </c>
      <c r="Q307" s="22">
        <v>42</v>
      </c>
      <c r="R307" s="22" t="s">
        <v>2923</v>
      </c>
      <c r="S307" s="4" t="s">
        <v>1291</v>
      </c>
      <c r="T307" s="38" t="s">
        <v>404</v>
      </c>
      <c r="U307" s="44">
        <v>41075</v>
      </c>
      <c r="V307" s="38" t="s">
        <v>404</v>
      </c>
      <c r="W307" s="127">
        <v>41075</v>
      </c>
      <c r="Y307" s="28"/>
      <c r="Z307" s="9"/>
      <c r="AA307" s="24" t="s">
        <v>393</v>
      </c>
      <c r="AB307" s="28">
        <v>40471</v>
      </c>
      <c r="AC307" s="69"/>
    </row>
    <row r="308" spans="1:29" s="4" customFormat="1" ht="14.25" customHeight="1" x14ac:dyDescent="0.4">
      <c r="A308"/>
      <c r="B308" s="22">
        <v>0</v>
      </c>
      <c r="C308" s="22" t="s">
        <v>2165</v>
      </c>
      <c r="D308" s="22">
        <v>0</v>
      </c>
      <c r="E308" s="24">
        <v>40465</v>
      </c>
      <c r="F308" s="24" t="s">
        <v>393</v>
      </c>
      <c r="G308" s="24">
        <v>40472</v>
      </c>
      <c r="H308" s="37">
        <v>27</v>
      </c>
      <c r="I308" s="23" t="e">
        <v>#REF!</v>
      </c>
      <c r="J308" s="37" t="e">
        <v>#REF!</v>
      </c>
      <c r="K308" s="24" t="s">
        <v>411</v>
      </c>
      <c r="L308" s="24" t="s">
        <v>2912</v>
      </c>
      <c r="M308" s="24">
        <v>40395</v>
      </c>
      <c r="N308" s="22" t="s">
        <v>673</v>
      </c>
      <c r="O308" s="4">
        <v>9110062</v>
      </c>
      <c r="P308" s="22">
        <v>720</v>
      </c>
      <c r="Q308" s="22">
        <v>42</v>
      </c>
      <c r="R308" s="22" t="s">
        <v>696</v>
      </c>
      <c r="S308" s="4" t="s">
        <v>928</v>
      </c>
      <c r="T308" s="38" t="s">
        <v>404</v>
      </c>
      <c r="U308" s="44">
        <v>40814</v>
      </c>
      <c r="V308" s="38" t="s">
        <v>404</v>
      </c>
      <c r="W308" s="127">
        <v>40814</v>
      </c>
      <c r="X308" s="75"/>
      <c r="Y308" s="28"/>
      <c r="Z308" s="9"/>
      <c r="AA308" s="24" t="s">
        <v>393</v>
      </c>
      <c r="AB308" s="28">
        <v>40472</v>
      </c>
      <c r="AC308" s="69"/>
    </row>
    <row r="309" spans="1:29" s="4" customFormat="1" ht="14.25" customHeight="1" x14ac:dyDescent="0.4">
      <c r="A309"/>
      <c r="B309" s="24">
        <v>40478</v>
      </c>
      <c r="C309" s="24">
        <v>40478</v>
      </c>
      <c r="D309" s="24">
        <v>40478</v>
      </c>
      <c r="E309" s="24">
        <v>40478</v>
      </c>
      <c r="F309" s="24" t="s">
        <v>393</v>
      </c>
      <c r="G309" s="24">
        <v>40490</v>
      </c>
      <c r="H309" s="37">
        <v>44</v>
      </c>
      <c r="I309" s="23" t="e">
        <v>#REF!</v>
      </c>
      <c r="J309" s="37" t="e">
        <v>#REF!</v>
      </c>
      <c r="K309" s="24" t="s">
        <v>411</v>
      </c>
      <c r="L309" s="24" t="s">
        <v>2912</v>
      </c>
      <c r="M309" s="24">
        <v>40395</v>
      </c>
      <c r="N309" s="22" t="s">
        <v>673</v>
      </c>
      <c r="O309" s="4">
        <v>9110063</v>
      </c>
      <c r="P309" s="22">
        <v>1020</v>
      </c>
      <c r="Q309" s="22">
        <v>42</v>
      </c>
      <c r="R309" s="22" t="s">
        <v>698</v>
      </c>
      <c r="S309" s="4" t="s">
        <v>929</v>
      </c>
      <c r="T309" s="38" t="s">
        <v>404</v>
      </c>
      <c r="U309" s="44">
        <v>40814</v>
      </c>
      <c r="V309" s="38" t="s">
        <v>404</v>
      </c>
      <c r="W309" s="127">
        <v>40814</v>
      </c>
      <c r="X309" s="74"/>
      <c r="Y309" s="28"/>
      <c r="Z309" s="28"/>
      <c r="AA309" s="24" t="s">
        <v>393</v>
      </c>
      <c r="AB309" s="28">
        <v>40490</v>
      </c>
      <c r="AC309" s="69"/>
    </row>
    <row r="310" spans="1:29" s="4" customFormat="1" ht="14.25" customHeight="1" x14ac:dyDescent="0.4">
      <c r="A310"/>
      <c r="B310" s="24">
        <v>40478</v>
      </c>
      <c r="C310" s="24">
        <v>40478</v>
      </c>
      <c r="D310" s="24">
        <v>40478</v>
      </c>
      <c r="E310" s="24">
        <v>40478</v>
      </c>
      <c r="F310" s="24" t="s">
        <v>393</v>
      </c>
      <c r="G310" s="24">
        <v>40486</v>
      </c>
      <c r="H310" s="37">
        <v>45</v>
      </c>
      <c r="I310" s="23" t="e">
        <v>#REF!</v>
      </c>
      <c r="J310" s="37" t="e">
        <v>#REF!</v>
      </c>
      <c r="K310" s="24" t="s">
        <v>411</v>
      </c>
      <c r="L310" s="24" t="s">
        <v>2912</v>
      </c>
      <c r="M310" s="24">
        <v>40395</v>
      </c>
      <c r="N310" s="22" t="s">
        <v>673</v>
      </c>
      <c r="O310" s="4">
        <v>9110064</v>
      </c>
      <c r="P310" s="22">
        <v>1020</v>
      </c>
      <c r="Q310" s="22">
        <v>42</v>
      </c>
      <c r="R310" s="22" t="s">
        <v>699</v>
      </c>
      <c r="S310" s="4" t="s">
        <v>289</v>
      </c>
      <c r="T310" s="4" t="s">
        <v>404</v>
      </c>
      <c r="U310" s="44">
        <v>40701</v>
      </c>
      <c r="V310" s="38" t="s">
        <v>404</v>
      </c>
      <c r="W310" s="127">
        <v>40704</v>
      </c>
      <c r="X310" s="74"/>
      <c r="Y310" s="28"/>
      <c r="Z310" s="28"/>
      <c r="AA310" s="24" t="s">
        <v>393</v>
      </c>
      <c r="AB310" s="28">
        <v>40486</v>
      </c>
      <c r="AC310" s="69"/>
    </row>
    <row r="311" spans="1:29" s="4" customFormat="1" ht="14.25" customHeight="1" x14ac:dyDescent="0.4">
      <c r="A311"/>
      <c r="B311" s="22">
        <v>0</v>
      </c>
      <c r="C311" s="22" t="s">
        <v>2165</v>
      </c>
      <c r="D311" s="22">
        <v>0</v>
      </c>
      <c r="E311" s="24">
        <v>40516</v>
      </c>
      <c r="F311" s="24" t="s">
        <v>393</v>
      </c>
      <c r="G311" s="24">
        <v>40520</v>
      </c>
      <c r="H311" s="37">
        <v>84</v>
      </c>
      <c r="I311" s="23" t="s">
        <v>1998</v>
      </c>
      <c r="J311" s="37">
        <v>5</v>
      </c>
      <c r="K311" s="24" t="s">
        <v>411</v>
      </c>
      <c r="L311" s="24" t="s">
        <v>2912</v>
      </c>
      <c r="M311" s="24">
        <v>40395</v>
      </c>
      <c r="N311" s="22" t="s">
        <v>673</v>
      </c>
      <c r="O311" s="4">
        <v>9110065</v>
      </c>
      <c r="P311" s="22">
        <v>1020</v>
      </c>
      <c r="Q311" s="22">
        <v>42</v>
      </c>
      <c r="R311" s="22" t="s">
        <v>846</v>
      </c>
      <c r="S311" s="38" t="s">
        <v>162</v>
      </c>
      <c r="T311" s="4" t="s">
        <v>404</v>
      </c>
      <c r="U311" s="44">
        <v>40543</v>
      </c>
      <c r="V311" s="38" t="s">
        <v>404</v>
      </c>
      <c r="W311" s="127" t="s">
        <v>257</v>
      </c>
      <c r="X311" s="74"/>
      <c r="Y311" s="28"/>
      <c r="Z311" s="9"/>
      <c r="AA311" s="24" t="s">
        <v>393</v>
      </c>
      <c r="AB311" s="28">
        <v>40520</v>
      </c>
      <c r="AC311" s="69"/>
    </row>
    <row r="312" spans="1:29" s="4" customFormat="1" ht="14.25" customHeight="1" x14ac:dyDescent="0.4">
      <c r="B312" s="22">
        <v>0</v>
      </c>
      <c r="C312" s="22" t="s">
        <v>2165</v>
      </c>
      <c r="D312" s="22">
        <v>0</v>
      </c>
      <c r="E312" s="24">
        <v>40518</v>
      </c>
      <c r="F312" s="24" t="s">
        <v>393</v>
      </c>
      <c r="G312" s="24">
        <v>40522</v>
      </c>
      <c r="H312" s="37">
        <v>85</v>
      </c>
      <c r="I312" s="23" t="s">
        <v>1998</v>
      </c>
      <c r="J312" s="37">
        <v>6</v>
      </c>
      <c r="K312" s="24" t="s">
        <v>411</v>
      </c>
      <c r="L312" s="24" t="s">
        <v>2912</v>
      </c>
      <c r="M312" s="24">
        <v>40395</v>
      </c>
      <c r="N312" s="22" t="s">
        <v>673</v>
      </c>
      <c r="O312" s="4">
        <v>9110066</v>
      </c>
      <c r="P312" s="22">
        <v>1020</v>
      </c>
      <c r="Q312" s="22">
        <v>42</v>
      </c>
      <c r="R312" s="22" t="s">
        <v>1575</v>
      </c>
      <c r="S312" s="4" t="s">
        <v>255</v>
      </c>
      <c r="T312" s="4" t="s">
        <v>404</v>
      </c>
      <c r="U312" s="44">
        <v>40632</v>
      </c>
      <c r="V312" s="4" t="s">
        <v>404</v>
      </c>
      <c r="W312" s="127" t="s">
        <v>257</v>
      </c>
      <c r="X312" s="74"/>
      <c r="Y312" s="28"/>
      <c r="Z312" s="9"/>
      <c r="AA312" s="24" t="s">
        <v>393</v>
      </c>
      <c r="AB312" s="28">
        <v>40522</v>
      </c>
      <c r="AC312" s="69"/>
    </row>
    <row r="313" spans="1:29" s="4" customFormat="1" ht="14.25" customHeight="1" x14ac:dyDescent="0.4">
      <c r="A313"/>
      <c r="B313" s="22">
        <v>0</v>
      </c>
      <c r="C313" s="22" t="s">
        <v>2165</v>
      </c>
      <c r="D313" s="22">
        <v>0</v>
      </c>
      <c r="E313" s="24">
        <v>40521</v>
      </c>
      <c r="F313" s="24" t="s">
        <v>393</v>
      </c>
      <c r="G313" s="24">
        <v>40527</v>
      </c>
      <c r="H313" s="37">
        <v>89</v>
      </c>
      <c r="I313" s="23" t="s">
        <v>1998</v>
      </c>
      <c r="J313" s="37">
        <v>10</v>
      </c>
      <c r="K313" s="24" t="s">
        <v>411</v>
      </c>
      <c r="L313" s="24" t="s">
        <v>2912</v>
      </c>
      <c r="M313" s="24">
        <v>40395</v>
      </c>
      <c r="N313" s="22" t="s">
        <v>673</v>
      </c>
      <c r="O313" s="4">
        <v>9110067</v>
      </c>
      <c r="P313" s="22">
        <v>1020</v>
      </c>
      <c r="Q313" s="22">
        <v>42</v>
      </c>
      <c r="R313" s="22" t="s">
        <v>810</v>
      </c>
      <c r="S313" s="4" t="s">
        <v>164</v>
      </c>
      <c r="T313" s="4" t="s">
        <v>404</v>
      </c>
      <c r="U313" s="59">
        <v>40619</v>
      </c>
      <c r="V313" s="4" t="s">
        <v>404</v>
      </c>
      <c r="W313" s="127" t="s">
        <v>257</v>
      </c>
      <c r="X313" s="74"/>
      <c r="Y313" s="28"/>
      <c r="Z313" s="9"/>
      <c r="AA313" s="24" t="s">
        <v>393</v>
      </c>
      <c r="AB313" s="28">
        <v>40527</v>
      </c>
      <c r="AC313" s="69"/>
    </row>
    <row r="314" spans="1:29" s="4" customFormat="1" ht="14.25" customHeight="1" x14ac:dyDescent="0.4">
      <c r="A314"/>
      <c r="B314" s="22">
        <v>0</v>
      </c>
      <c r="C314" s="22" t="s">
        <v>2165</v>
      </c>
      <c r="D314" s="22">
        <v>0</v>
      </c>
      <c r="E314" s="24">
        <v>40521</v>
      </c>
      <c r="F314" s="24" t="s">
        <v>393</v>
      </c>
      <c r="G314" s="24">
        <v>40525</v>
      </c>
      <c r="H314" s="37">
        <v>90</v>
      </c>
      <c r="I314" s="23" t="s">
        <v>1998</v>
      </c>
      <c r="J314" s="37">
        <v>11</v>
      </c>
      <c r="K314" s="24" t="s">
        <v>411</v>
      </c>
      <c r="L314" s="24" t="s">
        <v>2912</v>
      </c>
      <c r="M314" s="24">
        <v>40395</v>
      </c>
      <c r="N314" s="22" t="s">
        <v>673</v>
      </c>
      <c r="O314" s="4">
        <v>9110068</v>
      </c>
      <c r="P314" s="22">
        <v>1020</v>
      </c>
      <c r="Q314" s="22">
        <v>42</v>
      </c>
      <c r="R314" s="22" t="s">
        <v>826</v>
      </c>
      <c r="S314" s="4" t="s">
        <v>165</v>
      </c>
      <c r="T314" s="38" t="s">
        <v>404</v>
      </c>
      <c r="U314" s="127">
        <v>40589</v>
      </c>
      <c r="V314" s="38" t="s">
        <v>404</v>
      </c>
      <c r="W314" s="127" t="s">
        <v>257</v>
      </c>
      <c r="X314" s="74"/>
      <c r="Y314" s="28"/>
      <c r="Z314" s="28"/>
      <c r="AA314" s="24" t="s">
        <v>393</v>
      </c>
      <c r="AB314" s="28">
        <v>40525</v>
      </c>
      <c r="AC314" s="69"/>
    </row>
    <row r="315" spans="1:29" s="4" customFormat="1" ht="14.25" customHeight="1" x14ac:dyDescent="0.4">
      <c r="A315"/>
      <c r="B315" s="22">
        <v>0</v>
      </c>
      <c r="C315" s="22" t="s">
        <v>2102</v>
      </c>
      <c r="D315" s="22">
        <v>0</v>
      </c>
      <c r="E315" s="24">
        <v>40555</v>
      </c>
      <c r="F315" s="24" t="s">
        <v>393</v>
      </c>
      <c r="G315" s="24">
        <v>40561</v>
      </c>
      <c r="H315" s="37">
        <v>124</v>
      </c>
      <c r="I315" s="23" t="s">
        <v>1999</v>
      </c>
      <c r="J315" s="37">
        <v>15</v>
      </c>
      <c r="K315" s="24" t="s">
        <v>411</v>
      </c>
      <c r="L315" s="24" t="s">
        <v>2912</v>
      </c>
      <c r="M315" s="24">
        <v>40395</v>
      </c>
      <c r="N315" s="22" t="s">
        <v>673</v>
      </c>
      <c r="O315" s="4">
        <v>9110069</v>
      </c>
      <c r="P315" s="22">
        <v>1020</v>
      </c>
      <c r="Q315" s="22">
        <v>42</v>
      </c>
      <c r="R315" s="22" t="s">
        <v>822</v>
      </c>
      <c r="S315" s="11" t="s">
        <v>1036</v>
      </c>
      <c r="T315" s="38" t="s">
        <v>404</v>
      </c>
      <c r="U315" s="9">
        <v>40861</v>
      </c>
      <c r="V315" s="38" t="s">
        <v>404</v>
      </c>
      <c r="W315" s="127">
        <v>40861</v>
      </c>
      <c r="X315" s="74"/>
      <c r="Y315" s="28"/>
      <c r="Z315" s="9"/>
      <c r="AA315" s="24" t="s">
        <v>393</v>
      </c>
      <c r="AB315" s="28">
        <v>40561</v>
      </c>
      <c r="AC315" s="69"/>
    </row>
    <row r="316" spans="1:29" s="4" customFormat="1" ht="14.25" customHeight="1" x14ac:dyDescent="0.4">
      <c r="A316"/>
      <c r="B316" s="22">
        <v>0</v>
      </c>
      <c r="C316" s="22" t="s">
        <v>2102</v>
      </c>
      <c r="D316" s="22">
        <v>0</v>
      </c>
      <c r="E316" s="24">
        <v>40560</v>
      </c>
      <c r="F316" s="24" t="s">
        <v>393</v>
      </c>
      <c r="G316" s="24">
        <v>40563</v>
      </c>
      <c r="H316" s="37">
        <v>127</v>
      </c>
      <c r="I316" s="23" t="s">
        <v>1999</v>
      </c>
      <c r="J316" s="37">
        <v>18</v>
      </c>
      <c r="K316" s="24" t="s">
        <v>411</v>
      </c>
      <c r="L316" s="24" t="s">
        <v>2912</v>
      </c>
      <c r="M316" s="24">
        <v>40395</v>
      </c>
      <c r="N316" s="22" t="s">
        <v>673</v>
      </c>
      <c r="O316" s="4">
        <v>9110070</v>
      </c>
      <c r="P316" s="22">
        <v>1020</v>
      </c>
      <c r="Q316" s="22">
        <v>42</v>
      </c>
      <c r="R316" s="22" t="s">
        <v>815</v>
      </c>
      <c r="S316" s="11" t="s">
        <v>186</v>
      </c>
      <c r="T316" s="38" t="s">
        <v>404</v>
      </c>
      <c r="U316" s="9">
        <v>40809</v>
      </c>
      <c r="V316" s="38" t="s">
        <v>404</v>
      </c>
      <c r="W316" s="127">
        <v>40809</v>
      </c>
      <c r="X316" s="74"/>
      <c r="Y316" s="28"/>
      <c r="Z316" s="9"/>
      <c r="AA316" s="24" t="s">
        <v>393</v>
      </c>
      <c r="AB316" s="28">
        <v>40563</v>
      </c>
      <c r="AC316" s="69"/>
    </row>
    <row r="317" spans="1:29" s="4" customFormat="1" ht="14.25" customHeight="1" x14ac:dyDescent="0.4">
      <c r="A317"/>
      <c r="B317" s="22">
        <v>0</v>
      </c>
      <c r="C317" s="22" t="s">
        <v>2102</v>
      </c>
      <c r="D317" s="22">
        <v>0</v>
      </c>
      <c r="E317" s="24">
        <v>40595</v>
      </c>
      <c r="F317" s="24" t="s">
        <v>393</v>
      </c>
      <c r="G317" s="24">
        <v>40596</v>
      </c>
      <c r="H317" s="37">
        <v>181</v>
      </c>
      <c r="I317" s="23" t="s">
        <v>2000</v>
      </c>
      <c r="J317" s="37">
        <v>29</v>
      </c>
      <c r="K317" s="24" t="s">
        <v>411</v>
      </c>
      <c r="L317" s="24" t="s">
        <v>2912</v>
      </c>
      <c r="M317" s="24">
        <v>40395</v>
      </c>
      <c r="N317" s="22" t="s">
        <v>673</v>
      </c>
      <c r="O317" s="4">
        <v>9110071</v>
      </c>
      <c r="P317" s="22">
        <v>1020</v>
      </c>
      <c r="Q317" s="22">
        <v>50</v>
      </c>
      <c r="R317" s="22" t="s">
        <v>1620</v>
      </c>
      <c r="S317" s="4" t="s">
        <v>166</v>
      </c>
      <c r="T317" s="38" t="s">
        <v>404</v>
      </c>
      <c r="U317" s="28">
        <v>40479</v>
      </c>
      <c r="V317" s="38" t="s">
        <v>404</v>
      </c>
      <c r="W317" s="127" t="s">
        <v>257</v>
      </c>
      <c r="X317" s="74"/>
      <c r="Y317" s="28"/>
      <c r="Z317" s="28"/>
      <c r="AA317" s="24" t="s">
        <v>393</v>
      </c>
      <c r="AB317" s="28">
        <v>40596</v>
      </c>
      <c r="AC317" s="69"/>
    </row>
    <row r="318" spans="1:29" ht="14.25" customHeight="1" x14ac:dyDescent="0.4">
      <c r="B318" s="22">
        <v>0</v>
      </c>
      <c r="C318" s="22" t="s">
        <v>2102</v>
      </c>
      <c r="D318" s="22">
        <v>0</v>
      </c>
      <c r="E318" s="24">
        <v>40595</v>
      </c>
      <c r="F318" s="24" t="s">
        <v>393</v>
      </c>
      <c r="G318" s="24">
        <v>40597</v>
      </c>
      <c r="H318" s="37">
        <v>182</v>
      </c>
      <c r="I318" s="23" t="s">
        <v>2000</v>
      </c>
      <c r="J318" s="37">
        <v>30</v>
      </c>
      <c r="K318" s="24" t="s">
        <v>411</v>
      </c>
      <c r="L318" s="24" t="s">
        <v>2912</v>
      </c>
      <c r="M318" s="24">
        <v>40395</v>
      </c>
      <c r="N318" s="22" t="s">
        <v>673</v>
      </c>
      <c r="O318" s="4">
        <v>9110072</v>
      </c>
      <c r="P318" s="22">
        <v>1020</v>
      </c>
      <c r="Q318" s="22">
        <v>50</v>
      </c>
      <c r="R318" s="22" t="s">
        <v>2420</v>
      </c>
      <c r="S318" s="4" t="s">
        <v>167</v>
      </c>
      <c r="T318" s="4" t="s">
        <v>404</v>
      </c>
      <c r="U318" s="57">
        <v>40513</v>
      </c>
      <c r="V318" s="4" t="s">
        <v>404</v>
      </c>
      <c r="W318" s="127" t="s">
        <v>257</v>
      </c>
      <c r="X318" s="74"/>
      <c r="Y318" s="28"/>
      <c r="Z318" s="28"/>
      <c r="AA318" s="24" t="s">
        <v>393</v>
      </c>
      <c r="AB318" s="28">
        <v>40597</v>
      </c>
      <c r="AC318" s="69"/>
    </row>
    <row r="319" spans="1:29" ht="14.25" customHeight="1" x14ac:dyDescent="0.4">
      <c r="A319" s="16"/>
      <c r="B319" s="22">
        <v>0</v>
      </c>
      <c r="C319" s="22">
        <v>0</v>
      </c>
      <c r="D319" s="22">
        <v>0</v>
      </c>
      <c r="E319" s="24">
        <v>40647</v>
      </c>
      <c r="F319" s="24" t="s">
        <v>393</v>
      </c>
      <c r="G319" s="24">
        <v>40662</v>
      </c>
      <c r="H319" s="37">
        <v>295</v>
      </c>
      <c r="I319" s="23" t="s">
        <v>2002</v>
      </c>
      <c r="J319" s="37">
        <v>28</v>
      </c>
      <c r="K319" s="24" t="s">
        <v>411</v>
      </c>
      <c r="L319" s="24" t="s">
        <v>2912</v>
      </c>
      <c r="M319" s="24">
        <v>40395</v>
      </c>
      <c r="N319" s="22" t="s">
        <v>673</v>
      </c>
      <c r="O319" s="4">
        <v>9110073</v>
      </c>
      <c r="P319" s="22">
        <v>1020</v>
      </c>
      <c r="Q319" s="22">
        <v>42</v>
      </c>
      <c r="R319" s="22" t="s">
        <v>833</v>
      </c>
      <c r="S319" s="11" t="s">
        <v>191</v>
      </c>
      <c r="T319" s="4" t="s">
        <v>404</v>
      </c>
      <c r="U319" s="44">
        <v>40800</v>
      </c>
      <c r="V319" s="4" t="s">
        <v>404</v>
      </c>
      <c r="W319" s="57">
        <v>40800</v>
      </c>
      <c r="X319" s="74"/>
      <c r="Y319" s="28"/>
      <c r="Z319" s="28"/>
      <c r="AA319" s="24" t="s">
        <v>393</v>
      </c>
      <c r="AB319" s="28">
        <v>40662</v>
      </c>
      <c r="AC319" s="69"/>
    </row>
    <row r="320" spans="1:29" ht="14.25" customHeight="1" x14ac:dyDescent="0.4">
      <c r="B320" s="22">
        <v>0</v>
      </c>
      <c r="C320" s="22">
        <v>0</v>
      </c>
      <c r="D320" s="22">
        <v>0</v>
      </c>
      <c r="E320" s="24">
        <v>40647</v>
      </c>
      <c r="F320" s="24" t="s">
        <v>393</v>
      </c>
      <c r="G320" s="24">
        <v>40661</v>
      </c>
      <c r="H320" s="37">
        <v>296</v>
      </c>
      <c r="I320" s="23" t="s">
        <v>2002</v>
      </c>
      <c r="J320" s="37">
        <v>29</v>
      </c>
      <c r="K320" s="24" t="s">
        <v>411</v>
      </c>
      <c r="L320" s="24" t="s">
        <v>2912</v>
      </c>
      <c r="M320" s="24">
        <v>40395</v>
      </c>
      <c r="N320" s="22" t="s">
        <v>673</v>
      </c>
      <c r="O320" s="4">
        <v>9110074</v>
      </c>
      <c r="P320" s="22">
        <v>1020</v>
      </c>
      <c r="Q320" s="22">
        <v>42</v>
      </c>
      <c r="R320" s="22" t="s">
        <v>2421</v>
      </c>
      <c r="S320" s="11" t="s">
        <v>161</v>
      </c>
      <c r="T320" s="38" t="s">
        <v>404</v>
      </c>
      <c r="U320" s="44">
        <v>40821</v>
      </c>
      <c r="V320" s="38" t="s">
        <v>404</v>
      </c>
      <c r="W320" s="9">
        <v>40823</v>
      </c>
      <c r="X320" s="74"/>
      <c r="Y320" s="28"/>
      <c r="Z320" s="9"/>
      <c r="AA320" s="24" t="s">
        <v>393</v>
      </c>
      <c r="AB320" s="28">
        <v>40661</v>
      </c>
      <c r="AC320" s="69"/>
    </row>
    <row r="321" spans="1:29" ht="14.25" customHeight="1" x14ac:dyDescent="0.4">
      <c r="B321" s="22">
        <v>0</v>
      </c>
      <c r="C321" s="22" t="s">
        <v>2165</v>
      </c>
      <c r="D321" s="22">
        <v>0</v>
      </c>
      <c r="E321" s="24">
        <v>40638</v>
      </c>
      <c r="F321" s="24" t="s">
        <v>393</v>
      </c>
      <c r="G321" s="24">
        <v>40640</v>
      </c>
      <c r="H321" s="37">
        <v>274</v>
      </c>
      <c r="I321" s="23" t="s">
        <v>2002</v>
      </c>
      <c r="J321" s="37">
        <v>7</v>
      </c>
      <c r="K321" s="24" t="s">
        <v>411</v>
      </c>
      <c r="L321" s="24" t="s">
        <v>2000</v>
      </c>
      <c r="M321" s="24">
        <v>40395</v>
      </c>
      <c r="N321" s="22" t="s">
        <v>673</v>
      </c>
      <c r="O321" s="4">
        <v>9110076</v>
      </c>
      <c r="P321" s="22">
        <v>1020</v>
      </c>
      <c r="Q321" s="22">
        <v>42</v>
      </c>
      <c r="R321" s="22" t="s">
        <v>820</v>
      </c>
      <c r="S321" s="4" t="s">
        <v>256</v>
      </c>
      <c r="T321" s="4" t="s">
        <v>404</v>
      </c>
      <c r="U321" s="9">
        <v>40668</v>
      </c>
      <c r="V321" s="4" t="s">
        <v>404</v>
      </c>
      <c r="W321" s="127" t="s">
        <v>257</v>
      </c>
      <c r="X321" s="74"/>
      <c r="Y321" s="28"/>
      <c r="Z321" s="9"/>
      <c r="AA321" s="24" t="s">
        <v>393</v>
      </c>
      <c r="AB321" s="28">
        <v>40640</v>
      </c>
      <c r="AC321" s="69"/>
    </row>
    <row r="322" spans="1:29" ht="14.25" customHeight="1" x14ac:dyDescent="0.4">
      <c r="B322" s="22">
        <v>0</v>
      </c>
      <c r="C322" s="22">
        <v>0</v>
      </c>
      <c r="D322" s="22">
        <v>0</v>
      </c>
      <c r="E322" s="24">
        <v>40653</v>
      </c>
      <c r="F322" s="24" t="s">
        <v>393</v>
      </c>
      <c r="G322" s="24">
        <v>40662</v>
      </c>
      <c r="H322" s="37">
        <v>308</v>
      </c>
      <c r="I322" s="23" t="s">
        <v>2002</v>
      </c>
      <c r="J322" s="37">
        <v>41</v>
      </c>
      <c r="K322" s="24" t="s">
        <v>411</v>
      </c>
      <c r="L322" s="24" t="s">
        <v>2000</v>
      </c>
      <c r="M322" s="24">
        <v>40395</v>
      </c>
      <c r="N322" s="22" t="s">
        <v>673</v>
      </c>
      <c r="O322" s="4">
        <v>9110077</v>
      </c>
      <c r="P322" s="22">
        <v>1020</v>
      </c>
      <c r="Q322" s="22">
        <v>42</v>
      </c>
      <c r="R322" s="22" t="s">
        <v>848</v>
      </c>
      <c r="S322" s="11" t="s">
        <v>192</v>
      </c>
      <c r="T322" s="4" t="s">
        <v>404</v>
      </c>
      <c r="U322" s="9">
        <v>40805</v>
      </c>
      <c r="V322" s="4" t="s">
        <v>404</v>
      </c>
      <c r="W322" s="9">
        <v>40805</v>
      </c>
      <c r="Y322" s="28"/>
      <c r="Z322" s="9"/>
      <c r="AA322" s="24" t="s">
        <v>393</v>
      </c>
      <c r="AB322" s="28">
        <v>40662</v>
      </c>
      <c r="AC322" s="69"/>
    </row>
    <row r="323" spans="1:29" s="4" customFormat="1" ht="14.25" customHeight="1" x14ac:dyDescent="0.4">
      <c r="A323"/>
      <c r="B323" s="22">
        <v>0</v>
      </c>
      <c r="C323" s="22">
        <v>0</v>
      </c>
      <c r="D323" s="22">
        <v>0</v>
      </c>
      <c r="E323" s="24">
        <v>40653</v>
      </c>
      <c r="F323" s="24" t="s">
        <v>393</v>
      </c>
      <c r="G323" s="24">
        <v>40662</v>
      </c>
      <c r="H323" s="37">
        <v>309</v>
      </c>
      <c r="I323" s="23" t="s">
        <v>2002</v>
      </c>
      <c r="J323" s="37">
        <v>42</v>
      </c>
      <c r="K323" s="24" t="s">
        <v>411</v>
      </c>
      <c r="L323" s="24" t="s">
        <v>2000</v>
      </c>
      <c r="M323" s="24">
        <v>40395</v>
      </c>
      <c r="N323" s="22" t="s">
        <v>673</v>
      </c>
      <c r="O323" s="4">
        <v>9110078</v>
      </c>
      <c r="P323" s="22">
        <v>1020</v>
      </c>
      <c r="Q323" s="22">
        <v>42</v>
      </c>
      <c r="R323" s="22" t="s">
        <v>2705</v>
      </c>
      <c r="S323" s="11" t="s">
        <v>193</v>
      </c>
      <c r="T323" s="38" t="s">
        <v>404</v>
      </c>
      <c r="U323" s="44">
        <v>40807</v>
      </c>
      <c r="V323" s="4" t="s">
        <v>404</v>
      </c>
      <c r="W323" s="9">
        <v>40807</v>
      </c>
      <c r="X323" s="75"/>
      <c r="Y323" s="28"/>
      <c r="Z323" s="28"/>
      <c r="AA323" s="24" t="s">
        <v>393</v>
      </c>
      <c r="AB323" s="28">
        <v>40662</v>
      </c>
      <c r="AC323" s="69"/>
    </row>
    <row r="324" spans="1:29" ht="14.25" customHeight="1" x14ac:dyDescent="0.4">
      <c r="B324" s="24">
        <v>40588</v>
      </c>
      <c r="C324" s="24">
        <v>40588</v>
      </c>
      <c r="D324" s="24">
        <v>40588</v>
      </c>
      <c r="E324" s="24">
        <v>40588</v>
      </c>
      <c r="F324" s="24" t="s">
        <v>393</v>
      </c>
      <c r="G324" s="24">
        <v>40589</v>
      </c>
      <c r="H324" s="37">
        <v>168</v>
      </c>
      <c r="I324" s="23" t="s">
        <v>2000</v>
      </c>
      <c r="J324" s="37">
        <v>16</v>
      </c>
      <c r="K324" s="24" t="s">
        <v>524</v>
      </c>
      <c r="L324" s="24" t="s">
        <v>2924</v>
      </c>
      <c r="M324" s="24">
        <v>40562</v>
      </c>
      <c r="N324" s="22" t="s">
        <v>1423</v>
      </c>
      <c r="O324" s="4">
        <v>9110419</v>
      </c>
      <c r="P324" s="22">
        <v>720</v>
      </c>
      <c r="Q324" s="22">
        <v>50</v>
      </c>
      <c r="R324" s="22" t="s">
        <v>699</v>
      </c>
      <c r="S324" s="4" t="s">
        <v>1697</v>
      </c>
      <c r="T324" s="38" t="s">
        <v>404</v>
      </c>
      <c r="U324" s="9">
        <v>41044</v>
      </c>
      <c r="V324" s="3" t="s">
        <v>404</v>
      </c>
      <c r="W324" s="28">
        <v>41045</v>
      </c>
      <c r="X324" s="74">
        <v>0</v>
      </c>
      <c r="Y324" s="28"/>
      <c r="Z324" s="9"/>
      <c r="AA324" s="24" t="s">
        <v>393</v>
      </c>
      <c r="AB324" s="28">
        <v>40589</v>
      </c>
      <c r="AC324" s="69"/>
    </row>
    <row r="325" spans="1:29" s="4" customFormat="1" ht="14.25" customHeight="1" x14ac:dyDescent="0.4">
      <c r="B325" s="24">
        <v>40540</v>
      </c>
      <c r="C325" s="24">
        <v>40540</v>
      </c>
      <c r="D325" s="24">
        <v>40540</v>
      </c>
      <c r="E325" s="24">
        <v>40540</v>
      </c>
      <c r="F325" s="24" t="s">
        <v>393</v>
      </c>
      <c r="G325" s="24">
        <v>40549</v>
      </c>
      <c r="H325" s="37">
        <v>106</v>
      </c>
      <c r="I325" s="23" t="s">
        <v>1998</v>
      </c>
      <c r="J325" s="37">
        <v>27</v>
      </c>
      <c r="K325" s="24" t="s">
        <v>524</v>
      </c>
      <c r="L325" s="24">
        <v>0</v>
      </c>
      <c r="M325" s="24">
        <v>40471</v>
      </c>
      <c r="N325" s="22" t="s">
        <v>1953</v>
      </c>
      <c r="O325" s="4">
        <v>9110382</v>
      </c>
      <c r="P325" s="22">
        <v>1020</v>
      </c>
      <c r="Q325" s="22">
        <v>42</v>
      </c>
      <c r="R325" s="22" t="s">
        <v>2925</v>
      </c>
      <c r="S325" s="38" t="s">
        <v>2087</v>
      </c>
      <c r="T325" s="38" t="s">
        <v>404</v>
      </c>
      <c r="U325" s="63">
        <v>40536</v>
      </c>
      <c r="V325" s="38" t="s">
        <v>404</v>
      </c>
      <c r="W325" s="9"/>
      <c r="X325" s="74">
        <v>0</v>
      </c>
      <c r="Y325" s="28"/>
      <c r="Z325" s="1"/>
      <c r="AA325" s="24" t="s">
        <v>393</v>
      </c>
      <c r="AB325" s="28">
        <v>40549</v>
      </c>
      <c r="AC325" s="69"/>
    </row>
    <row r="326" spans="1:29" s="4" customFormat="1" ht="14.25" customHeight="1" x14ac:dyDescent="0.4">
      <c r="B326" s="24">
        <v>40541</v>
      </c>
      <c r="C326" s="24">
        <v>40541</v>
      </c>
      <c r="D326" s="24">
        <v>40541</v>
      </c>
      <c r="E326" s="24">
        <v>40541</v>
      </c>
      <c r="F326" s="24" t="s">
        <v>393</v>
      </c>
      <c r="G326" s="24">
        <v>40549</v>
      </c>
      <c r="H326" s="37">
        <v>107</v>
      </c>
      <c r="I326" s="23" t="s">
        <v>1998</v>
      </c>
      <c r="J326" s="37">
        <v>28</v>
      </c>
      <c r="K326" s="24" t="s">
        <v>524</v>
      </c>
      <c r="L326" s="24">
        <v>0</v>
      </c>
      <c r="M326" s="24">
        <v>40471</v>
      </c>
      <c r="N326" s="22" t="s">
        <v>1953</v>
      </c>
      <c r="O326" s="4">
        <v>9110383</v>
      </c>
      <c r="P326" s="22">
        <v>720</v>
      </c>
      <c r="Q326" s="22">
        <v>42</v>
      </c>
      <c r="R326" s="22" t="s">
        <v>2926</v>
      </c>
      <c r="S326" s="38" t="s">
        <v>46</v>
      </c>
      <c r="T326" s="38" t="s">
        <v>404</v>
      </c>
      <c r="U326" s="130">
        <v>40605</v>
      </c>
      <c r="V326" s="38" t="s">
        <v>404</v>
      </c>
      <c r="X326" s="74">
        <v>0</v>
      </c>
      <c r="Y326" s="28"/>
      <c r="Z326" s="1"/>
      <c r="AA326" s="24" t="s">
        <v>393</v>
      </c>
      <c r="AB326" s="28">
        <v>40549</v>
      </c>
      <c r="AC326" s="69"/>
    </row>
    <row r="327" spans="1:29" ht="14.25" customHeight="1" x14ac:dyDescent="0.4">
      <c r="B327" s="24">
        <v>40658</v>
      </c>
      <c r="C327" s="24">
        <v>40658</v>
      </c>
      <c r="D327" s="24">
        <v>40658</v>
      </c>
      <c r="E327" s="24">
        <v>40658</v>
      </c>
      <c r="F327" s="24" t="s">
        <v>393</v>
      </c>
      <c r="G327" s="24">
        <v>40666</v>
      </c>
      <c r="H327" s="37">
        <v>318</v>
      </c>
      <c r="I327" s="23" t="s">
        <v>2002</v>
      </c>
      <c r="J327" s="37">
        <v>51</v>
      </c>
      <c r="K327" s="24" t="s">
        <v>524</v>
      </c>
      <c r="L327" s="24">
        <v>0</v>
      </c>
      <c r="M327" s="24">
        <v>40471</v>
      </c>
      <c r="N327" s="22" t="s">
        <v>1953</v>
      </c>
      <c r="O327" s="4">
        <v>9110384</v>
      </c>
      <c r="P327" s="22">
        <v>720</v>
      </c>
      <c r="Q327" s="22">
        <v>42</v>
      </c>
      <c r="R327" s="22" t="s">
        <v>2927</v>
      </c>
      <c r="S327" s="4" t="s">
        <v>48</v>
      </c>
      <c r="T327" s="38" t="s">
        <v>404</v>
      </c>
      <c r="U327" s="44">
        <v>40606</v>
      </c>
      <c r="V327" s="38" t="s">
        <v>404</v>
      </c>
      <c r="W327" s="9"/>
      <c r="X327" s="74">
        <v>0</v>
      </c>
      <c r="Y327" s="28"/>
      <c r="Z327" s="9"/>
      <c r="AA327" s="24" t="s">
        <v>393</v>
      </c>
      <c r="AB327" s="28">
        <v>40666</v>
      </c>
      <c r="AC327" s="69"/>
    </row>
    <row r="328" spans="1:29" ht="14.25" customHeight="1" x14ac:dyDescent="0.4">
      <c r="B328" s="24">
        <v>40668</v>
      </c>
      <c r="C328" s="24">
        <v>40668</v>
      </c>
      <c r="D328" s="24">
        <v>40668</v>
      </c>
      <c r="E328" s="24">
        <v>40668</v>
      </c>
      <c r="F328" s="24" t="s">
        <v>393</v>
      </c>
      <c r="G328" s="24">
        <v>40675</v>
      </c>
      <c r="H328" s="37">
        <v>342</v>
      </c>
      <c r="I328" s="23" t="s">
        <v>2003</v>
      </c>
      <c r="J328" s="37">
        <v>12</v>
      </c>
      <c r="K328" s="24" t="s">
        <v>524</v>
      </c>
      <c r="L328" s="24">
        <v>0</v>
      </c>
      <c r="M328" s="24">
        <v>40471</v>
      </c>
      <c r="N328" s="22" t="s">
        <v>1953</v>
      </c>
      <c r="O328" s="4">
        <v>9110385</v>
      </c>
      <c r="P328" s="22">
        <v>720</v>
      </c>
      <c r="Q328" s="22">
        <v>42</v>
      </c>
      <c r="R328" s="22" t="s">
        <v>2928</v>
      </c>
      <c r="S328" s="81" t="s">
        <v>923</v>
      </c>
      <c r="T328" s="38" t="s">
        <v>404</v>
      </c>
      <c r="U328" s="44">
        <v>40813</v>
      </c>
      <c r="V328" s="38" t="s">
        <v>404</v>
      </c>
      <c r="W328" s="9"/>
      <c r="X328" s="74">
        <v>0</v>
      </c>
      <c r="Y328" s="28"/>
      <c r="Z328" s="9"/>
      <c r="AA328" s="24" t="s">
        <v>393</v>
      </c>
      <c r="AB328" s="28">
        <v>40675</v>
      </c>
      <c r="AC328" s="69"/>
    </row>
    <row r="329" spans="1:29" ht="14.25" customHeight="1" x14ac:dyDescent="0.4">
      <c r="A329" s="4"/>
      <c r="B329" s="22">
        <v>0</v>
      </c>
      <c r="C329" s="22" t="s">
        <v>2102</v>
      </c>
      <c r="D329" s="22">
        <v>0</v>
      </c>
      <c r="E329" s="24">
        <v>40637</v>
      </c>
      <c r="F329" s="24" t="s">
        <v>393</v>
      </c>
      <c r="G329" s="24">
        <v>40640</v>
      </c>
      <c r="H329" s="37">
        <v>273</v>
      </c>
      <c r="I329" s="23" t="s">
        <v>2002</v>
      </c>
      <c r="J329" s="37">
        <v>6</v>
      </c>
      <c r="K329" s="24" t="s">
        <v>524</v>
      </c>
      <c r="L329" s="24" t="s">
        <v>2000</v>
      </c>
      <c r="M329" s="24">
        <v>40395</v>
      </c>
      <c r="N329" s="22" t="s">
        <v>1377</v>
      </c>
      <c r="O329" s="4">
        <v>9110075</v>
      </c>
      <c r="P329" s="22">
        <v>720</v>
      </c>
      <c r="Q329" s="22">
        <v>42</v>
      </c>
      <c r="R329" s="22" t="s">
        <v>2422</v>
      </c>
      <c r="S329" s="76" t="s">
        <v>98</v>
      </c>
      <c r="T329" s="3" t="s">
        <v>404</v>
      </c>
      <c r="U329" s="28">
        <v>40626</v>
      </c>
      <c r="V329" s="3" t="s">
        <v>404</v>
      </c>
      <c r="W329" s="9"/>
      <c r="X329" s="74"/>
      <c r="Y329" s="28"/>
      <c r="Z329" s="9"/>
      <c r="AA329" s="24" t="s">
        <v>393</v>
      </c>
      <c r="AB329" s="28">
        <v>40640</v>
      </c>
      <c r="AC329" s="69"/>
    </row>
    <row r="330" spans="1:29" s="4" customFormat="1" ht="14.25" customHeight="1" x14ac:dyDescent="0.4">
      <c r="A330"/>
      <c r="B330" s="24">
        <v>40662</v>
      </c>
      <c r="C330" s="24">
        <v>40662</v>
      </c>
      <c r="D330" s="24">
        <v>40662</v>
      </c>
      <c r="E330" s="24">
        <v>40662</v>
      </c>
      <c r="F330" s="24" t="s">
        <v>393</v>
      </c>
      <c r="G330" s="24">
        <v>40676</v>
      </c>
      <c r="H330" s="37">
        <v>329</v>
      </c>
      <c r="I330" s="23" t="s">
        <v>2002</v>
      </c>
      <c r="J330" s="37">
        <v>62</v>
      </c>
      <c r="K330" s="24" t="s">
        <v>524</v>
      </c>
      <c r="L330" s="24">
        <v>0</v>
      </c>
      <c r="M330" s="24">
        <v>40578</v>
      </c>
      <c r="N330" s="22" t="s">
        <v>1377</v>
      </c>
      <c r="O330" s="4">
        <v>9110424</v>
      </c>
      <c r="P330" s="22">
        <v>1020</v>
      </c>
      <c r="Q330" s="22">
        <v>42</v>
      </c>
      <c r="R330" s="22" t="s">
        <v>2929</v>
      </c>
      <c r="S330" s="4" t="s">
        <v>134</v>
      </c>
      <c r="T330" s="38" t="s">
        <v>404</v>
      </c>
      <c r="U330" s="9">
        <v>40655</v>
      </c>
      <c r="V330" s="3" t="s">
        <v>404</v>
      </c>
      <c r="W330" s="28"/>
      <c r="X330" s="74">
        <v>0</v>
      </c>
      <c r="Y330" s="28"/>
      <c r="Z330" s="9"/>
      <c r="AA330" s="24" t="s">
        <v>393</v>
      </c>
      <c r="AB330" s="28">
        <v>40676</v>
      </c>
      <c r="AC330" s="69"/>
    </row>
    <row r="331" spans="1:29" s="4" customFormat="1" ht="14.25" customHeight="1" x14ac:dyDescent="0.4">
      <c r="A331"/>
      <c r="B331" s="24">
        <v>40662</v>
      </c>
      <c r="C331" s="24">
        <v>40662</v>
      </c>
      <c r="D331" s="24">
        <v>40662</v>
      </c>
      <c r="E331" s="24">
        <v>40662</v>
      </c>
      <c r="F331" s="24" t="s">
        <v>393</v>
      </c>
      <c r="G331" s="24">
        <v>40673</v>
      </c>
      <c r="H331" s="37">
        <v>330</v>
      </c>
      <c r="I331" s="23" t="s">
        <v>2002</v>
      </c>
      <c r="J331" s="37">
        <v>63</v>
      </c>
      <c r="K331" s="24" t="s">
        <v>524</v>
      </c>
      <c r="L331" s="24">
        <v>0</v>
      </c>
      <c r="M331" s="24">
        <v>40578</v>
      </c>
      <c r="N331" s="22" t="s">
        <v>1377</v>
      </c>
      <c r="O331" s="4">
        <v>9110425</v>
      </c>
      <c r="P331" s="22">
        <v>1020</v>
      </c>
      <c r="Q331" s="22">
        <v>42</v>
      </c>
      <c r="R331" s="22">
        <v>0</v>
      </c>
      <c r="S331" s="4" t="s">
        <v>1510</v>
      </c>
      <c r="T331" s="38" t="s">
        <v>404</v>
      </c>
      <c r="U331" s="9">
        <v>40940</v>
      </c>
      <c r="V331" s="38" t="s">
        <v>404</v>
      </c>
      <c r="W331" s="9"/>
      <c r="X331" s="74">
        <v>0</v>
      </c>
      <c r="Y331" s="28"/>
      <c r="Z331" s="9"/>
      <c r="AA331" s="24" t="s">
        <v>393</v>
      </c>
      <c r="AB331" s="28">
        <v>40673</v>
      </c>
      <c r="AC331" s="69"/>
    </row>
    <row r="332" spans="1:29" s="4" customFormat="1" ht="14.25" customHeight="1" x14ac:dyDescent="0.4">
      <c r="A332"/>
      <c r="B332" s="24">
        <v>40683</v>
      </c>
      <c r="C332" s="24">
        <v>40683</v>
      </c>
      <c r="D332" s="24">
        <v>40683</v>
      </c>
      <c r="E332" s="24">
        <v>40683</v>
      </c>
      <c r="F332" s="24" t="s">
        <v>393</v>
      </c>
      <c r="G332" s="24">
        <v>40687</v>
      </c>
      <c r="H332" s="37">
        <v>369</v>
      </c>
      <c r="I332" s="23" t="s">
        <v>2003</v>
      </c>
      <c r="J332" s="37">
        <v>39</v>
      </c>
      <c r="K332" s="24" t="s">
        <v>524</v>
      </c>
      <c r="L332" s="24">
        <v>0</v>
      </c>
      <c r="M332" s="24">
        <v>40647</v>
      </c>
      <c r="N332" s="22" t="s">
        <v>1377</v>
      </c>
      <c r="O332" s="4">
        <v>9110440</v>
      </c>
      <c r="P332" s="22">
        <v>1020</v>
      </c>
      <c r="Q332" s="22">
        <v>42</v>
      </c>
      <c r="R332" s="22">
        <v>0</v>
      </c>
      <c r="S332" s="3" t="s">
        <v>135</v>
      </c>
      <c r="T332" s="3" t="s">
        <v>404</v>
      </c>
      <c r="U332" s="9">
        <v>40648</v>
      </c>
      <c r="V332" s="1" t="s">
        <v>404</v>
      </c>
      <c r="W332" s="1"/>
      <c r="X332" s="75"/>
      <c r="Y332" s="28"/>
      <c r="Z332" s="1"/>
      <c r="AA332" s="24" t="s">
        <v>393</v>
      </c>
      <c r="AB332" s="28">
        <v>40687</v>
      </c>
      <c r="AC332" s="69"/>
    </row>
    <row r="333" spans="1:29" s="4" customFormat="1" ht="14.25" customHeight="1" x14ac:dyDescent="0.4">
      <c r="A333"/>
      <c r="B333" s="24">
        <v>40549</v>
      </c>
      <c r="C333" s="24">
        <v>40549</v>
      </c>
      <c r="D333" s="24">
        <v>40549</v>
      </c>
      <c r="E333" s="24">
        <v>40549</v>
      </c>
      <c r="F333" s="24" t="s">
        <v>393</v>
      </c>
      <c r="G333" s="24">
        <v>40556</v>
      </c>
      <c r="H333" s="37">
        <v>115</v>
      </c>
      <c r="I333" s="23" t="s">
        <v>1999</v>
      </c>
      <c r="J333" s="37">
        <v>6</v>
      </c>
      <c r="K333" s="24" t="s">
        <v>524</v>
      </c>
      <c r="L333" s="24" t="s">
        <v>1999</v>
      </c>
      <c r="M333" s="24">
        <v>40528</v>
      </c>
      <c r="N333" s="22" t="s">
        <v>1380</v>
      </c>
      <c r="O333" s="4">
        <v>9110398</v>
      </c>
      <c r="P333" s="22">
        <v>720</v>
      </c>
      <c r="Q333" s="22">
        <v>50</v>
      </c>
      <c r="R333" s="22" t="s">
        <v>2930</v>
      </c>
      <c r="S333" s="4" t="s">
        <v>1854</v>
      </c>
      <c r="T333" s="38" t="s">
        <v>404</v>
      </c>
      <c r="U333" s="9">
        <v>40822</v>
      </c>
      <c r="V333" s="38" t="s">
        <v>404</v>
      </c>
      <c r="W333" s="9">
        <v>40822</v>
      </c>
      <c r="X333" s="74"/>
      <c r="Y333" s="28"/>
      <c r="Z333" s="9"/>
      <c r="AA333" s="24" t="s">
        <v>393</v>
      </c>
      <c r="AB333" s="28">
        <v>40556</v>
      </c>
      <c r="AC333" s="69"/>
    </row>
    <row r="334" spans="1:29" s="4" customFormat="1" ht="14.25" customHeight="1" x14ac:dyDescent="0.4">
      <c r="A334"/>
      <c r="B334" s="24">
        <v>40585</v>
      </c>
      <c r="C334" s="24">
        <v>40585</v>
      </c>
      <c r="D334" s="24">
        <v>40585</v>
      </c>
      <c r="E334" s="24">
        <v>40585</v>
      </c>
      <c r="F334" s="24" t="s">
        <v>393</v>
      </c>
      <c r="G334" s="24">
        <v>40590</v>
      </c>
      <c r="H334" s="37">
        <v>167</v>
      </c>
      <c r="I334" s="23" t="s">
        <v>2000</v>
      </c>
      <c r="J334" s="37">
        <v>15</v>
      </c>
      <c r="K334" s="24" t="s">
        <v>524</v>
      </c>
      <c r="L334" s="24" t="s">
        <v>2924</v>
      </c>
      <c r="M334" s="24">
        <v>40562</v>
      </c>
      <c r="N334" s="22" t="s">
        <v>1380</v>
      </c>
      <c r="O334" s="4">
        <v>9110417</v>
      </c>
      <c r="P334" s="22">
        <v>1020</v>
      </c>
      <c r="Q334" s="22">
        <v>50</v>
      </c>
      <c r="R334" s="22" t="s">
        <v>696</v>
      </c>
      <c r="S334" s="4" t="s">
        <v>292</v>
      </c>
      <c r="T334" s="38" t="s">
        <v>404</v>
      </c>
      <c r="U334" s="9">
        <v>40709</v>
      </c>
      <c r="V334" s="38" t="s">
        <v>404</v>
      </c>
      <c r="W334" s="9">
        <v>40711</v>
      </c>
      <c r="X334" s="74">
        <v>0</v>
      </c>
      <c r="Y334" s="28"/>
      <c r="Z334" s="9"/>
      <c r="AA334" s="24" t="s">
        <v>393</v>
      </c>
      <c r="AB334" s="28">
        <v>40590</v>
      </c>
      <c r="AC334" s="69"/>
    </row>
    <row r="335" spans="1:29" s="4" customFormat="1" ht="14.25" customHeight="1" x14ac:dyDescent="0.4">
      <c r="A335"/>
      <c r="B335" s="24">
        <v>40708</v>
      </c>
      <c r="C335" s="24">
        <v>40708</v>
      </c>
      <c r="D335" s="24">
        <v>40708</v>
      </c>
      <c r="E335" s="24">
        <v>40708</v>
      </c>
      <c r="F335" s="24" t="s">
        <v>393</v>
      </c>
      <c r="G335" s="24">
        <v>40711</v>
      </c>
      <c r="H335" s="37">
        <v>401</v>
      </c>
      <c r="I335" s="23" t="s">
        <v>2004</v>
      </c>
      <c r="J335" s="37">
        <v>15</v>
      </c>
      <c r="K335" s="24" t="s">
        <v>524</v>
      </c>
      <c r="L335" s="24" t="s">
        <v>2001</v>
      </c>
      <c r="M335" s="24">
        <v>40562</v>
      </c>
      <c r="N335" s="22" t="s">
        <v>1380</v>
      </c>
      <c r="O335" s="4">
        <v>9110418</v>
      </c>
      <c r="P335" s="22">
        <v>1020</v>
      </c>
      <c r="Q335" s="22">
        <v>50</v>
      </c>
      <c r="R335" s="22" t="s">
        <v>698</v>
      </c>
      <c r="S335" s="4" t="s">
        <v>1868</v>
      </c>
      <c r="T335" s="38" t="s">
        <v>404</v>
      </c>
      <c r="U335" s="9">
        <v>41178</v>
      </c>
      <c r="V335" s="38"/>
      <c r="W335" s="9"/>
      <c r="X335" s="74">
        <v>0</v>
      </c>
      <c r="Y335" s="28"/>
      <c r="Z335" s="9"/>
      <c r="AA335" s="24" t="s">
        <v>393</v>
      </c>
      <c r="AB335" s="28">
        <v>40711</v>
      </c>
      <c r="AC335" s="69"/>
    </row>
    <row r="336" spans="1:29" s="4" customFormat="1" ht="14.25" customHeight="1" x14ac:dyDescent="0.4">
      <c r="A336"/>
      <c r="B336" s="24">
        <v>40688</v>
      </c>
      <c r="C336" s="24">
        <v>40688</v>
      </c>
      <c r="D336" s="24">
        <v>40688</v>
      </c>
      <c r="E336" s="24">
        <v>40688</v>
      </c>
      <c r="F336" s="24" t="s">
        <v>393</v>
      </c>
      <c r="G336" s="24">
        <v>40694</v>
      </c>
      <c r="H336" s="37">
        <v>378</v>
      </c>
      <c r="I336" s="23" t="s">
        <v>2003</v>
      </c>
      <c r="J336" s="37">
        <v>48</v>
      </c>
      <c r="K336" s="24" t="s">
        <v>524</v>
      </c>
      <c r="L336" s="24" t="s">
        <v>2001</v>
      </c>
      <c r="M336" s="24">
        <v>40562</v>
      </c>
      <c r="N336" s="22" t="s">
        <v>1380</v>
      </c>
      <c r="O336" s="4">
        <v>9110420</v>
      </c>
      <c r="P336" s="22">
        <v>720</v>
      </c>
      <c r="Q336" s="22">
        <v>50</v>
      </c>
      <c r="R336" s="22" t="s">
        <v>2931</v>
      </c>
      <c r="S336" s="4" t="s">
        <v>2161</v>
      </c>
      <c r="T336" s="38" t="s">
        <v>404</v>
      </c>
      <c r="U336" s="9">
        <v>40599</v>
      </c>
      <c r="V336" s="3" t="s">
        <v>404</v>
      </c>
      <c r="W336" s="28">
        <v>40697</v>
      </c>
      <c r="X336" s="74">
        <v>0</v>
      </c>
      <c r="Y336" s="28"/>
      <c r="Z336" s="9"/>
      <c r="AA336" s="24" t="s">
        <v>393</v>
      </c>
      <c r="AB336" s="28">
        <v>40694</v>
      </c>
      <c r="AC336" s="69"/>
    </row>
    <row r="337" spans="1:29" s="4" customFormat="1" ht="14.25" customHeight="1" x14ac:dyDescent="0.4">
      <c r="A337"/>
      <c r="B337" s="24">
        <v>40707</v>
      </c>
      <c r="C337" s="24">
        <v>40707</v>
      </c>
      <c r="D337" s="24">
        <v>40707</v>
      </c>
      <c r="E337" s="24">
        <v>40707</v>
      </c>
      <c r="F337" s="24" t="s">
        <v>393</v>
      </c>
      <c r="G337" s="24">
        <v>40709</v>
      </c>
      <c r="H337" s="37">
        <v>397</v>
      </c>
      <c r="I337" s="23" t="s">
        <v>2004</v>
      </c>
      <c r="J337" s="37">
        <v>11</v>
      </c>
      <c r="K337" s="24" t="s">
        <v>1369</v>
      </c>
      <c r="L337" s="24" t="s">
        <v>2001</v>
      </c>
      <c r="M337" s="24">
        <v>40574</v>
      </c>
      <c r="N337" s="22" t="s">
        <v>1705</v>
      </c>
      <c r="O337" s="4">
        <v>9110423</v>
      </c>
      <c r="P337" s="22">
        <v>1020</v>
      </c>
      <c r="Q337" s="22">
        <v>50</v>
      </c>
      <c r="R337" s="22">
        <v>0</v>
      </c>
      <c r="S337" s="4" t="s">
        <v>798</v>
      </c>
      <c r="T337" s="38" t="s">
        <v>404</v>
      </c>
      <c r="U337" s="105">
        <v>40734</v>
      </c>
      <c r="V337" s="38"/>
      <c r="W337" s="9"/>
      <c r="X337" s="74">
        <v>0</v>
      </c>
      <c r="Y337" s="28"/>
      <c r="Z337" s="9"/>
      <c r="AA337" s="24" t="s">
        <v>393</v>
      </c>
      <c r="AB337" s="28">
        <v>40709</v>
      </c>
      <c r="AC337" s="69"/>
    </row>
    <row r="338" spans="1:29" s="4" customFormat="1" ht="14.25" customHeight="1" x14ac:dyDescent="0.4">
      <c r="A338"/>
      <c r="B338" s="24">
        <v>40658</v>
      </c>
      <c r="C338" s="24">
        <v>40658</v>
      </c>
      <c r="D338" s="24">
        <v>40658</v>
      </c>
      <c r="E338" s="24">
        <v>40658</v>
      </c>
      <c r="F338" s="24" t="s">
        <v>393</v>
      </c>
      <c r="G338" s="24">
        <v>40660</v>
      </c>
      <c r="H338" s="37">
        <v>317</v>
      </c>
      <c r="I338" s="23" t="s">
        <v>2002</v>
      </c>
      <c r="J338" s="37">
        <v>50</v>
      </c>
      <c r="K338" s="24" t="s">
        <v>1369</v>
      </c>
      <c r="L338" s="24" t="s">
        <v>2932</v>
      </c>
      <c r="M338" s="24">
        <v>40612</v>
      </c>
      <c r="N338" s="22" t="s">
        <v>1705</v>
      </c>
      <c r="O338" s="4">
        <v>9110431</v>
      </c>
      <c r="P338" s="22">
        <v>720</v>
      </c>
      <c r="Q338" s="22">
        <v>42</v>
      </c>
      <c r="R338" s="22">
        <v>0</v>
      </c>
      <c r="S338" s="3"/>
      <c r="U338" s="105"/>
      <c r="V338" s="1"/>
      <c r="W338" s="1"/>
      <c r="X338" s="75"/>
      <c r="Y338" s="28"/>
      <c r="Z338" s="1"/>
      <c r="AA338" s="24" t="s">
        <v>393</v>
      </c>
      <c r="AB338" s="28">
        <v>40660</v>
      </c>
      <c r="AC338" s="69"/>
    </row>
    <row r="339" spans="1:29" ht="14.25" customHeight="1" x14ac:dyDescent="0.4">
      <c r="A339" s="4"/>
      <c r="B339" s="24">
        <v>40583</v>
      </c>
      <c r="C339" s="24">
        <v>40583</v>
      </c>
      <c r="D339" s="24">
        <v>40583</v>
      </c>
      <c r="E339" s="24">
        <v>40583</v>
      </c>
      <c r="F339" s="24" t="s">
        <v>393</v>
      </c>
      <c r="G339" s="24">
        <v>40589</v>
      </c>
      <c r="H339" s="37">
        <v>163</v>
      </c>
      <c r="I339" s="23" t="s">
        <v>2000</v>
      </c>
      <c r="J339" s="37">
        <v>11</v>
      </c>
      <c r="K339" s="24" t="s">
        <v>1760</v>
      </c>
      <c r="L339" s="24">
        <v>0</v>
      </c>
      <c r="M339" s="24">
        <v>40465</v>
      </c>
      <c r="N339" s="22" t="s">
        <v>1950</v>
      </c>
      <c r="O339" s="4">
        <v>9110375</v>
      </c>
      <c r="P339" s="22">
        <v>1220</v>
      </c>
      <c r="Q339" s="22">
        <v>50</v>
      </c>
      <c r="R339" s="22">
        <v>0</v>
      </c>
      <c r="S339" s="4" t="s">
        <v>2077</v>
      </c>
      <c r="T339" s="38" t="s">
        <v>404</v>
      </c>
      <c r="U339" s="44">
        <v>40535</v>
      </c>
      <c r="V339" s="38"/>
      <c r="W339" s="9"/>
      <c r="X339" s="74">
        <v>0</v>
      </c>
      <c r="Y339" s="28"/>
      <c r="Z339" s="9"/>
      <c r="AA339" s="24" t="s">
        <v>393</v>
      </c>
      <c r="AB339" s="28">
        <v>40589</v>
      </c>
      <c r="AC339" s="69"/>
    </row>
    <row r="340" spans="1:29" ht="14.25" customHeight="1" x14ac:dyDescent="0.4">
      <c r="B340" s="24">
        <v>40485</v>
      </c>
      <c r="C340" s="24">
        <v>40485</v>
      </c>
      <c r="D340" s="24">
        <v>40485</v>
      </c>
      <c r="E340" s="24">
        <v>40485</v>
      </c>
      <c r="F340" s="24" t="s">
        <v>393</v>
      </c>
      <c r="G340" s="24">
        <v>40512</v>
      </c>
      <c r="H340" s="37">
        <v>54</v>
      </c>
      <c r="I340" s="23" t="s">
        <v>1993</v>
      </c>
      <c r="J340" s="37" t="e">
        <v>#REF!</v>
      </c>
      <c r="K340" s="24" t="s">
        <v>1760</v>
      </c>
      <c r="L340" s="24">
        <v>0</v>
      </c>
      <c r="M340" s="24">
        <v>40465</v>
      </c>
      <c r="N340" s="22" t="s">
        <v>1950</v>
      </c>
      <c r="O340" s="4">
        <v>9110376</v>
      </c>
      <c r="P340" s="22">
        <v>1220</v>
      </c>
      <c r="Q340" s="22">
        <v>50</v>
      </c>
      <c r="R340" s="22" t="s">
        <v>2933</v>
      </c>
      <c r="S340" s="4"/>
      <c r="T340" s="4" t="s">
        <v>404</v>
      </c>
      <c r="U340" s="59">
        <v>40469</v>
      </c>
      <c r="V340" s="4"/>
      <c r="W340" s="4"/>
      <c r="Y340" s="28"/>
      <c r="Z340" s="28"/>
      <c r="AA340" s="24" t="s">
        <v>393</v>
      </c>
      <c r="AB340" s="28">
        <v>40512</v>
      </c>
      <c r="AC340" s="69"/>
    </row>
    <row r="341" spans="1:29" s="4" customFormat="1" ht="14.25" customHeight="1" x14ac:dyDescent="0.4">
      <c r="A341"/>
      <c r="B341" s="24">
        <v>40584</v>
      </c>
      <c r="C341" s="24">
        <v>40584</v>
      </c>
      <c r="D341" s="24">
        <v>40584</v>
      </c>
      <c r="E341" s="24">
        <v>40584</v>
      </c>
      <c r="F341" s="24" t="s">
        <v>393</v>
      </c>
      <c r="G341" s="24">
        <v>40591</v>
      </c>
      <c r="H341" s="37">
        <v>164</v>
      </c>
      <c r="I341" s="23" t="s">
        <v>2000</v>
      </c>
      <c r="J341" s="37">
        <v>12</v>
      </c>
      <c r="K341" s="24" t="s">
        <v>1760</v>
      </c>
      <c r="L341" s="24">
        <v>0</v>
      </c>
      <c r="M341" s="24">
        <v>40465</v>
      </c>
      <c r="N341" s="22" t="s">
        <v>1950</v>
      </c>
      <c r="O341" s="4">
        <v>9110377</v>
      </c>
      <c r="P341" s="22">
        <v>1220</v>
      </c>
      <c r="Q341" s="22">
        <v>50</v>
      </c>
      <c r="R341" s="22" t="s">
        <v>2934</v>
      </c>
      <c r="S341" s="4" t="s">
        <v>2101</v>
      </c>
      <c r="T341" s="4" t="s">
        <v>404</v>
      </c>
      <c r="U341" s="57">
        <v>40543</v>
      </c>
      <c r="W341" s="57"/>
      <c r="X341" s="74"/>
      <c r="Y341" s="28"/>
      <c r="Z341" s="28"/>
      <c r="AA341" s="24" t="s">
        <v>393</v>
      </c>
      <c r="AB341" s="28">
        <v>40591</v>
      </c>
      <c r="AC341" s="69"/>
    </row>
    <row r="342" spans="1:29" s="4" customFormat="1" ht="14.25" customHeight="1" x14ac:dyDescent="0.4">
      <c r="A342"/>
      <c r="B342" s="24">
        <v>40681</v>
      </c>
      <c r="C342" s="24">
        <v>40681</v>
      </c>
      <c r="D342" s="24">
        <v>40681</v>
      </c>
      <c r="E342" s="24">
        <v>40681</v>
      </c>
      <c r="F342" s="24" t="s">
        <v>393</v>
      </c>
      <c r="G342" s="24">
        <v>40701</v>
      </c>
      <c r="H342" s="37">
        <v>364</v>
      </c>
      <c r="I342" s="23" t="s">
        <v>2003</v>
      </c>
      <c r="J342" s="37">
        <v>34</v>
      </c>
      <c r="K342" s="24" t="s">
        <v>1760</v>
      </c>
      <c r="L342" s="24">
        <v>0</v>
      </c>
      <c r="M342" s="24">
        <v>40465</v>
      </c>
      <c r="N342" s="22" t="s">
        <v>1950</v>
      </c>
      <c r="O342" s="4">
        <v>9110378</v>
      </c>
      <c r="P342" s="22">
        <v>1220</v>
      </c>
      <c r="Q342" s="22">
        <v>50</v>
      </c>
      <c r="R342" s="22" t="s">
        <v>2137</v>
      </c>
      <c r="S342" s="4" t="s">
        <v>670</v>
      </c>
      <c r="T342" s="4" t="s">
        <v>404</v>
      </c>
      <c r="U342" s="57">
        <v>40768</v>
      </c>
      <c r="W342" s="58"/>
      <c r="X342" s="74"/>
      <c r="Y342" s="28"/>
      <c r="Z342" s="28"/>
      <c r="AA342" s="24" t="s">
        <v>393</v>
      </c>
      <c r="AB342" s="28">
        <v>40701</v>
      </c>
      <c r="AC342" s="69"/>
    </row>
    <row r="343" spans="1:29" s="4" customFormat="1" ht="14.25" customHeight="1" x14ac:dyDescent="0.4">
      <c r="A343"/>
      <c r="B343" s="24">
        <v>40721</v>
      </c>
      <c r="C343" s="24">
        <v>40721</v>
      </c>
      <c r="D343" s="24">
        <v>40721</v>
      </c>
      <c r="E343" s="24">
        <v>40721</v>
      </c>
      <c r="F343" s="24" t="s">
        <v>393</v>
      </c>
      <c r="G343" s="24">
        <v>40722</v>
      </c>
      <c r="H343" s="37">
        <v>412</v>
      </c>
      <c r="I343" s="23" t="s">
        <v>2004</v>
      </c>
      <c r="J343" s="37">
        <v>26</v>
      </c>
      <c r="K343" s="24" t="s">
        <v>1760</v>
      </c>
      <c r="L343" s="24">
        <v>0</v>
      </c>
      <c r="M343" s="24">
        <v>40465</v>
      </c>
      <c r="N343" s="22" t="s">
        <v>1950</v>
      </c>
      <c r="O343" s="4">
        <v>9110379</v>
      </c>
      <c r="P343" s="22">
        <v>1220</v>
      </c>
      <c r="Q343" s="22">
        <v>50</v>
      </c>
      <c r="R343" s="22" t="s">
        <v>2935</v>
      </c>
      <c r="S343" s="4" t="s">
        <v>271</v>
      </c>
      <c r="T343" s="4" t="s">
        <v>404</v>
      </c>
      <c r="U343" s="57">
        <v>40697</v>
      </c>
      <c r="W343" s="57"/>
      <c r="X343" s="74"/>
      <c r="Y343" s="28"/>
      <c r="Z343" s="27"/>
      <c r="AA343" s="24" t="s">
        <v>393</v>
      </c>
      <c r="AB343" s="28">
        <v>40722</v>
      </c>
      <c r="AC343" s="69"/>
    </row>
    <row r="344" spans="1:29" s="4" customFormat="1" ht="14.25" customHeight="1" x14ac:dyDescent="0.4">
      <c r="A344"/>
      <c r="B344" s="24">
        <v>40690</v>
      </c>
      <c r="C344" s="24">
        <v>40690</v>
      </c>
      <c r="D344" s="24">
        <v>40690</v>
      </c>
      <c r="E344" s="24">
        <v>40690</v>
      </c>
      <c r="F344" s="24" t="s">
        <v>393</v>
      </c>
      <c r="G344" s="24">
        <v>40708</v>
      </c>
      <c r="H344" s="37">
        <v>383</v>
      </c>
      <c r="I344" s="23" t="s">
        <v>2003</v>
      </c>
      <c r="J344" s="37">
        <v>53</v>
      </c>
      <c r="K344" s="24" t="s">
        <v>1760</v>
      </c>
      <c r="L344" s="24">
        <v>0</v>
      </c>
      <c r="M344" s="24">
        <v>40592</v>
      </c>
      <c r="N344" s="22" t="s">
        <v>1950</v>
      </c>
      <c r="O344" s="4">
        <v>9110426</v>
      </c>
      <c r="P344" s="22">
        <v>1220</v>
      </c>
      <c r="Q344" s="22">
        <v>50</v>
      </c>
      <c r="R344" s="22">
        <v>0</v>
      </c>
      <c r="T344" s="38"/>
      <c r="U344" s="9"/>
      <c r="V344" s="3"/>
      <c r="W344" s="28"/>
      <c r="X344" s="74">
        <v>0</v>
      </c>
      <c r="Y344" s="28"/>
      <c r="Z344" s="9"/>
      <c r="AA344" s="24" t="s">
        <v>393</v>
      </c>
      <c r="AB344" s="28">
        <v>40708</v>
      </c>
      <c r="AC344" s="69"/>
    </row>
    <row r="345" spans="1:29" s="4" customFormat="1" ht="14.25" customHeight="1" x14ac:dyDescent="0.4">
      <c r="A345"/>
      <c r="B345" s="24">
        <v>40696</v>
      </c>
      <c r="C345" s="24">
        <v>40696</v>
      </c>
      <c r="D345" s="24">
        <v>40696</v>
      </c>
      <c r="E345" s="24">
        <v>40696</v>
      </c>
      <c r="F345" s="24" t="s">
        <v>393</v>
      </c>
      <c r="G345" s="24">
        <v>40704</v>
      </c>
      <c r="H345" s="37">
        <v>388</v>
      </c>
      <c r="I345" s="23" t="s">
        <v>2004</v>
      </c>
      <c r="J345" s="37">
        <v>2</v>
      </c>
      <c r="K345" s="24" t="s">
        <v>1760</v>
      </c>
      <c r="L345" s="24">
        <v>0</v>
      </c>
      <c r="M345" s="24">
        <v>40673</v>
      </c>
      <c r="N345" s="22" t="s">
        <v>210</v>
      </c>
      <c r="O345" s="4">
        <v>9110448</v>
      </c>
      <c r="P345" s="22">
        <v>1020</v>
      </c>
      <c r="Q345" s="22">
        <v>42</v>
      </c>
      <c r="R345" s="22">
        <v>0</v>
      </c>
      <c r="S345" s="3" t="s">
        <v>1602</v>
      </c>
      <c r="T345" s="3" t="s">
        <v>404</v>
      </c>
      <c r="U345" s="13">
        <v>40901</v>
      </c>
      <c r="V345" s="1"/>
      <c r="W345" s="1"/>
      <c r="X345" s="75"/>
      <c r="Y345" s="28"/>
      <c r="Z345" s="1"/>
      <c r="AA345" s="24" t="s">
        <v>393</v>
      </c>
      <c r="AB345" s="28">
        <v>40704</v>
      </c>
      <c r="AC345" s="69"/>
    </row>
    <row r="346" spans="1:29" s="4" customFormat="1" ht="14.25" customHeight="1" x14ac:dyDescent="0.4">
      <c r="B346" s="24">
        <v>40722</v>
      </c>
      <c r="C346" s="24">
        <v>40722</v>
      </c>
      <c r="D346" s="24">
        <v>40722</v>
      </c>
      <c r="E346" s="24">
        <v>40722</v>
      </c>
      <c r="F346" s="24" t="s">
        <v>393</v>
      </c>
      <c r="G346" s="24">
        <v>40724</v>
      </c>
      <c r="H346" s="37">
        <v>415</v>
      </c>
      <c r="I346" s="23" t="s">
        <v>2004</v>
      </c>
      <c r="J346" s="37">
        <v>29</v>
      </c>
      <c r="K346" s="24" t="s">
        <v>1760</v>
      </c>
      <c r="L346" s="24" t="s">
        <v>2002</v>
      </c>
      <c r="M346" s="24">
        <v>40441</v>
      </c>
      <c r="N346" s="22" t="s">
        <v>210</v>
      </c>
      <c r="O346" s="4">
        <v>9110368</v>
      </c>
      <c r="P346" s="22">
        <v>1020</v>
      </c>
      <c r="Q346" s="22">
        <v>50</v>
      </c>
      <c r="R346" s="22">
        <v>0</v>
      </c>
      <c r="S346" s="4" t="s">
        <v>1602</v>
      </c>
      <c r="T346" s="38" t="s">
        <v>404</v>
      </c>
      <c r="U346" s="44">
        <v>40760</v>
      </c>
      <c r="V346" s="38"/>
      <c r="W346" s="9"/>
      <c r="X346" s="74">
        <v>0</v>
      </c>
      <c r="Y346" s="28"/>
      <c r="Z346" s="9"/>
      <c r="AA346" s="24" t="s">
        <v>393</v>
      </c>
      <c r="AB346" s="28">
        <v>40724</v>
      </c>
      <c r="AC346" s="69"/>
    </row>
    <row r="347" spans="1:29" s="4" customFormat="1" ht="14.25" customHeight="1" x14ac:dyDescent="0.4">
      <c r="A347"/>
      <c r="B347" s="22">
        <v>0</v>
      </c>
      <c r="C347" s="22">
        <v>0</v>
      </c>
      <c r="D347" s="22">
        <v>0</v>
      </c>
      <c r="E347" s="24">
        <v>40549</v>
      </c>
      <c r="F347" s="24" t="s">
        <v>393</v>
      </c>
      <c r="G347" s="24">
        <v>40554</v>
      </c>
      <c r="H347" s="37">
        <v>116</v>
      </c>
      <c r="I347" s="23" t="s">
        <v>1999</v>
      </c>
      <c r="J347" s="37">
        <v>7</v>
      </c>
      <c r="K347" s="24" t="s">
        <v>1760</v>
      </c>
      <c r="L347" s="24" t="s">
        <v>1997</v>
      </c>
      <c r="M347" s="24">
        <v>40403</v>
      </c>
      <c r="N347" s="22" t="s">
        <v>1751</v>
      </c>
      <c r="O347" s="4">
        <v>9110142</v>
      </c>
      <c r="P347" s="22">
        <v>720</v>
      </c>
      <c r="Q347" s="22">
        <v>50</v>
      </c>
      <c r="R347" s="22" t="s">
        <v>2936</v>
      </c>
      <c r="S347" s="55" t="s">
        <v>2009</v>
      </c>
      <c r="T347" s="91" t="s">
        <v>404</v>
      </c>
      <c r="U347" s="94">
        <v>40527</v>
      </c>
      <c r="V347" s="91"/>
      <c r="W347" s="92"/>
      <c r="X347" s="74"/>
      <c r="Y347" s="28"/>
      <c r="Z347" s="28"/>
      <c r="AA347" s="24" t="s">
        <v>393</v>
      </c>
      <c r="AB347" s="28">
        <v>40554</v>
      </c>
      <c r="AC347" s="69"/>
    </row>
    <row r="348" spans="1:29" s="4" customFormat="1" ht="14.25" customHeight="1" x14ac:dyDescent="0.4">
      <c r="A348"/>
      <c r="B348" s="22">
        <v>0</v>
      </c>
      <c r="C348" s="22">
        <v>0</v>
      </c>
      <c r="D348" s="22">
        <v>0</v>
      </c>
      <c r="E348" s="24">
        <v>40539</v>
      </c>
      <c r="F348" s="24" t="s">
        <v>393</v>
      </c>
      <c r="G348" s="24">
        <v>40556</v>
      </c>
      <c r="H348" s="37">
        <v>105</v>
      </c>
      <c r="I348" s="23" t="s">
        <v>1998</v>
      </c>
      <c r="J348" s="37">
        <v>26</v>
      </c>
      <c r="K348" s="24" t="s">
        <v>1760</v>
      </c>
      <c r="L348" s="24" t="s">
        <v>1997</v>
      </c>
      <c r="M348" s="24">
        <v>40403</v>
      </c>
      <c r="N348" s="22" t="s">
        <v>1751</v>
      </c>
      <c r="O348" s="4">
        <v>9110143</v>
      </c>
      <c r="P348" s="22">
        <v>1220</v>
      </c>
      <c r="Q348" s="22">
        <v>50</v>
      </c>
      <c r="R348" s="22" t="s">
        <v>1762</v>
      </c>
      <c r="S348" s="3"/>
      <c r="T348" s="91"/>
      <c r="U348" s="94"/>
      <c r="V348" s="91"/>
      <c r="W348" s="92"/>
      <c r="X348" s="74"/>
      <c r="Y348" s="28"/>
      <c r="Z348" s="9"/>
      <c r="AA348" s="24" t="s">
        <v>393</v>
      </c>
      <c r="AB348" s="28">
        <v>40556</v>
      </c>
      <c r="AC348" s="69"/>
    </row>
    <row r="349" spans="1:29" s="4" customFormat="1" ht="14.25" customHeight="1" x14ac:dyDescent="0.4">
      <c r="A349"/>
      <c r="B349" s="22">
        <v>0</v>
      </c>
      <c r="C349" s="22" t="s">
        <v>2102</v>
      </c>
      <c r="D349" s="22">
        <v>0</v>
      </c>
      <c r="E349" s="24">
        <v>40714</v>
      </c>
      <c r="F349" s="24" t="s">
        <v>393</v>
      </c>
      <c r="G349" s="24">
        <v>40718</v>
      </c>
      <c r="H349" s="37">
        <v>408</v>
      </c>
      <c r="I349" s="23" t="s">
        <v>2004</v>
      </c>
      <c r="J349" s="37">
        <v>22</v>
      </c>
      <c r="K349" s="24" t="s">
        <v>1760</v>
      </c>
      <c r="L349" s="24" t="s">
        <v>2001</v>
      </c>
      <c r="M349" s="24">
        <v>40403</v>
      </c>
      <c r="N349" s="22" t="s">
        <v>1751</v>
      </c>
      <c r="O349" s="4">
        <v>9110145</v>
      </c>
      <c r="P349" s="22">
        <v>1220</v>
      </c>
      <c r="Q349" s="22">
        <v>50</v>
      </c>
      <c r="R349" s="22" t="s">
        <v>2937</v>
      </c>
      <c r="T349" s="3"/>
      <c r="U349" s="28"/>
      <c r="V349" s="3"/>
      <c r="W349" s="28"/>
      <c r="X349" s="74"/>
      <c r="Y349" s="28"/>
      <c r="Z349" s="9"/>
      <c r="AA349" s="24" t="s">
        <v>393</v>
      </c>
      <c r="AB349" s="28">
        <v>40718</v>
      </c>
      <c r="AC349" s="69"/>
    </row>
    <row r="350" spans="1:29" s="4" customFormat="1" ht="14.25" customHeight="1" x14ac:dyDescent="0.4">
      <c r="A350"/>
      <c r="B350" s="22">
        <v>0</v>
      </c>
      <c r="C350" s="22">
        <v>0</v>
      </c>
      <c r="D350" s="22">
        <v>0</v>
      </c>
      <c r="E350" s="24">
        <v>40686</v>
      </c>
      <c r="F350" s="24" t="s">
        <v>393</v>
      </c>
      <c r="G350" s="24">
        <v>40689</v>
      </c>
      <c r="H350" s="37">
        <v>372</v>
      </c>
      <c r="I350" s="23" t="s">
        <v>2003</v>
      </c>
      <c r="J350" s="37">
        <v>42</v>
      </c>
      <c r="K350" s="24" t="s">
        <v>1760</v>
      </c>
      <c r="L350" s="24" t="s">
        <v>2004</v>
      </c>
      <c r="M350" s="24">
        <v>40403</v>
      </c>
      <c r="N350" s="22" t="s">
        <v>1751</v>
      </c>
      <c r="O350" s="4">
        <v>9110146</v>
      </c>
      <c r="P350" s="22">
        <v>720</v>
      </c>
      <c r="Q350" s="22">
        <v>42</v>
      </c>
      <c r="R350" s="22" t="s">
        <v>2937</v>
      </c>
      <c r="S350" s="55"/>
      <c r="T350" s="91"/>
      <c r="U350" s="92"/>
      <c r="V350" s="91"/>
      <c r="W350" s="92"/>
      <c r="X350" s="74"/>
      <c r="Y350" s="28"/>
      <c r="Z350" s="9"/>
      <c r="AA350" s="24" t="s">
        <v>393</v>
      </c>
      <c r="AB350" s="28">
        <v>40689</v>
      </c>
      <c r="AC350" s="69"/>
    </row>
    <row r="351" spans="1:29" s="4" customFormat="1" ht="14.25" customHeight="1" x14ac:dyDescent="0.4">
      <c r="A351"/>
      <c r="B351" s="22">
        <v>0</v>
      </c>
      <c r="C351" s="22">
        <v>0</v>
      </c>
      <c r="D351" s="22">
        <v>0</v>
      </c>
      <c r="E351" s="24">
        <v>40652</v>
      </c>
      <c r="F351" s="24" t="s">
        <v>393</v>
      </c>
      <c r="G351" s="24">
        <v>40654</v>
      </c>
      <c r="H351" s="37">
        <v>306</v>
      </c>
      <c r="I351" s="23" t="s">
        <v>2002</v>
      </c>
      <c r="J351" s="37">
        <v>39</v>
      </c>
      <c r="K351" s="24" t="s">
        <v>549</v>
      </c>
      <c r="L351" s="24" t="s">
        <v>2004</v>
      </c>
      <c r="M351" s="24">
        <v>40403</v>
      </c>
      <c r="N351" s="22" t="s">
        <v>567</v>
      </c>
      <c r="O351" s="4">
        <v>9110235</v>
      </c>
      <c r="P351" s="22">
        <v>720</v>
      </c>
      <c r="Q351" s="22">
        <v>42</v>
      </c>
      <c r="R351" s="22" t="s">
        <v>2938</v>
      </c>
      <c r="T351" s="4" t="s">
        <v>404</v>
      </c>
      <c r="U351" s="43">
        <v>40717</v>
      </c>
      <c r="V351" s="4" t="s">
        <v>404</v>
      </c>
      <c r="W351" s="57">
        <v>40718</v>
      </c>
      <c r="X351" s="74"/>
      <c r="Y351" s="28"/>
      <c r="Z351" s="9"/>
      <c r="AA351" s="24" t="s">
        <v>393</v>
      </c>
      <c r="AB351" s="28">
        <v>40654</v>
      </c>
      <c r="AC351" s="69"/>
    </row>
    <row r="352" spans="1:29" s="4" customFormat="1" ht="14.25" customHeight="1" x14ac:dyDescent="0.4">
      <c r="A352"/>
      <c r="B352" s="22">
        <v>0</v>
      </c>
      <c r="C352" s="22" t="s">
        <v>2165</v>
      </c>
      <c r="D352" s="22">
        <v>0</v>
      </c>
      <c r="E352" s="24">
        <v>40458</v>
      </c>
      <c r="F352" s="24" t="s">
        <v>393</v>
      </c>
      <c r="G352" s="24">
        <v>40463</v>
      </c>
      <c r="H352" s="37">
        <v>21</v>
      </c>
      <c r="I352" s="23" t="e">
        <v>#REF!</v>
      </c>
      <c r="J352" s="37" t="e">
        <v>#REF!</v>
      </c>
      <c r="K352" s="24" t="s">
        <v>549</v>
      </c>
      <c r="L352" s="24" t="s">
        <v>1991</v>
      </c>
      <c r="M352" s="24">
        <v>40406</v>
      </c>
      <c r="N352" s="22" t="s">
        <v>567</v>
      </c>
      <c r="O352" s="4">
        <v>9110239</v>
      </c>
      <c r="P352" s="22">
        <v>1020</v>
      </c>
      <c r="Q352" s="22">
        <v>42</v>
      </c>
      <c r="R352" s="22" t="s">
        <v>2939</v>
      </c>
      <c r="S352" s="55"/>
      <c r="T352" s="55" t="s">
        <v>404</v>
      </c>
      <c r="U352" s="151">
        <v>40870</v>
      </c>
      <c r="V352" s="55" t="s">
        <v>404</v>
      </c>
      <c r="W352" s="94">
        <v>40890</v>
      </c>
      <c r="X352" s="75"/>
      <c r="Y352" s="28"/>
      <c r="Z352" s="28"/>
      <c r="AA352" s="24" t="s">
        <v>393</v>
      </c>
      <c r="AB352" s="28">
        <v>40463</v>
      </c>
      <c r="AC352" s="69"/>
    </row>
    <row r="353" spans="1:29" s="4" customFormat="1" ht="14.25" customHeight="1" x14ac:dyDescent="0.4">
      <c r="A353"/>
      <c r="B353" s="22">
        <v>0</v>
      </c>
      <c r="C353" s="22" t="s">
        <v>2165</v>
      </c>
      <c r="D353" s="22">
        <v>0</v>
      </c>
      <c r="E353" s="24">
        <v>40459</v>
      </c>
      <c r="F353" s="24" t="s">
        <v>393</v>
      </c>
      <c r="G353" s="24">
        <v>40466</v>
      </c>
      <c r="H353" s="37">
        <v>22</v>
      </c>
      <c r="I353" s="23" t="e">
        <v>#REF!</v>
      </c>
      <c r="J353" s="37" t="e">
        <v>#REF!</v>
      </c>
      <c r="K353" s="24" t="s">
        <v>549</v>
      </c>
      <c r="L353" s="24" t="s">
        <v>1991</v>
      </c>
      <c r="M353" s="24">
        <v>40406</v>
      </c>
      <c r="N353" s="22" t="s">
        <v>567</v>
      </c>
      <c r="O353" s="4">
        <v>9110240</v>
      </c>
      <c r="P353" s="22">
        <v>1020</v>
      </c>
      <c r="Q353" s="22">
        <v>42</v>
      </c>
      <c r="R353" s="22" t="s">
        <v>2940</v>
      </c>
      <c r="S353" s="55"/>
      <c r="T353" s="91" t="s">
        <v>404</v>
      </c>
      <c r="U353" s="94">
        <v>40704</v>
      </c>
      <c r="V353" s="91" t="s">
        <v>404</v>
      </c>
      <c r="W353" s="92">
        <v>40705</v>
      </c>
      <c r="X353" s="75"/>
      <c r="Y353" s="28"/>
      <c r="Z353" s="9"/>
      <c r="AA353" s="24" t="s">
        <v>393</v>
      </c>
      <c r="AB353" s="28">
        <v>40466</v>
      </c>
      <c r="AC353" s="69"/>
    </row>
    <row r="354" spans="1:29" s="4" customFormat="1" ht="14.25" customHeight="1" x14ac:dyDescent="0.4">
      <c r="A354"/>
      <c r="B354" s="22">
        <v>0</v>
      </c>
      <c r="C354" s="22" t="s">
        <v>2165</v>
      </c>
      <c r="D354" s="22">
        <v>0</v>
      </c>
      <c r="E354" s="24">
        <v>40471</v>
      </c>
      <c r="F354" s="24" t="s">
        <v>393</v>
      </c>
      <c r="G354" s="24">
        <v>40477</v>
      </c>
      <c r="H354" s="37">
        <v>35</v>
      </c>
      <c r="I354" s="23" t="s">
        <v>1993</v>
      </c>
      <c r="J354" s="37" t="e">
        <v>#REF!</v>
      </c>
      <c r="K354" s="24" t="s">
        <v>549</v>
      </c>
      <c r="L354" s="24" t="s">
        <v>1992</v>
      </c>
      <c r="M354" s="24">
        <v>40406</v>
      </c>
      <c r="N354" s="22" t="s">
        <v>567</v>
      </c>
      <c r="O354" s="4">
        <v>9110241</v>
      </c>
      <c r="P354" s="22">
        <v>720</v>
      </c>
      <c r="Q354" s="22">
        <v>42</v>
      </c>
      <c r="R354" s="22" t="s">
        <v>2941</v>
      </c>
      <c r="T354" s="4" t="s">
        <v>404</v>
      </c>
      <c r="U354" s="57">
        <v>40527</v>
      </c>
      <c r="V354" s="4" t="s">
        <v>404</v>
      </c>
      <c r="W354" s="57">
        <v>40596</v>
      </c>
      <c r="X354" s="74"/>
      <c r="Y354" s="28"/>
      <c r="Z354" s="9"/>
      <c r="AA354" s="24" t="s">
        <v>393</v>
      </c>
      <c r="AB354" s="28">
        <v>40477</v>
      </c>
      <c r="AC354" s="69"/>
    </row>
    <row r="355" spans="1:29" s="4" customFormat="1" ht="14.25" customHeight="1" x14ac:dyDescent="0.4">
      <c r="A355"/>
      <c r="B355" s="24">
        <v>40667</v>
      </c>
      <c r="C355" s="24">
        <v>40667</v>
      </c>
      <c r="D355" s="24">
        <v>40667</v>
      </c>
      <c r="E355" s="24">
        <v>40667</v>
      </c>
      <c r="F355" s="24" t="s">
        <v>393</v>
      </c>
      <c r="G355" s="24">
        <v>40675</v>
      </c>
      <c r="H355" s="37">
        <v>338</v>
      </c>
      <c r="I355" s="23" t="s">
        <v>2003</v>
      </c>
      <c r="J355" s="37">
        <v>8</v>
      </c>
      <c r="K355" s="24" t="s">
        <v>549</v>
      </c>
      <c r="L355" s="24" t="s">
        <v>2942</v>
      </c>
      <c r="M355" s="24">
        <v>40406</v>
      </c>
      <c r="N355" s="22" t="s">
        <v>567</v>
      </c>
      <c r="O355" s="4">
        <v>9110242</v>
      </c>
      <c r="P355" s="22">
        <v>1020</v>
      </c>
      <c r="Q355" s="22">
        <v>42</v>
      </c>
      <c r="R355" s="22" t="s">
        <v>2943</v>
      </c>
      <c r="S355" s="55"/>
      <c r="T355" s="3" t="s">
        <v>404</v>
      </c>
      <c r="U355" s="94">
        <v>40557</v>
      </c>
      <c r="V355" s="91" t="s">
        <v>404</v>
      </c>
      <c r="W355" s="94">
        <v>40774</v>
      </c>
      <c r="X355" s="74"/>
      <c r="Y355" s="28"/>
      <c r="Z355" s="28"/>
      <c r="AA355" s="24" t="s">
        <v>393</v>
      </c>
      <c r="AB355" s="28">
        <v>40675</v>
      </c>
      <c r="AC355" s="69"/>
    </row>
    <row r="356" spans="1:29" s="4" customFormat="1" ht="14.25" customHeight="1" x14ac:dyDescent="0.4">
      <c r="A356"/>
      <c r="B356" s="22">
        <v>0</v>
      </c>
      <c r="C356" s="22" t="s">
        <v>2165</v>
      </c>
      <c r="D356" s="22">
        <v>0</v>
      </c>
      <c r="E356" s="24">
        <v>40547</v>
      </c>
      <c r="F356" s="24" t="s">
        <v>393</v>
      </c>
      <c r="G356" s="24">
        <v>40548</v>
      </c>
      <c r="H356" s="37">
        <v>111</v>
      </c>
      <c r="I356" s="23" t="s">
        <v>1999</v>
      </c>
      <c r="J356" s="37">
        <v>2</v>
      </c>
      <c r="K356" s="24" t="s">
        <v>549</v>
      </c>
      <c r="L356" s="24" t="s">
        <v>1997</v>
      </c>
      <c r="M356" s="24">
        <v>40406</v>
      </c>
      <c r="N356" s="22" t="s">
        <v>567</v>
      </c>
      <c r="O356" s="4">
        <v>9110244</v>
      </c>
      <c r="P356" s="22">
        <v>1020</v>
      </c>
      <c r="Q356" s="22">
        <v>42</v>
      </c>
      <c r="R356" s="22" t="s">
        <v>2944</v>
      </c>
      <c r="S356" s="76"/>
      <c r="T356" s="3" t="s">
        <v>404</v>
      </c>
      <c r="U356" s="94">
        <v>40487</v>
      </c>
      <c r="V356" s="91" t="s">
        <v>404</v>
      </c>
      <c r="W356" s="94">
        <v>40584</v>
      </c>
      <c r="X356" s="74"/>
      <c r="Y356" s="28"/>
      <c r="Z356" s="9"/>
      <c r="AA356" s="24" t="s">
        <v>393</v>
      </c>
      <c r="AB356" s="28">
        <v>40548</v>
      </c>
      <c r="AC356" s="69"/>
    </row>
    <row r="357" spans="1:29" s="4" customFormat="1" ht="14.25" customHeight="1" x14ac:dyDescent="0.4">
      <c r="A357"/>
      <c r="B357" s="22">
        <v>0</v>
      </c>
      <c r="C357" s="22" t="s">
        <v>2165</v>
      </c>
      <c r="D357" s="22">
        <v>0</v>
      </c>
      <c r="E357" s="24">
        <v>40515</v>
      </c>
      <c r="F357" s="24" t="s">
        <v>393</v>
      </c>
      <c r="G357" s="24">
        <v>40521</v>
      </c>
      <c r="H357" s="37">
        <v>83</v>
      </c>
      <c r="I357" s="23" t="s">
        <v>1998</v>
      </c>
      <c r="J357" s="37">
        <v>4</v>
      </c>
      <c r="K357" s="24" t="s">
        <v>549</v>
      </c>
      <c r="L357" s="24" t="s">
        <v>1997</v>
      </c>
      <c r="M357" s="24">
        <v>40406</v>
      </c>
      <c r="N357" s="22" t="s">
        <v>567</v>
      </c>
      <c r="O357" s="4">
        <v>9110243</v>
      </c>
      <c r="P357" s="22">
        <v>1020</v>
      </c>
      <c r="Q357" s="22">
        <v>50</v>
      </c>
      <c r="R357" s="22" t="s">
        <v>2945</v>
      </c>
      <c r="T357" s="91" t="s">
        <v>404</v>
      </c>
      <c r="U357" s="94">
        <v>40417</v>
      </c>
      <c r="V357" s="91" t="s">
        <v>404</v>
      </c>
      <c r="W357" s="92">
        <v>40525</v>
      </c>
      <c r="X357" s="74"/>
      <c r="Y357" s="28"/>
      <c r="Z357" s="9"/>
      <c r="AA357" s="24" t="s">
        <v>393</v>
      </c>
      <c r="AB357" s="28">
        <v>40521</v>
      </c>
      <c r="AC357" s="69"/>
    </row>
    <row r="358" spans="1:29" s="4" customFormat="1" ht="14.25" customHeight="1" x14ac:dyDescent="0.4">
      <c r="A358"/>
      <c r="B358" s="22">
        <v>0</v>
      </c>
      <c r="C358" s="22">
        <v>0</v>
      </c>
      <c r="D358" s="22">
        <v>0</v>
      </c>
      <c r="E358" s="24">
        <v>40515</v>
      </c>
      <c r="F358" s="24" t="s">
        <v>393</v>
      </c>
      <c r="G358" s="24">
        <v>40520</v>
      </c>
      <c r="H358" s="37">
        <v>82</v>
      </c>
      <c r="I358" s="23" t="s">
        <v>1998</v>
      </c>
      <c r="J358" s="37">
        <v>3</v>
      </c>
      <c r="K358" s="24" t="s">
        <v>549</v>
      </c>
      <c r="L358" s="24" t="s">
        <v>1997</v>
      </c>
      <c r="M358" s="24">
        <v>40406</v>
      </c>
      <c r="N358" s="22" t="s">
        <v>567</v>
      </c>
      <c r="O358" s="4">
        <v>9110245</v>
      </c>
      <c r="P358" s="22">
        <v>1020</v>
      </c>
      <c r="Q358" s="22">
        <v>50</v>
      </c>
      <c r="R358" s="22" t="s">
        <v>2946</v>
      </c>
      <c r="S358" s="55"/>
      <c r="T358" s="38" t="s">
        <v>404</v>
      </c>
      <c r="U358" s="44">
        <v>40417</v>
      </c>
      <c r="V358" s="38" t="s">
        <v>404</v>
      </c>
      <c r="W358" s="9">
        <v>40527</v>
      </c>
      <c r="X358" s="74"/>
      <c r="Y358" s="28"/>
      <c r="Z358" s="9"/>
      <c r="AA358" s="24" t="s">
        <v>393</v>
      </c>
      <c r="AB358" s="28">
        <v>40520</v>
      </c>
      <c r="AC358" s="69"/>
    </row>
    <row r="359" spans="1:29" s="4" customFormat="1" ht="14.25" customHeight="1" x14ac:dyDescent="0.4">
      <c r="B359" s="22">
        <v>0</v>
      </c>
      <c r="C359" s="22" t="s">
        <v>2102</v>
      </c>
      <c r="D359" s="22" t="s">
        <v>23</v>
      </c>
      <c r="E359" s="24">
        <v>40568</v>
      </c>
      <c r="F359" s="24" t="s">
        <v>393</v>
      </c>
      <c r="G359" s="24">
        <v>40571</v>
      </c>
      <c r="H359" s="37">
        <v>143</v>
      </c>
      <c r="I359" s="23" t="s">
        <v>1999</v>
      </c>
      <c r="J359" s="37">
        <v>34</v>
      </c>
      <c r="K359" s="24" t="s">
        <v>549</v>
      </c>
      <c r="L359" s="24" t="s">
        <v>1998</v>
      </c>
      <c r="M359" s="24">
        <v>40406</v>
      </c>
      <c r="N359" s="22" t="s">
        <v>567</v>
      </c>
      <c r="O359" s="4">
        <v>9110246</v>
      </c>
      <c r="P359" s="22">
        <v>720</v>
      </c>
      <c r="Q359" s="22">
        <v>42</v>
      </c>
      <c r="R359" s="22" t="s">
        <v>2947</v>
      </c>
      <c r="T359" s="91" t="s">
        <v>404</v>
      </c>
      <c r="U359" s="92">
        <v>40527</v>
      </c>
      <c r="V359" s="3" t="s">
        <v>404</v>
      </c>
      <c r="W359" s="92">
        <v>40598</v>
      </c>
      <c r="X359" s="74"/>
      <c r="Y359" s="28"/>
      <c r="Z359" s="28"/>
      <c r="AA359" s="24" t="s">
        <v>393</v>
      </c>
      <c r="AB359" s="28">
        <v>40571</v>
      </c>
      <c r="AC359" s="69"/>
    </row>
    <row r="360" spans="1:29" s="4" customFormat="1" ht="14.25" customHeight="1" x14ac:dyDescent="0.4">
      <c r="A360"/>
      <c r="B360" s="22">
        <v>0</v>
      </c>
      <c r="C360" s="22" t="s">
        <v>2165</v>
      </c>
      <c r="D360" s="22">
        <v>0</v>
      </c>
      <c r="E360" s="24">
        <v>40514</v>
      </c>
      <c r="F360" s="24" t="s">
        <v>393</v>
      </c>
      <c r="G360" s="24">
        <v>40522</v>
      </c>
      <c r="H360" s="37">
        <v>81</v>
      </c>
      <c r="I360" s="23" t="s">
        <v>1998</v>
      </c>
      <c r="J360" s="37">
        <v>2</v>
      </c>
      <c r="K360" s="24" t="s">
        <v>549</v>
      </c>
      <c r="L360" s="24" t="s">
        <v>1998</v>
      </c>
      <c r="M360" s="24">
        <v>40406</v>
      </c>
      <c r="N360" s="22" t="s">
        <v>567</v>
      </c>
      <c r="O360" s="4">
        <v>9110247</v>
      </c>
      <c r="P360" s="22">
        <v>1020</v>
      </c>
      <c r="Q360" s="22">
        <v>50</v>
      </c>
      <c r="R360" s="22" t="s">
        <v>2948</v>
      </c>
      <c r="T360" s="4" t="s">
        <v>404</v>
      </c>
      <c r="U360" s="57">
        <v>40416</v>
      </c>
      <c r="V360" s="4" t="s">
        <v>404</v>
      </c>
      <c r="W360" s="57">
        <v>40533</v>
      </c>
      <c r="X360" s="74"/>
      <c r="Y360" s="28"/>
      <c r="Z360" s="28"/>
      <c r="AA360" s="24" t="s">
        <v>393</v>
      </c>
      <c r="AB360" s="28">
        <v>40522</v>
      </c>
      <c r="AC360" s="69"/>
    </row>
    <row r="361" spans="1:29" s="4" customFormat="1" ht="14.25" customHeight="1" x14ac:dyDescent="0.4">
      <c r="A361"/>
      <c r="B361" s="22">
        <v>0</v>
      </c>
      <c r="C361" s="22" t="s">
        <v>2165</v>
      </c>
      <c r="D361" s="22">
        <v>0</v>
      </c>
      <c r="E361" s="24">
        <v>40513</v>
      </c>
      <c r="F361" s="24" t="s">
        <v>393</v>
      </c>
      <c r="G361" s="24">
        <v>40521</v>
      </c>
      <c r="H361" s="37">
        <v>80</v>
      </c>
      <c r="I361" s="23" t="s">
        <v>1998</v>
      </c>
      <c r="J361" s="37">
        <v>1</v>
      </c>
      <c r="K361" s="24" t="s">
        <v>549</v>
      </c>
      <c r="L361" s="24" t="s">
        <v>1998</v>
      </c>
      <c r="M361" s="24">
        <v>40406</v>
      </c>
      <c r="N361" s="22" t="s">
        <v>567</v>
      </c>
      <c r="O361" s="4">
        <v>9110248</v>
      </c>
      <c r="P361" s="22">
        <v>1020</v>
      </c>
      <c r="Q361" s="22">
        <v>42</v>
      </c>
      <c r="R361" s="22" t="s">
        <v>2949</v>
      </c>
      <c r="T361" s="3" t="s">
        <v>404</v>
      </c>
      <c r="U361" s="9">
        <v>40410</v>
      </c>
      <c r="V361" s="3" t="s">
        <v>404</v>
      </c>
      <c r="W361" s="57">
        <v>40547</v>
      </c>
      <c r="X361" s="74"/>
      <c r="Y361" s="28"/>
      <c r="Z361" s="28"/>
      <c r="AA361" s="24" t="s">
        <v>393</v>
      </c>
      <c r="AB361" s="28">
        <v>40521</v>
      </c>
      <c r="AC361" s="69"/>
    </row>
    <row r="362" spans="1:29" s="4" customFormat="1" ht="14.25" customHeight="1" x14ac:dyDescent="0.4">
      <c r="A362"/>
      <c r="B362" s="22">
        <v>0</v>
      </c>
      <c r="C362" s="22" t="s">
        <v>2165</v>
      </c>
      <c r="D362" s="22">
        <v>0</v>
      </c>
      <c r="E362" s="24">
        <v>40528</v>
      </c>
      <c r="F362" s="24" t="s">
        <v>393</v>
      </c>
      <c r="G362" s="24">
        <v>40529</v>
      </c>
      <c r="H362" s="37">
        <v>97</v>
      </c>
      <c r="I362" s="23" t="s">
        <v>1998</v>
      </c>
      <c r="J362" s="37">
        <v>18</v>
      </c>
      <c r="K362" s="24" t="s">
        <v>549</v>
      </c>
      <c r="L362" s="24" t="s">
        <v>1998</v>
      </c>
      <c r="M362" s="24">
        <v>40406</v>
      </c>
      <c r="N362" s="22" t="s">
        <v>567</v>
      </c>
      <c r="O362" s="4">
        <v>9110249</v>
      </c>
      <c r="P362" s="22">
        <v>720</v>
      </c>
      <c r="Q362" s="22">
        <v>42</v>
      </c>
      <c r="R362" s="22" t="s">
        <v>2950</v>
      </c>
      <c r="T362" s="4" t="s">
        <v>404</v>
      </c>
      <c r="U362" s="57">
        <v>40494</v>
      </c>
      <c r="V362" s="4" t="s">
        <v>404</v>
      </c>
      <c r="W362" s="57">
        <v>40542</v>
      </c>
      <c r="X362" s="74"/>
      <c r="Y362" s="28"/>
      <c r="Z362" s="28"/>
      <c r="AA362" s="24" t="s">
        <v>393</v>
      </c>
      <c r="AB362" s="28">
        <v>40529</v>
      </c>
      <c r="AC362" s="69"/>
    </row>
    <row r="363" spans="1:29" s="4" customFormat="1" ht="14.25" customHeight="1" x14ac:dyDescent="0.4">
      <c r="A363"/>
      <c r="B363" s="22">
        <v>0</v>
      </c>
      <c r="C363" s="22" t="s">
        <v>2165</v>
      </c>
      <c r="D363" s="22">
        <v>0</v>
      </c>
      <c r="E363" s="24">
        <v>40603</v>
      </c>
      <c r="F363" s="24" t="s">
        <v>393</v>
      </c>
      <c r="G363" s="24">
        <v>40605</v>
      </c>
      <c r="H363" s="37">
        <v>199</v>
      </c>
      <c r="I363" s="23" t="s">
        <v>2001</v>
      </c>
      <c r="J363" s="37">
        <v>1</v>
      </c>
      <c r="K363" s="24" t="s">
        <v>549</v>
      </c>
      <c r="L363" s="24" t="s">
        <v>1998</v>
      </c>
      <c r="M363" s="24">
        <v>40406</v>
      </c>
      <c r="N363" s="22" t="s">
        <v>567</v>
      </c>
      <c r="O363" s="4">
        <v>9110250</v>
      </c>
      <c r="P363" s="22">
        <v>1020</v>
      </c>
      <c r="Q363" s="22">
        <v>50</v>
      </c>
      <c r="R363" s="22" t="s">
        <v>2951</v>
      </c>
      <c r="T363" s="4" t="s">
        <v>404</v>
      </c>
      <c r="U363" s="57">
        <v>40439</v>
      </c>
      <c r="V363" s="4" t="s">
        <v>404</v>
      </c>
      <c r="W363" s="57">
        <v>40631</v>
      </c>
      <c r="X363" s="74"/>
      <c r="Y363" s="28"/>
      <c r="Z363" s="28"/>
      <c r="AA363" s="24" t="s">
        <v>393</v>
      </c>
      <c r="AB363" s="28">
        <v>40605</v>
      </c>
      <c r="AC363" s="69"/>
    </row>
    <row r="364" spans="1:29" s="4" customFormat="1" ht="14.25" customHeight="1" x14ac:dyDescent="0.4">
      <c r="A364"/>
      <c r="B364" s="22">
        <v>0</v>
      </c>
      <c r="C364" s="22" t="s">
        <v>2165</v>
      </c>
      <c r="D364" s="22">
        <v>0</v>
      </c>
      <c r="E364" s="24">
        <v>40603</v>
      </c>
      <c r="F364" s="24" t="s">
        <v>393</v>
      </c>
      <c r="G364" s="24">
        <v>40605</v>
      </c>
      <c r="H364" s="37">
        <v>200</v>
      </c>
      <c r="I364" s="23" t="s">
        <v>2001</v>
      </c>
      <c r="J364" s="37">
        <v>2</v>
      </c>
      <c r="K364" s="24" t="s">
        <v>549</v>
      </c>
      <c r="L364" s="24" t="s">
        <v>1999</v>
      </c>
      <c r="M364" s="24">
        <v>40406</v>
      </c>
      <c r="N364" s="22" t="s">
        <v>567</v>
      </c>
      <c r="O364" s="4">
        <v>9110251</v>
      </c>
      <c r="P364" s="22">
        <v>1020</v>
      </c>
      <c r="Q364" s="22">
        <v>50</v>
      </c>
      <c r="R364" s="22" t="s">
        <v>2952</v>
      </c>
      <c r="T364" s="4" t="s">
        <v>404</v>
      </c>
      <c r="U364" s="57">
        <v>40424</v>
      </c>
      <c r="V364" s="4" t="s">
        <v>404</v>
      </c>
      <c r="W364" s="57">
        <v>40621</v>
      </c>
      <c r="X364" s="74"/>
      <c r="Y364" s="28"/>
      <c r="Z364" s="28"/>
      <c r="AA364" s="24" t="s">
        <v>393</v>
      </c>
      <c r="AB364" s="28">
        <v>40605</v>
      </c>
      <c r="AC364" s="69"/>
    </row>
    <row r="365" spans="1:29" s="4" customFormat="1" ht="14.25" customHeight="1" x14ac:dyDescent="0.4">
      <c r="A365"/>
      <c r="B365" s="22">
        <v>0</v>
      </c>
      <c r="C365" s="22">
        <v>0</v>
      </c>
      <c r="D365" s="22">
        <v>0</v>
      </c>
      <c r="E365" s="24">
        <v>40592</v>
      </c>
      <c r="F365" s="24" t="s">
        <v>393</v>
      </c>
      <c r="G365" s="24">
        <v>40596</v>
      </c>
      <c r="H365" s="37">
        <v>180</v>
      </c>
      <c r="I365" s="23" t="s">
        <v>2000</v>
      </c>
      <c r="J365" s="37">
        <v>28</v>
      </c>
      <c r="K365" s="24" t="s">
        <v>549</v>
      </c>
      <c r="L365" s="24" t="s">
        <v>1999</v>
      </c>
      <c r="M365" s="24">
        <v>40406</v>
      </c>
      <c r="N365" s="22" t="s">
        <v>567</v>
      </c>
      <c r="O365" s="4">
        <v>9110252</v>
      </c>
      <c r="P365" s="22">
        <v>1020</v>
      </c>
      <c r="Q365" s="22">
        <v>42</v>
      </c>
      <c r="R365" s="22" t="s">
        <v>2953</v>
      </c>
      <c r="T365" s="3" t="s">
        <v>404</v>
      </c>
      <c r="U365" s="28">
        <v>40429</v>
      </c>
      <c r="V365" s="3" t="s">
        <v>404</v>
      </c>
      <c r="W365" s="28">
        <v>40607</v>
      </c>
      <c r="X365" s="74"/>
      <c r="Y365" s="28"/>
      <c r="Z365" s="9"/>
      <c r="AA365" s="24" t="s">
        <v>393</v>
      </c>
      <c r="AB365" s="28">
        <v>40596</v>
      </c>
      <c r="AC365" s="69"/>
    </row>
    <row r="366" spans="1:29" s="4" customFormat="1" ht="14.25" customHeight="1" x14ac:dyDescent="0.4">
      <c r="A366"/>
      <c r="B366" s="22">
        <v>0</v>
      </c>
      <c r="C366" s="22" t="s">
        <v>2165</v>
      </c>
      <c r="D366" s="22">
        <v>0</v>
      </c>
      <c r="E366" s="24">
        <v>40528</v>
      </c>
      <c r="F366" s="24" t="s">
        <v>393</v>
      </c>
      <c r="G366" s="24">
        <v>40529</v>
      </c>
      <c r="H366" s="37">
        <v>98</v>
      </c>
      <c r="I366" s="23" t="s">
        <v>1998</v>
      </c>
      <c r="J366" s="37">
        <v>19</v>
      </c>
      <c r="K366" s="24" t="s">
        <v>549</v>
      </c>
      <c r="L366" s="24" t="s">
        <v>1999</v>
      </c>
      <c r="M366" s="24">
        <v>40406</v>
      </c>
      <c r="N366" s="22" t="s">
        <v>567</v>
      </c>
      <c r="O366" s="4">
        <v>9110253</v>
      </c>
      <c r="P366" s="22">
        <v>1020</v>
      </c>
      <c r="Q366" s="22">
        <v>50</v>
      </c>
      <c r="R366" s="22" t="s">
        <v>2954</v>
      </c>
      <c r="T366" s="38" t="s">
        <v>404</v>
      </c>
      <c r="U366" s="44">
        <v>40494</v>
      </c>
      <c r="V366" s="38" t="s">
        <v>404</v>
      </c>
      <c r="W366" s="9">
        <v>40558</v>
      </c>
      <c r="X366" s="74"/>
      <c r="Y366" s="28"/>
      <c r="Z366" s="9"/>
      <c r="AA366" s="24" t="s">
        <v>393</v>
      </c>
      <c r="AB366" s="28">
        <v>40529</v>
      </c>
      <c r="AC366" s="69"/>
    </row>
    <row r="367" spans="1:29" s="4" customFormat="1" ht="14.25" customHeight="1" x14ac:dyDescent="0.4">
      <c r="B367" s="22">
        <v>0</v>
      </c>
      <c r="C367" s="22">
        <v>0</v>
      </c>
      <c r="D367" s="22">
        <v>0</v>
      </c>
      <c r="E367" s="24">
        <v>40618</v>
      </c>
      <c r="F367" s="24" t="s">
        <v>393</v>
      </c>
      <c r="G367" s="24">
        <v>40619</v>
      </c>
      <c r="H367" s="37">
        <v>232</v>
      </c>
      <c r="I367" s="23" t="s">
        <v>2001</v>
      </c>
      <c r="J367" s="37">
        <v>34</v>
      </c>
      <c r="K367" s="24" t="s">
        <v>549</v>
      </c>
      <c r="L367" s="24" t="s">
        <v>2000</v>
      </c>
      <c r="M367" s="24">
        <v>40406</v>
      </c>
      <c r="N367" s="22" t="s">
        <v>567</v>
      </c>
      <c r="O367" s="4">
        <v>9110254</v>
      </c>
      <c r="P367" s="22">
        <v>720</v>
      </c>
      <c r="Q367" s="22">
        <v>42</v>
      </c>
      <c r="R367" s="22" t="s">
        <v>2955</v>
      </c>
      <c r="T367" s="38" t="s">
        <v>404</v>
      </c>
      <c r="U367" s="9">
        <v>40661</v>
      </c>
      <c r="V367" s="38" t="s">
        <v>404</v>
      </c>
      <c r="W367" s="9">
        <v>40675</v>
      </c>
      <c r="X367" s="74"/>
      <c r="Y367" s="28"/>
      <c r="Z367" s="9"/>
      <c r="AA367" s="24" t="s">
        <v>393</v>
      </c>
      <c r="AB367" s="28">
        <v>40619</v>
      </c>
      <c r="AC367" s="69"/>
    </row>
    <row r="368" spans="1:29" s="4" customFormat="1" ht="14.25" customHeight="1" x14ac:dyDescent="0.4">
      <c r="A368"/>
      <c r="B368" s="22">
        <v>0</v>
      </c>
      <c r="C368" s="22">
        <v>0</v>
      </c>
      <c r="D368" s="22">
        <v>0</v>
      </c>
      <c r="E368" s="24">
        <v>40612</v>
      </c>
      <c r="F368" s="24" t="s">
        <v>393</v>
      </c>
      <c r="G368" s="24">
        <v>40613</v>
      </c>
      <c r="H368" s="37">
        <v>220</v>
      </c>
      <c r="I368" s="23" t="s">
        <v>2001</v>
      </c>
      <c r="J368" s="37">
        <v>22</v>
      </c>
      <c r="K368" s="24" t="s">
        <v>549</v>
      </c>
      <c r="L368" s="24" t="s">
        <v>2000</v>
      </c>
      <c r="M368" s="24">
        <v>40406</v>
      </c>
      <c r="N368" s="22" t="s">
        <v>567</v>
      </c>
      <c r="O368" s="4">
        <v>9110255</v>
      </c>
      <c r="P368" s="22">
        <v>1020</v>
      </c>
      <c r="Q368" s="22">
        <v>42</v>
      </c>
      <c r="R368" s="22" t="s">
        <v>2956</v>
      </c>
      <c r="T368" s="3" t="s">
        <v>404</v>
      </c>
      <c r="U368" s="28">
        <v>40402</v>
      </c>
      <c r="V368" s="3" t="s">
        <v>404</v>
      </c>
      <c r="W368" s="28">
        <v>40625</v>
      </c>
      <c r="X368" s="74"/>
      <c r="Y368" s="28"/>
      <c r="Z368" s="28"/>
      <c r="AA368" s="24" t="s">
        <v>393</v>
      </c>
      <c r="AB368" s="28">
        <v>40613</v>
      </c>
      <c r="AC368" s="69"/>
    </row>
    <row r="369" spans="1:31" s="4" customFormat="1" ht="14.25" customHeight="1" x14ac:dyDescent="0.4">
      <c r="A369"/>
      <c r="B369" s="22">
        <v>0</v>
      </c>
      <c r="C369" s="22">
        <v>0</v>
      </c>
      <c r="D369" s="22">
        <v>0</v>
      </c>
      <c r="E369" s="24">
        <v>40612</v>
      </c>
      <c r="F369" s="24" t="s">
        <v>393</v>
      </c>
      <c r="G369" s="24">
        <v>40613</v>
      </c>
      <c r="H369" s="37">
        <v>221</v>
      </c>
      <c r="I369" s="23" t="s">
        <v>2001</v>
      </c>
      <c r="J369" s="37">
        <v>23</v>
      </c>
      <c r="K369" s="24" t="s">
        <v>549</v>
      </c>
      <c r="L369" s="24" t="s">
        <v>2000</v>
      </c>
      <c r="M369" s="24">
        <v>40406</v>
      </c>
      <c r="N369" s="22" t="s">
        <v>567</v>
      </c>
      <c r="O369" s="4">
        <v>9110256</v>
      </c>
      <c r="P369" s="22">
        <v>1020</v>
      </c>
      <c r="Q369" s="22">
        <v>42</v>
      </c>
      <c r="R369" s="22" t="s">
        <v>2957</v>
      </c>
      <c r="T369" s="4" t="s">
        <v>404</v>
      </c>
      <c r="U369" s="9">
        <v>40437</v>
      </c>
      <c r="V369" s="4" t="s">
        <v>404</v>
      </c>
      <c r="W369" s="9">
        <v>40631</v>
      </c>
      <c r="X369" s="75"/>
      <c r="Y369" s="28"/>
      <c r="Z369" s="28"/>
      <c r="AA369" s="24" t="s">
        <v>393</v>
      </c>
      <c r="AB369" s="28">
        <v>40613</v>
      </c>
      <c r="AC369" s="69"/>
    </row>
    <row r="370" spans="1:31" ht="14.25" customHeight="1" x14ac:dyDescent="0.4">
      <c r="B370" s="22">
        <v>0</v>
      </c>
      <c r="C370" s="22">
        <v>0</v>
      </c>
      <c r="D370" s="22">
        <v>0</v>
      </c>
      <c r="E370" s="24">
        <v>40617</v>
      </c>
      <c r="F370" s="24" t="s">
        <v>393</v>
      </c>
      <c r="G370" s="24">
        <v>40626</v>
      </c>
      <c r="H370" s="37">
        <v>229</v>
      </c>
      <c r="I370" s="23" t="s">
        <v>2001</v>
      </c>
      <c r="J370" s="37">
        <v>31</v>
      </c>
      <c r="K370" s="24" t="s">
        <v>549</v>
      </c>
      <c r="L370" s="24" t="s">
        <v>2000</v>
      </c>
      <c r="M370" s="24">
        <v>40406</v>
      </c>
      <c r="N370" s="22" t="s">
        <v>567</v>
      </c>
      <c r="O370" s="4">
        <v>9110257</v>
      </c>
      <c r="P370" s="22">
        <v>1020</v>
      </c>
      <c r="Q370" s="22">
        <v>42</v>
      </c>
      <c r="R370" s="22" t="s">
        <v>2958</v>
      </c>
      <c r="S370" s="4"/>
      <c r="T370" s="4" t="s">
        <v>404</v>
      </c>
      <c r="U370" s="9">
        <v>40505</v>
      </c>
      <c r="V370" s="4" t="s">
        <v>404</v>
      </c>
      <c r="W370" s="9">
        <v>40639</v>
      </c>
      <c r="Y370" s="28"/>
      <c r="Z370" s="28"/>
      <c r="AA370" s="24" t="s">
        <v>393</v>
      </c>
      <c r="AB370" s="28">
        <v>40626</v>
      </c>
      <c r="AC370" s="69"/>
      <c r="AD370" s="4"/>
      <c r="AE370" s="4"/>
    </row>
    <row r="371" spans="1:31" ht="14.25" customHeight="1" x14ac:dyDescent="0.4">
      <c r="B371" s="22">
        <v>0</v>
      </c>
      <c r="C371" s="22" t="s">
        <v>2102</v>
      </c>
      <c r="D371" s="22">
        <v>0</v>
      </c>
      <c r="E371" s="24">
        <v>40617</v>
      </c>
      <c r="F371" s="24" t="s">
        <v>393</v>
      </c>
      <c r="G371" s="24">
        <v>40625</v>
      </c>
      <c r="H371" s="37">
        <v>230</v>
      </c>
      <c r="I371" s="23" t="s">
        <v>2001</v>
      </c>
      <c r="J371" s="37">
        <v>32</v>
      </c>
      <c r="K371" s="24" t="s">
        <v>549</v>
      </c>
      <c r="L371" s="24" t="s">
        <v>2000</v>
      </c>
      <c r="M371" s="24">
        <v>40406</v>
      </c>
      <c r="N371" s="22" t="s">
        <v>567</v>
      </c>
      <c r="O371" s="4">
        <v>9110258</v>
      </c>
      <c r="P371" s="22">
        <v>1020</v>
      </c>
      <c r="Q371" s="22">
        <v>42</v>
      </c>
      <c r="R371" s="22" t="s">
        <v>2959</v>
      </c>
      <c r="S371" s="4"/>
      <c r="T371" s="38" t="s">
        <v>404</v>
      </c>
      <c r="U371" s="9">
        <v>40513</v>
      </c>
      <c r="V371" s="38" t="s">
        <v>404</v>
      </c>
      <c r="W371" s="9">
        <v>40640</v>
      </c>
      <c r="X371" s="74"/>
      <c r="Y371" s="28"/>
      <c r="Z371" s="9"/>
      <c r="AA371" s="24" t="s">
        <v>393</v>
      </c>
      <c r="AB371" s="28">
        <v>40625</v>
      </c>
      <c r="AC371" s="69"/>
      <c r="AD371" s="4"/>
      <c r="AE371" s="4"/>
    </row>
    <row r="372" spans="1:31" ht="14.25" customHeight="1" x14ac:dyDescent="0.4">
      <c r="B372" s="22">
        <v>0</v>
      </c>
      <c r="C372" s="22">
        <v>0</v>
      </c>
      <c r="D372" s="22">
        <v>0</v>
      </c>
      <c r="E372" s="24">
        <v>40676</v>
      </c>
      <c r="F372" s="24" t="s">
        <v>393</v>
      </c>
      <c r="G372" s="24">
        <v>40687</v>
      </c>
      <c r="H372" s="37">
        <v>356</v>
      </c>
      <c r="I372" s="23" t="s">
        <v>2003</v>
      </c>
      <c r="J372" s="37">
        <v>26</v>
      </c>
      <c r="K372" s="24" t="s">
        <v>549</v>
      </c>
      <c r="L372" s="24" t="s">
        <v>2001</v>
      </c>
      <c r="M372" s="24">
        <v>40406</v>
      </c>
      <c r="N372" s="22" t="s">
        <v>567</v>
      </c>
      <c r="O372" s="4">
        <v>9110259</v>
      </c>
      <c r="P372" s="22">
        <v>1020</v>
      </c>
      <c r="Q372" s="22">
        <v>50</v>
      </c>
      <c r="R372" s="22" t="s">
        <v>2960</v>
      </c>
      <c r="S372" s="4"/>
      <c r="T372" s="3" t="s">
        <v>404</v>
      </c>
      <c r="U372" s="28">
        <v>40525</v>
      </c>
      <c r="V372" s="3" t="s">
        <v>404</v>
      </c>
      <c r="W372" s="28">
        <v>40707</v>
      </c>
      <c r="X372" s="74"/>
      <c r="Y372" s="28"/>
      <c r="Z372" s="28"/>
      <c r="AA372" s="24" t="s">
        <v>393</v>
      </c>
      <c r="AB372" s="28">
        <v>40687</v>
      </c>
      <c r="AC372" s="69"/>
      <c r="AD372" s="4"/>
      <c r="AE372" s="4"/>
    </row>
    <row r="373" spans="1:31" ht="14.25" customHeight="1" x14ac:dyDescent="0.4">
      <c r="B373" s="22">
        <v>0</v>
      </c>
      <c r="C373" s="22">
        <v>0</v>
      </c>
      <c r="D373" s="22">
        <v>0</v>
      </c>
      <c r="E373" s="24">
        <v>40676</v>
      </c>
      <c r="F373" s="24" t="s">
        <v>393</v>
      </c>
      <c r="G373" s="24">
        <v>40682</v>
      </c>
      <c r="H373" s="37">
        <v>357</v>
      </c>
      <c r="I373" s="23" t="s">
        <v>2003</v>
      </c>
      <c r="J373" s="37">
        <v>27</v>
      </c>
      <c r="K373" s="24" t="s">
        <v>549</v>
      </c>
      <c r="L373" s="24" t="s">
        <v>2001</v>
      </c>
      <c r="M373" s="24">
        <v>40406</v>
      </c>
      <c r="N373" s="22" t="s">
        <v>567</v>
      </c>
      <c r="O373" s="4">
        <v>9110260</v>
      </c>
      <c r="P373" s="22">
        <v>1220</v>
      </c>
      <c r="Q373" s="22">
        <v>50</v>
      </c>
      <c r="R373" s="22" t="s">
        <v>2961</v>
      </c>
      <c r="S373" s="4"/>
      <c r="T373" s="3" t="s">
        <v>404</v>
      </c>
      <c r="U373" s="28">
        <v>40527</v>
      </c>
      <c r="V373" s="3" t="s">
        <v>404</v>
      </c>
      <c r="W373" s="28">
        <v>40690</v>
      </c>
      <c r="X373" s="74"/>
      <c r="Y373" s="28"/>
      <c r="Z373" s="9"/>
      <c r="AA373" s="24" t="s">
        <v>393</v>
      </c>
      <c r="AB373" s="28">
        <v>40682</v>
      </c>
      <c r="AC373" s="69"/>
      <c r="AD373" s="4"/>
      <c r="AE373" s="4"/>
    </row>
    <row r="374" spans="1:31" ht="14.25" customHeight="1" x14ac:dyDescent="0.4">
      <c r="B374" s="22">
        <v>0</v>
      </c>
      <c r="C374" s="22">
        <v>0</v>
      </c>
      <c r="D374" s="22">
        <v>0</v>
      </c>
      <c r="E374" s="24">
        <v>40627</v>
      </c>
      <c r="F374" s="24" t="s">
        <v>393</v>
      </c>
      <c r="G374" s="24">
        <v>40633</v>
      </c>
      <c r="H374" s="37">
        <v>254</v>
      </c>
      <c r="I374" s="23" t="s">
        <v>2001</v>
      </c>
      <c r="J374" s="37">
        <v>56</v>
      </c>
      <c r="K374" s="24" t="s">
        <v>549</v>
      </c>
      <c r="L374" s="24" t="s">
        <v>2001</v>
      </c>
      <c r="M374" s="24">
        <v>40406</v>
      </c>
      <c r="N374" s="22" t="s">
        <v>567</v>
      </c>
      <c r="O374" s="4">
        <v>9110261</v>
      </c>
      <c r="P374" s="22">
        <v>1020</v>
      </c>
      <c r="Q374" s="22">
        <v>42</v>
      </c>
      <c r="R374" s="22" t="s">
        <v>2962</v>
      </c>
      <c r="S374" s="4"/>
      <c r="T374" s="38" t="s">
        <v>404</v>
      </c>
      <c r="U374" s="44">
        <v>40562</v>
      </c>
      <c r="V374" s="38" t="s">
        <v>404</v>
      </c>
      <c r="W374" s="9">
        <v>40655</v>
      </c>
      <c r="X374" s="74"/>
      <c r="Y374" s="28"/>
      <c r="Z374" s="9"/>
      <c r="AA374" s="24" t="s">
        <v>393</v>
      </c>
      <c r="AB374" s="28">
        <v>40633</v>
      </c>
      <c r="AC374" s="69"/>
      <c r="AD374" s="4"/>
      <c r="AE374" s="4"/>
    </row>
    <row r="375" spans="1:31" ht="14.25" customHeight="1" x14ac:dyDescent="0.4">
      <c r="B375" s="22">
        <v>0</v>
      </c>
      <c r="C375" s="22">
        <v>0</v>
      </c>
      <c r="D375" s="22">
        <v>0</v>
      </c>
      <c r="E375" s="24">
        <v>40680</v>
      </c>
      <c r="F375" s="24" t="s">
        <v>393</v>
      </c>
      <c r="G375" s="24">
        <v>40687</v>
      </c>
      <c r="H375" s="37">
        <v>362</v>
      </c>
      <c r="I375" s="23" t="s">
        <v>2003</v>
      </c>
      <c r="J375" s="37">
        <v>32</v>
      </c>
      <c r="K375" s="24" t="s">
        <v>549</v>
      </c>
      <c r="L375" s="24" t="s">
        <v>2001</v>
      </c>
      <c r="M375" s="24">
        <v>40406</v>
      </c>
      <c r="N375" s="22" t="s">
        <v>567</v>
      </c>
      <c r="O375" s="4">
        <v>9110262</v>
      </c>
      <c r="P375" s="22">
        <v>1020</v>
      </c>
      <c r="Q375" s="22">
        <v>50</v>
      </c>
      <c r="R375" s="22" t="s">
        <v>2963</v>
      </c>
      <c r="S375" s="4"/>
      <c r="T375" s="4" t="s">
        <v>404</v>
      </c>
      <c r="U375" s="57">
        <v>40584</v>
      </c>
      <c r="V375" s="4" t="s">
        <v>404</v>
      </c>
      <c r="W375" s="9">
        <v>40701</v>
      </c>
      <c r="Y375" s="28"/>
      <c r="Z375" s="28"/>
      <c r="AA375" s="24" t="s">
        <v>393</v>
      </c>
      <c r="AB375" s="28">
        <v>40687</v>
      </c>
      <c r="AC375" s="69"/>
      <c r="AD375" s="4"/>
      <c r="AE375" s="4"/>
    </row>
    <row r="376" spans="1:31" ht="14.25" customHeight="1" x14ac:dyDescent="0.4">
      <c r="B376" s="22">
        <v>0</v>
      </c>
      <c r="C376" s="22">
        <v>0</v>
      </c>
      <c r="D376" s="22">
        <v>0</v>
      </c>
      <c r="E376" s="24">
        <v>40696</v>
      </c>
      <c r="F376" s="24" t="s">
        <v>393</v>
      </c>
      <c r="G376" s="24">
        <v>40703</v>
      </c>
      <c r="H376" s="37">
        <v>389</v>
      </c>
      <c r="I376" s="23" t="s">
        <v>2004</v>
      </c>
      <c r="J376" s="37">
        <v>3</v>
      </c>
      <c r="K376" s="24" t="s">
        <v>549</v>
      </c>
      <c r="L376" s="24" t="s">
        <v>2001</v>
      </c>
      <c r="M376" s="24">
        <v>40406</v>
      </c>
      <c r="N376" s="22" t="s">
        <v>567</v>
      </c>
      <c r="O376" s="4">
        <v>9110263</v>
      </c>
      <c r="P376" s="22">
        <v>1020</v>
      </c>
      <c r="Q376" s="22">
        <v>50</v>
      </c>
      <c r="R376" s="22" t="s">
        <v>2964</v>
      </c>
      <c r="S376" s="4"/>
      <c r="T376" s="1" t="s">
        <v>404</v>
      </c>
      <c r="U376" s="42">
        <v>40597</v>
      </c>
      <c r="V376" s="1" t="s">
        <v>404</v>
      </c>
      <c r="W376" s="28">
        <v>40731</v>
      </c>
      <c r="X376" s="74"/>
      <c r="Y376" s="28"/>
      <c r="Z376" s="28"/>
      <c r="AA376" s="24" t="s">
        <v>393</v>
      </c>
      <c r="AB376" s="28">
        <v>40703</v>
      </c>
      <c r="AC376" s="69"/>
      <c r="AD376" s="4"/>
      <c r="AE376" s="4"/>
    </row>
    <row r="377" spans="1:31" s="4" customFormat="1" ht="14.25" customHeight="1" x14ac:dyDescent="0.4">
      <c r="A377"/>
      <c r="B377" s="22">
        <v>0</v>
      </c>
      <c r="C377" s="22">
        <v>0</v>
      </c>
      <c r="D377" s="22">
        <v>0</v>
      </c>
      <c r="E377" s="24">
        <v>40640</v>
      </c>
      <c r="F377" s="24" t="s">
        <v>393</v>
      </c>
      <c r="G377" s="24">
        <v>40646</v>
      </c>
      <c r="H377" s="37">
        <v>281</v>
      </c>
      <c r="I377" s="23" t="s">
        <v>2002</v>
      </c>
      <c r="J377" s="37">
        <v>14</v>
      </c>
      <c r="K377" s="24" t="s">
        <v>549</v>
      </c>
      <c r="L377" s="24" t="s">
        <v>2002</v>
      </c>
      <c r="M377" s="24">
        <v>40406</v>
      </c>
      <c r="N377" s="22" t="s">
        <v>567</v>
      </c>
      <c r="O377" s="4">
        <v>9110264</v>
      </c>
      <c r="P377" s="22">
        <v>720</v>
      </c>
      <c r="Q377" s="22">
        <v>42</v>
      </c>
      <c r="R377" s="22" t="s">
        <v>2965</v>
      </c>
      <c r="T377" s="4" t="s">
        <v>404</v>
      </c>
      <c r="U377" s="57">
        <v>40659</v>
      </c>
      <c r="V377" s="4" t="s">
        <v>404</v>
      </c>
      <c r="W377" s="9">
        <v>40667</v>
      </c>
      <c r="X377" s="75"/>
      <c r="Y377" s="28"/>
      <c r="Z377" s="9"/>
      <c r="AA377" s="24" t="s">
        <v>393</v>
      </c>
      <c r="AB377" s="28">
        <v>40646</v>
      </c>
      <c r="AC377" s="69"/>
    </row>
    <row r="378" spans="1:31" ht="14.25" customHeight="1" x14ac:dyDescent="0.4">
      <c r="B378" s="22">
        <v>0</v>
      </c>
      <c r="C378" s="22">
        <v>0</v>
      </c>
      <c r="D378" s="22">
        <v>0</v>
      </c>
      <c r="E378" s="24">
        <v>40640</v>
      </c>
      <c r="F378" s="24" t="s">
        <v>393</v>
      </c>
      <c r="G378" s="24">
        <v>40647</v>
      </c>
      <c r="H378" s="37">
        <v>282</v>
      </c>
      <c r="I378" s="23" t="s">
        <v>2002</v>
      </c>
      <c r="J378" s="37">
        <v>15</v>
      </c>
      <c r="K378" s="24" t="s">
        <v>549</v>
      </c>
      <c r="L378" s="24" t="s">
        <v>2002</v>
      </c>
      <c r="M378" s="24">
        <v>40406</v>
      </c>
      <c r="N378" s="22" t="s">
        <v>567</v>
      </c>
      <c r="O378" s="4">
        <v>9110265</v>
      </c>
      <c r="P378" s="22">
        <v>1020</v>
      </c>
      <c r="Q378" s="22">
        <v>42</v>
      </c>
      <c r="R378" s="22" t="s">
        <v>2966</v>
      </c>
      <c r="S378" s="4"/>
      <c r="T378" s="1" t="s">
        <v>404</v>
      </c>
      <c r="U378" s="42">
        <v>40758</v>
      </c>
      <c r="V378" s="1" t="s">
        <v>404</v>
      </c>
      <c r="W378" s="28">
        <v>40772</v>
      </c>
      <c r="X378" s="74"/>
      <c r="Y378" s="28"/>
      <c r="Z378" s="28"/>
      <c r="AA378" s="24" t="s">
        <v>393</v>
      </c>
      <c r="AB378" s="28">
        <v>40647</v>
      </c>
      <c r="AC378" s="69"/>
      <c r="AD378" s="4"/>
      <c r="AE378" s="4"/>
    </row>
    <row r="379" spans="1:31" s="4" customFormat="1" ht="14.25" customHeight="1" x14ac:dyDescent="0.4">
      <c r="A379"/>
      <c r="B379" s="22">
        <v>0</v>
      </c>
      <c r="C379" s="22">
        <v>0</v>
      </c>
      <c r="D379" s="22">
        <v>0</v>
      </c>
      <c r="E379" s="24">
        <v>40697</v>
      </c>
      <c r="F379" s="24" t="s">
        <v>393</v>
      </c>
      <c r="G379" s="24">
        <v>40708</v>
      </c>
      <c r="H379" s="37">
        <v>390</v>
      </c>
      <c r="I379" s="23" t="s">
        <v>2004</v>
      </c>
      <c r="J379" s="37">
        <v>4</v>
      </c>
      <c r="K379" s="24" t="s">
        <v>549</v>
      </c>
      <c r="L379" s="24" t="s">
        <v>2002</v>
      </c>
      <c r="M379" s="24">
        <v>40406</v>
      </c>
      <c r="N379" s="22" t="s">
        <v>567</v>
      </c>
      <c r="O379" s="4">
        <v>9110267</v>
      </c>
      <c r="P379" s="22">
        <v>1020</v>
      </c>
      <c r="Q379" s="22">
        <v>50</v>
      </c>
      <c r="R379" s="22" t="s">
        <v>2967</v>
      </c>
      <c r="T379" s="1" t="s">
        <v>404</v>
      </c>
      <c r="U379" s="42">
        <v>40603</v>
      </c>
      <c r="V379" s="1" t="s">
        <v>404</v>
      </c>
      <c r="W379" s="28">
        <v>40742</v>
      </c>
      <c r="X379" s="74"/>
      <c r="Y379" s="28"/>
      <c r="Z379" s="28"/>
      <c r="AA379" s="24" t="s">
        <v>393</v>
      </c>
      <c r="AB379" s="28">
        <v>40708</v>
      </c>
      <c r="AC379" s="69"/>
    </row>
    <row r="380" spans="1:31" s="5" customFormat="1" ht="14.25" customHeight="1" x14ac:dyDescent="0.4">
      <c r="A380"/>
      <c r="B380" s="22">
        <v>0</v>
      </c>
      <c r="C380" s="22">
        <v>0</v>
      </c>
      <c r="D380" s="22">
        <v>0</v>
      </c>
      <c r="E380" s="24">
        <v>40646</v>
      </c>
      <c r="F380" s="24" t="s">
        <v>393</v>
      </c>
      <c r="G380" s="24">
        <v>40652</v>
      </c>
      <c r="H380" s="37">
        <v>292</v>
      </c>
      <c r="I380" s="23" t="s">
        <v>2002</v>
      </c>
      <c r="J380" s="37">
        <v>25</v>
      </c>
      <c r="K380" s="24" t="s">
        <v>549</v>
      </c>
      <c r="L380" s="24" t="s">
        <v>2003</v>
      </c>
      <c r="M380" s="24">
        <v>40406</v>
      </c>
      <c r="N380" s="22" t="s">
        <v>567</v>
      </c>
      <c r="O380" s="4">
        <v>9110268</v>
      </c>
      <c r="P380" s="22">
        <v>720</v>
      </c>
      <c r="Q380" s="22">
        <v>42</v>
      </c>
      <c r="R380" s="22" t="s">
        <v>2968</v>
      </c>
      <c r="S380" s="4"/>
      <c r="T380" s="4" t="s">
        <v>404</v>
      </c>
      <c r="U380" s="43">
        <v>40641</v>
      </c>
      <c r="V380" s="1" t="s">
        <v>404</v>
      </c>
      <c r="W380" s="28">
        <v>40725</v>
      </c>
      <c r="X380" s="74"/>
      <c r="Y380" s="28"/>
      <c r="Z380" s="9"/>
      <c r="AA380" s="24" t="s">
        <v>393</v>
      </c>
      <c r="AB380" s="28">
        <v>40652</v>
      </c>
      <c r="AC380" s="69"/>
      <c r="AD380" s="4"/>
      <c r="AE380" s="4"/>
    </row>
    <row r="381" spans="1:31" s="4" customFormat="1" ht="14.25" customHeight="1" x14ac:dyDescent="0.4">
      <c r="B381" s="22">
        <v>0</v>
      </c>
      <c r="C381" s="22">
        <v>0</v>
      </c>
      <c r="D381" s="22">
        <v>0</v>
      </c>
      <c r="E381" s="24">
        <v>40724</v>
      </c>
      <c r="F381" s="24" t="s">
        <v>393</v>
      </c>
      <c r="G381" s="24">
        <v>40742</v>
      </c>
      <c r="H381" s="37">
        <v>419</v>
      </c>
      <c r="I381" s="23" t="s">
        <v>2004</v>
      </c>
      <c r="J381" s="37">
        <v>33</v>
      </c>
      <c r="K381" s="24" t="s">
        <v>549</v>
      </c>
      <c r="L381" s="24" t="s">
        <v>25</v>
      </c>
      <c r="M381" s="24">
        <v>40406</v>
      </c>
      <c r="N381" s="22" t="s">
        <v>567</v>
      </c>
      <c r="O381" s="4">
        <v>9110269</v>
      </c>
      <c r="P381" s="22">
        <v>1020</v>
      </c>
      <c r="Q381" s="22">
        <v>50</v>
      </c>
      <c r="R381" s="22" t="s">
        <v>2969</v>
      </c>
      <c r="T381" s="38" t="s">
        <v>404</v>
      </c>
      <c r="U381" s="44">
        <v>40405</v>
      </c>
      <c r="V381" s="55" t="s">
        <v>404</v>
      </c>
      <c r="W381" s="93">
        <v>40769</v>
      </c>
      <c r="X381" s="74"/>
      <c r="Y381" s="28"/>
      <c r="Z381" s="9"/>
      <c r="AA381" s="24" t="s">
        <v>393</v>
      </c>
      <c r="AB381" s="28">
        <v>40742</v>
      </c>
      <c r="AC381" s="69"/>
    </row>
    <row r="382" spans="1:31" ht="14.25" customHeight="1" x14ac:dyDescent="0.4">
      <c r="A382" s="4"/>
      <c r="B382" s="22"/>
      <c r="C382" s="22"/>
      <c r="D382" s="22"/>
      <c r="E382" s="24">
        <v>40667</v>
      </c>
      <c r="F382" s="24" t="s">
        <v>393</v>
      </c>
      <c r="G382" s="24">
        <v>40680</v>
      </c>
      <c r="H382" s="37">
        <v>339</v>
      </c>
      <c r="I382" s="23" t="s">
        <v>2003</v>
      </c>
      <c r="J382" s="37">
        <v>9</v>
      </c>
      <c r="K382" s="24" t="s">
        <v>549</v>
      </c>
      <c r="L382" s="36"/>
      <c r="M382" s="24">
        <v>40406</v>
      </c>
      <c r="N382" s="22" t="s">
        <v>567</v>
      </c>
      <c r="O382" s="4">
        <v>9110270</v>
      </c>
      <c r="P382" s="22">
        <v>1020</v>
      </c>
      <c r="Q382" s="22">
        <v>42</v>
      </c>
      <c r="R382" s="22" t="s">
        <v>2970</v>
      </c>
      <c r="S382" s="4"/>
      <c r="T382" s="38" t="s">
        <v>404</v>
      </c>
      <c r="U382" s="44">
        <v>40402</v>
      </c>
      <c r="V382" s="38" t="s">
        <v>404</v>
      </c>
      <c r="W382" s="9">
        <v>40762</v>
      </c>
      <c r="X382" s="74"/>
      <c r="Y382" s="28"/>
      <c r="Z382" s="9"/>
      <c r="AA382" s="24" t="s">
        <v>393</v>
      </c>
      <c r="AB382" s="28">
        <v>40680</v>
      </c>
      <c r="AC382" s="69"/>
      <c r="AD382" s="4"/>
      <c r="AE382" s="4"/>
    </row>
    <row r="383" spans="1:31" ht="14.25" customHeight="1" x14ac:dyDescent="0.4">
      <c r="A383" s="4"/>
      <c r="B383" s="24">
        <v>40473</v>
      </c>
      <c r="C383" s="24">
        <v>40473</v>
      </c>
      <c r="D383" s="24">
        <v>40473</v>
      </c>
      <c r="E383" s="24">
        <v>40473</v>
      </c>
      <c r="F383" s="24" t="s">
        <v>393</v>
      </c>
      <c r="G383" s="24">
        <v>40480</v>
      </c>
      <c r="H383" s="37">
        <v>38</v>
      </c>
      <c r="I383" s="23" t="s">
        <v>1993</v>
      </c>
      <c r="J383" s="37" t="e">
        <v>#REF!</v>
      </c>
      <c r="K383" s="24" t="s">
        <v>549</v>
      </c>
      <c r="L383" s="24" t="s">
        <v>1993</v>
      </c>
      <c r="M383" s="24">
        <v>40428</v>
      </c>
      <c r="N383" s="22" t="s">
        <v>567</v>
      </c>
      <c r="O383" s="4">
        <v>9110349</v>
      </c>
      <c r="P383" s="22">
        <v>1020</v>
      </c>
      <c r="Q383" s="22">
        <v>42</v>
      </c>
      <c r="R383" s="22" t="s">
        <v>2971</v>
      </c>
      <c r="S383" s="45"/>
      <c r="T383" s="3" t="s">
        <v>404</v>
      </c>
      <c r="U383" s="43">
        <v>40423</v>
      </c>
      <c r="V383" s="3" t="s">
        <v>404</v>
      </c>
      <c r="W383" s="43">
        <v>40501</v>
      </c>
      <c r="X383" s="74"/>
      <c r="Y383" s="28"/>
      <c r="Z383" s="28"/>
      <c r="AA383" s="24" t="s">
        <v>393</v>
      </c>
      <c r="AB383" s="28">
        <v>40480</v>
      </c>
      <c r="AC383" s="69"/>
      <c r="AD383" s="4"/>
      <c r="AE383" s="4"/>
    </row>
    <row r="384" spans="1:31" ht="14.25" customHeight="1" x14ac:dyDescent="0.4">
      <c r="A384" s="4"/>
      <c r="B384" s="24">
        <v>40665</v>
      </c>
      <c r="C384" s="24">
        <v>40665</v>
      </c>
      <c r="D384" s="24">
        <v>40665</v>
      </c>
      <c r="E384" s="24">
        <v>40665</v>
      </c>
      <c r="F384" s="24" t="s">
        <v>393</v>
      </c>
      <c r="G384" s="24">
        <v>40675</v>
      </c>
      <c r="H384" s="37">
        <v>333</v>
      </c>
      <c r="I384" s="23" t="s">
        <v>2003</v>
      </c>
      <c r="J384" s="37">
        <v>3</v>
      </c>
      <c r="K384" s="24" t="s">
        <v>549</v>
      </c>
      <c r="L384" s="24" t="s">
        <v>25</v>
      </c>
      <c r="M384" s="24">
        <v>40428</v>
      </c>
      <c r="N384" s="22" t="s">
        <v>567</v>
      </c>
      <c r="O384" s="4">
        <v>9110350</v>
      </c>
      <c r="P384" s="22">
        <v>1020</v>
      </c>
      <c r="Q384" s="22">
        <v>42</v>
      </c>
      <c r="R384" s="22" t="s">
        <v>2972</v>
      </c>
      <c r="S384" s="45"/>
      <c r="T384" s="45" t="s">
        <v>404</v>
      </c>
      <c r="U384" s="46">
        <v>40532</v>
      </c>
      <c r="V384" s="3" t="s">
        <v>404</v>
      </c>
      <c r="W384" s="43">
        <v>40771</v>
      </c>
      <c r="X384" s="74"/>
      <c r="Y384" s="28"/>
      <c r="Z384" s="28"/>
      <c r="AA384" s="24" t="s">
        <v>393</v>
      </c>
      <c r="AB384" s="28">
        <v>40675</v>
      </c>
      <c r="AC384" s="69"/>
      <c r="AD384" s="4"/>
      <c r="AE384" s="4"/>
    </row>
    <row r="385" spans="1:31" ht="14.25" customHeight="1" x14ac:dyDescent="0.4">
      <c r="A385" s="4"/>
      <c r="B385" s="24">
        <v>40618</v>
      </c>
      <c r="C385" s="24">
        <v>40618</v>
      </c>
      <c r="D385" s="24">
        <v>40618</v>
      </c>
      <c r="E385" s="24">
        <v>40618</v>
      </c>
      <c r="F385" s="24" t="s">
        <v>393</v>
      </c>
      <c r="G385" s="24">
        <v>40621</v>
      </c>
      <c r="H385" s="37">
        <v>233</v>
      </c>
      <c r="I385" s="23" t="s">
        <v>2001</v>
      </c>
      <c r="J385" s="37">
        <v>35</v>
      </c>
      <c r="K385" s="24" t="s">
        <v>549</v>
      </c>
      <c r="L385" s="24" t="s">
        <v>2002</v>
      </c>
      <c r="M385" s="24">
        <v>40534</v>
      </c>
      <c r="N385" s="22" t="s">
        <v>567</v>
      </c>
      <c r="O385" s="4">
        <v>9110412</v>
      </c>
      <c r="P385" s="22">
        <v>1020</v>
      </c>
      <c r="Q385" s="22">
        <v>42</v>
      </c>
      <c r="R385" s="22" t="s">
        <v>2973</v>
      </c>
      <c r="S385" s="4"/>
      <c r="T385" s="38" t="s">
        <v>404</v>
      </c>
      <c r="U385" s="9">
        <v>40878</v>
      </c>
      <c r="V385" s="45" t="s">
        <v>404</v>
      </c>
      <c r="W385" s="46">
        <v>40896</v>
      </c>
      <c r="X385" s="74">
        <v>0</v>
      </c>
      <c r="Y385" s="28"/>
      <c r="Z385" s="9"/>
      <c r="AA385" s="24" t="s">
        <v>393</v>
      </c>
      <c r="AB385" s="28">
        <v>40621</v>
      </c>
      <c r="AC385" s="69"/>
      <c r="AD385" s="4"/>
      <c r="AE385" s="4"/>
    </row>
    <row r="386" spans="1:31" ht="14.25" customHeight="1" x14ac:dyDescent="0.4">
      <c r="B386" s="24">
        <v>40619</v>
      </c>
      <c r="C386" s="24">
        <v>40619</v>
      </c>
      <c r="D386" s="24">
        <v>40619</v>
      </c>
      <c r="E386" s="24">
        <v>40619</v>
      </c>
      <c r="F386" s="24" t="s">
        <v>393</v>
      </c>
      <c r="G386" s="24">
        <v>40620</v>
      </c>
      <c r="H386" s="37">
        <v>235</v>
      </c>
      <c r="I386" s="23" t="s">
        <v>2001</v>
      </c>
      <c r="J386" s="37">
        <v>37</v>
      </c>
      <c r="K386" s="24" t="s">
        <v>549</v>
      </c>
      <c r="L386" s="24" t="s">
        <v>2002</v>
      </c>
      <c r="M386" s="24">
        <v>40534</v>
      </c>
      <c r="N386" s="22" t="s">
        <v>567</v>
      </c>
      <c r="O386" s="4">
        <v>9110413</v>
      </c>
      <c r="P386" s="22">
        <v>1020</v>
      </c>
      <c r="Q386" s="22">
        <v>42</v>
      </c>
      <c r="R386" s="22" t="s">
        <v>2974</v>
      </c>
      <c r="S386" s="4"/>
      <c r="T386" s="38" t="s">
        <v>404</v>
      </c>
      <c r="U386" s="9">
        <v>40900</v>
      </c>
      <c r="V386" s="38" t="s">
        <v>404</v>
      </c>
      <c r="W386" s="9">
        <v>40907</v>
      </c>
      <c r="X386" s="74">
        <v>0</v>
      </c>
      <c r="Y386" s="28"/>
      <c r="Z386" s="9"/>
      <c r="AA386" s="24" t="s">
        <v>393</v>
      </c>
      <c r="AB386" s="28">
        <v>40620</v>
      </c>
      <c r="AC386" s="69"/>
      <c r="AD386" s="4"/>
      <c r="AE386" s="4"/>
    </row>
    <row r="387" spans="1:31" ht="14.25" customHeight="1" x14ac:dyDescent="0.4">
      <c r="A387" s="4"/>
      <c r="B387" s="24">
        <v>40619</v>
      </c>
      <c r="C387" s="24">
        <v>40619</v>
      </c>
      <c r="D387" s="24">
        <v>40619</v>
      </c>
      <c r="E387" s="24">
        <v>40619</v>
      </c>
      <c r="F387" s="24" t="s">
        <v>393</v>
      </c>
      <c r="G387" s="24">
        <v>40620</v>
      </c>
      <c r="H387" s="37">
        <v>236</v>
      </c>
      <c r="I387" s="23" t="s">
        <v>2001</v>
      </c>
      <c r="J387" s="37">
        <v>38</v>
      </c>
      <c r="K387" s="24" t="s">
        <v>549</v>
      </c>
      <c r="L387" s="24" t="s">
        <v>2002</v>
      </c>
      <c r="M387" s="24">
        <v>40534</v>
      </c>
      <c r="N387" s="22" t="s">
        <v>567</v>
      </c>
      <c r="O387" s="4">
        <v>9110414</v>
      </c>
      <c r="P387" s="22">
        <v>720</v>
      </c>
      <c r="Q387" s="22">
        <v>42</v>
      </c>
      <c r="R387" s="22" t="s">
        <v>2975</v>
      </c>
      <c r="S387" s="4"/>
      <c r="T387" s="38" t="s">
        <v>404</v>
      </c>
      <c r="U387" s="9">
        <v>40795</v>
      </c>
      <c r="V387" s="3" t="s">
        <v>404</v>
      </c>
      <c r="W387" s="28">
        <v>40814</v>
      </c>
      <c r="X387" s="74">
        <v>0</v>
      </c>
      <c r="Y387" s="28"/>
      <c r="Z387" s="9"/>
      <c r="AA387" s="24" t="s">
        <v>393</v>
      </c>
      <c r="AB387" s="28">
        <v>40620</v>
      </c>
      <c r="AC387" s="69"/>
      <c r="AD387" s="4"/>
      <c r="AE387" s="4"/>
    </row>
    <row r="388" spans="1:31" ht="14.25" customHeight="1" x14ac:dyDescent="0.4">
      <c r="B388" s="24">
        <v>40620</v>
      </c>
      <c r="C388" s="24">
        <v>40620</v>
      </c>
      <c r="D388" s="24">
        <v>40620</v>
      </c>
      <c r="E388" s="24">
        <v>40620</v>
      </c>
      <c r="F388" s="24" t="s">
        <v>393</v>
      </c>
      <c r="G388" s="24">
        <v>40626</v>
      </c>
      <c r="H388" s="37">
        <v>238</v>
      </c>
      <c r="I388" s="23" t="s">
        <v>2001</v>
      </c>
      <c r="J388" s="37">
        <v>40</v>
      </c>
      <c r="K388" s="24" t="s">
        <v>549</v>
      </c>
      <c r="L388" s="24" t="s">
        <v>2002</v>
      </c>
      <c r="M388" s="24">
        <v>40534</v>
      </c>
      <c r="N388" s="22" t="s">
        <v>567</v>
      </c>
      <c r="O388" s="4">
        <v>9110415</v>
      </c>
      <c r="P388" s="22">
        <v>1020</v>
      </c>
      <c r="Q388" s="22">
        <v>42</v>
      </c>
      <c r="R388" s="22" t="s">
        <v>2976</v>
      </c>
      <c r="S388" s="4"/>
      <c r="T388" s="38" t="s">
        <v>404</v>
      </c>
      <c r="U388" s="9">
        <v>40892</v>
      </c>
      <c r="V388" s="38" t="s">
        <v>404</v>
      </c>
      <c r="W388" s="9">
        <v>40899</v>
      </c>
      <c r="X388" s="74">
        <v>0</v>
      </c>
      <c r="Y388" s="28"/>
      <c r="Z388" s="9"/>
      <c r="AA388" s="24" t="s">
        <v>393</v>
      </c>
      <c r="AB388" s="28">
        <v>40626</v>
      </c>
      <c r="AC388" s="69"/>
      <c r="AD388" s="4"/>
      <c r="AE388" s="4"/>
    </row>
    <row r="389" spans="1:31" ht="14.25" customHeight="1" x14ac:dyDescent="0.4">
      <c r="A389" s="4"/>
      <c r="B389" s="32">
        <v>40560</v>
      </c>
      <c r="C389" s="32">
        <v>40560</v>
      </c>
      <c r="D389" s="32">
        <v>40560</v>
      </c>
      <c r="E389" s="32">
        <v>40560</v>
      </c>
      <c r="F389" s="24" t="s">
        <v>393</v>
      </c>
      <c r="G389" s="24">
        <v>40569</v>
      </c>
      <c r="H389" s="134">
        <v>128</v>
      </c>
      <c r="I389" s="23" t="s">
        <v>1999</v>
      </c>
      <c r="J389" s="37">
        <v>19</v>
      </c>
      <c r="K389" s="24" t="s">
        <v>410</v>
      </c>
      <c r="L389" s="24" t="s">
        <v>2977</v>
      </c>
      <c r="M389" s="32">
        <v>40511</v>
      </c>
      <c r="N389" s="22" t="s">
        <v>1397</v>
      </c>
      <c r="O389" s="4">
        <v>9110394</v>
      </c>
      <c r="P389" s="22">
        <v>1020</v>
      </c>
      <c r="Q389" s="22">
        <v>42</v>
      </c>
      <c r="R389" s="22" t="s">
        <v>2978</v>
      </c>
      <c r="S389" s="4"/>
      <c r="T389" s="38" t="s">
        <v>404</v>
      </c>
      <c r="U389" s="9">
        <v>41011</v>
      </c>
      <c r="V389" s="38" t="s">
        <v>404</v>
      </c>
      <c r="W389" s="9">
        <v>41011</v>
      </c>
      <c r="X389" s="74">
        <v>0</v>
      </c>
      <c r="Y389" s="28"/>
      <c r="Z389" s="9"/>
      <c r="AA389" s="24" t="s">
        <v>393</v>
      </c>
      <c r="AB389" s="28">
        <v>40569</v>
      </c>
      <c r="AC389" s="69"/>
      <c r="AD389" s="4"/>
      <c r="AE389" s="4"/>
    </row>
    <row r="390" spans="1:31" ht="14.25" customHeight="1" x14ac:dyDescent="0.4">
      <c r="B390" s="32">
        <v>40602</v>
      </c>
      <c r="C390" s="32">
        <v>40602</v>
      </c>
      <c r="D390" s="32">
        <v>40602</v>
      </c>
      <c r="E390" s="32">
        <v>40602</v>
      </c>
      <c r="F390" s="24" t="s">
        <v>393</v>
      </c>
      <c r="G390" s="24">
        <v>40603</v>
      </c>
      <c r="H390" s="134">
        <v>197</v>
      </c>
      <c r="I390" s="23" t="s">
        <v>2000</v>
      </c>
      <c r="J390" s="37">
        <v>45</v>
      </c>
      <c r="K390" s="24" t="s">
        <v>410</v>
      </c>
      <c r="L390" s="24" t="s">
        <v>2979</v>
      </c>
      <c r="M390" s="32">
        <v>40567</v>
      </c>
      <c r="N390" s="22" t="s">
        <v>1397</v>
      </c>
      <c r="O390" s="4">
        <v>9110416</v>
      </c>
      <c r="P390" s="22">
        <v>1020</v>
      </c>
      <c r="Q390" s="22">
        <v>42</v>
      </c>
      <c r="R390" s="22" t="s">
        <v>2980</v>
      </c>
      <c r="S390" s="4"/>
      <c r="T390" s="38" t="s">
        <v>404</v>
      </c>
      <c r="U390" s="105">
        <v>41011</v>
      </c>
      <c r="V390" s="38" t="s">
        <v>404</v>
      </c>
      <c r="W390" s="105">
        <v>41011</v>
      </c>
      <c r="X390" s="74">
        <v>0</v>
      </c>
      <c r="Y390" s="28"/>
      <c r="Z390" s="9"/>
      <c r="AA390" s="24" t="s">
        <v>393</v>
      </c>
      <c r="AB390" s="28">
        <v>40603</v>
      </c>
      <c r="AC390" s="69"/>
      <c r="AD390" s="4"/>
    </row>
    <row r="391" spans="1:31" ht="14.25" customHeight="1" x14ac:dyDescent="0.4">
      <c r="B391" s="32">
        <v>40689</v>
      </c>
      <c r="C391" s="32">
        <v>40689</v>
      </c>
      <c r="D391" s="32">
        <v>40689</v>
      </c>
      <c r="E391" s="32">
        <v>40689</v>
      </c>
      <c r="F391" s="24" t="s">
        <v>393</v>
      </c>
      <c r="G391" s="24">
        <v>40702</v>
      </c>
      <c r="H391" s="134">
        <v>379</v>
      </c>
      <c r="I391" s="23" t="s">
        <v>2003</v>
      </c>
      <c r="J391" s="37">
        <v>49</v>
      </c>
      <c r="K391" s="24" t="s">
        <v>410</v>
      </c>
      <c r="L391" s="24">
        <v>0</v>
      </c>
      <c r="M391" s="32">
        <v>40595</v>
      </c>
      <c r="N391" s="22" t="s">
        <v>558</v>
      </c>
      <c r="O391" s="4">
        <v>9110427</v>
      </c>
      <c r="P391" s="22">
        <v>720</v>
      </c>
      <c r="Q391" s="22">
        <v>50</v>
      </c>
      <c r="R391" s="22" t="s">
        <v>2981</v>
      </c>
      <c r="Y391" s="28"/>
      <c r="AA391" s="24" t="s">
        <v>393</v>
      </c>
      <c r="AB391" s="28">
        <v>40702</v>
      </c>
      <c r="AC391" s="69"/>
      <c r="AD391" s="4"/>
    </row>
    <row r="392" spans="1:31" ht="14.25" customHeight="1" x14ac:dyDescent="0.4">
      <c r="B392" s="32">
        <v>40689</v>
      </c>
      <c r="C392" s="32">
        <v>40689</v>
      </c>
      <c r="D392" s="32">
        <v>40689</v>
      </c>
      <c r="E392" s="32">
        <v>40689</v>
      </c>
      <c r="F392" s="24" t="s">
        <v>393</v>
      </c>
      <c r="G392" s="24">
        <v>40702</v>
      </c>
      <c r="H392" s="134">
        <v>380</v>
      </c>
      <c r="I392" s="23" t="s">
        <v>2003</v>
      </c>
      <c r="J392" s="37">
        <v>50</v>
      </c>
      <c r="K392" s="24" t="s">
        <v>410</v>
      </c>
      <c r="L392" s="24">
        <v>0</v>
      </c>
      <c r="M392" s="32">
        <v>40595</v>
      </c>
      <c r="N392" s="22" t="s">
        <v>558</v>
      </c>
      <c r="O392" s="4">
        <v>9110428</v>
      </c>
      <c r="P392" s="22">
        <v>720</v>
      </c>
      <c r="Q392" s="22">
        <v>50</v>
      </c>
      <c r="R392" s="22" t="s">
        <v>959</v>
      </c>
      <c r="Y392" s="28"/>
      <c r="AA392" s="24" t="s">
        <v>393</v>
      </c>
      <c r="AB392" s="28">
        <v>40702</v>
      </c>
      <c r="AC392" s="69"/>
    </row>
    <row r="393" spans="1:31" ht="14.25" customHeight="1" x14ac:dyDescent="0.4">
      <c r="B393" s="32">
        <v>40369</v>
      </c>
      <c r="C393" s="32">
        <v>40369</v>
      </c>
      <c r="D393" s="32">
        <v>40369</v>
      </c>
      <c r="E393" s="32">
        <v>40369</v>
      </c>
      <c r="F393" s="24" t="s">
        <v>393</v>
      </c>
      <c r="G393" s="24">
        <v>0</v>
      </c>
      <c r="H393" s="134">
        <v>421</v>
      </c>
      <c r="I393" s="23" t="s">
        <v>2004</v>
      </c>
      <c r="J393" s="37">
        <v>35</v>
      </c>
      <c r="K393" s="24" t="s">
        <v>410</v>
      </c>
      <c r="L393" s="24" t="s">
        <v>1087</v>
      </c>
      <c r="M393" s="32">
        <v>40374</v>
      </c>
      <c r="N393" s="22" t="s">
        <v>1802</v>
      </c>
      <c r="O393" s="4">
        <v>9110026</v>
      </c>
      <c r="P393" s="22">
        <v>1020</v>
      </c>
      <c r="Q393" s="22">
        <v>50</v>
      </c>
      <c r="R393" s="22" t="s">
        <v>2716</v>
      </c>
      <c r="S393" s="4"/>
      <c r="T393" s="4" t="s">
        <v>404</v>
      </c>
      <c r="U393" s="57">
        <v>40667</v>
      </c>
      <c r="V393" s="4" t="s">
        <v>404</v>
      </c>
      <c r="W393" s="57">
        <v>40693</v>
      </c>
      <c r="X393" s="74"/>
      <c r="Y393" s="28"/>
      <c r="Z393" s="28"/>
      <c r="AA393" s="24" t="s">
        <v>393</v>
      </c>
      <c r="AB393" s="28">
        <v>0</v>
      </c>
      <c r="AC393" s="69"/>
    </row>
    <row r="394" spans="1:31" ht="14.25" customHeight="1" x14ac:dyDescent="0.4">
      <c r="B394" s="34">
        <v>0</v>
      </c>
      <c r="C394" s="34" t="s">
        <v>2165</v>
      </c>
      <c r="D394" s="34">
        <v>0</v>
      </c>
      <c r="E394" s="32">
        <v>40409</v>
      </c>
      <c r="F394" s="24" t="s">
        <v>393</v>
      </c>
      <c r="G394" s="24">
        <v>40450</v>
      </c>
      <c r="H394" s="134">
        <v>7</v>
      </c>
      <c r="I394" s="23" t="e">
        <v>#REF!</v>
      </c>
      <c r="J394" s="37" t="e">
        <v>#REF!</v>
      </c>
      <c r="K394" s="24" t="s">
        <v>410</v>
      </c>
      <c r="L394" s="24">
        <v>40410</v>
      </c>
      <c r="M394" s="32">
        <v>40389</v>
      </c>
      <c r="N394" s="22" t="s">
        <v>1802</v>
      </c>
      <c r="O394" s="4">
        <v>9110046</v>
      </c>
      <c r="P394" s="22">
        <v>720</v>
      </c>
      <c r="Q394" s="22">
        <v>42</v>
      </c>
      <c r="R394" s="22" t="s">
        <v>2982</v>
      </c>
      <c r="S394" s="4" t="s">
        <v>1965</v>
      </c>
      <c r="T394" s="38" t="s">
        <v>404</v>
      </c>
      <c r="U394" s="44">
        <v>40420</v>
      </c>
      <c r="V394" s="38" t="s">
        <v>404</v>
      </c>
      <c r="W394" s="9">
        <v>40483</v>
      </c>
      <c r="X394" s="74"/>
      <c r="Y394" s="28"/>
      <c r="Z394" s="9"/>
      <c r="AA394" s="24" t="s">
        <v>393</v>
      </c>
      <c r="AB394" s="28">
        <v>40450</v>
      </c>
      <c r="AC394" s="69"/>
    </row>
    <row r="395" spans="1:31" ht="14.25" customHeight="1" x14ac:dyDescent="0.4">
      <c r="A395" s="4"/>
      <c r="B395" s="34">
        <v>0</v>
      </c>
      <c r="C395" s="34" t="s">
        <v>2165</v>
      </c>
      <c r="D395" s="34">
        <v>0</v>
      </c>
      <c r="E395" s="32">
        <v>40449</v>
      </c>
      <c r="F395" s="24" t="s">
        <v>393</v>
      </c>
      <c r="G395" s="24">
        <v>40459</v>
      </c>
      <c r="H395" s="134">
        <v>14</v>
      </c>
      <c r="I395" s="23" t="e">
        <v>#REF!</v>
      </c>
      <c r="J395" s="37" t="e">
        <v>#REF!</v>
      </c>
      <c r="K395" s="24" t="s">
        <v>410</v>
      </c>
      <c r="L395" s="24">
        <v>40417</v>
      </c>
      <c r="M395" s="32">
        <v>40389</v>
      </c>
      <c r="N395" s="22" t="s">
        <v>1802</v>
      </c>
      <c r="O395" s="4">
        <v>9110047</v>
      </c>
      <c r="P395" s="22">
        <v>1020</v>
      </c>
      <c r="Q395" s="22">
        <v>50</v>
      </c>
      <c r="R395" s="22" t="s">
        <v>2983</v>
      </c>
      <c r="S395" s="4" t="s">
        <v>1966</v>
      </c>
      <c r="T395" s="38" t="s">
        <v>404</v>
      </c>
      <c r="U395" s="44">
        <v>40420</v>
      </c>
      <c r="V395" s="38" t="s">
        <v>404</v>
      </c>
      <c r="W395" s="9">
        <v>40487</v>
      </c>
      <c r="X395" s="74"/>
      <c r="Y395" s="28"/>
      <c r="Z395" s="9"/>
      <c r="AA395" s="24" t="s">
        <v>393</v>
      </c>
      <c r="AB395" s="28">
        <v>40459</v>
      </c>
      <c r="AC395" s="69"/>
    </row>
    <row r="396" spans="1:31" ht="14.25" customHeight="1" x14ac:dyDescent="0.4">
      <c r="B396" s="34">
        <v>0</v>
      </c>
      <c r="C396" s="34" t="s">
        <v>2102</v>
      </c>
      <c r="D396" s="34">
        <v>0</v>
      </c>
      <c r="E396" s="32">
        <v>40570</v>
      </c>
      <c r="F396" s="24" t="s">
        <v>393</v>
      </c>
      <c r="G396" s="24">
        <v>40591</v>
      </c>
      <c r="H396" s="134">
        <v>149</v>
      </c>
      <c r="I396" s="23" t="s">
        <v>1999</v>
      </c>
      <c r="J396" s="37">
        <v>40</v>
      </c>
      <c r="K396" s="24" t="s">
        <v>410</v>
      </c>
      <c r="L396" s="24" t="s">
        <v>1998</v>
      </c>
      <c r="M396" s="32">
        <v>40403</v>
      </c>
      <c r="N396" s="22" t="s">
        <v>1802</v>
      </c>
      <c r="O396" s="4">
        <v>9110138</v>
      </c>
      <c r="P396" s="22">
        <v>1020</v>
      </c>
      <c r="Q396" s="22">
        <v>42</v>
      </c>
      <c r="R396" s="22" t="s">
        <v>427</v>
      </c>
      <c r="S396" s="102" t="s">
        <v>1967</v>
      </c>
      <c r="T396" s="104" t="s">
        <v>404</v>
      </c>
      <c r="U396" s="105">
        <v>40466</v>
      </c>
      <c r="V396" s="104" t="s">
        <v>404</v>
      </c>
      <c r="W396" s="105">
        <v>40603</v>
      </c>
      <c r="X396" s="74"/>
      <c r="Y396" s="28"/>
      <c r="Z396" s="9"/>
      <c r="AA396" s="24" t="s">
        <v>393</v>
      </c>
      <c r="AB396" s="28">
        <v>40591</v>
      </c>
      <c r="AC396" s="69"/>
    </row>
    <row r="397" spans="1:31" ht="14.25" customHeight="1" x14ac:dyDescent="0.4">
      <c r="A397" s="5"/>
      <c r="B397" s="34">
        <v>0</v>
      </c>
      <c r="C397" s="34">
        <v>0</v>
      </c>
      <c r="D397" s="34">
        <v>0</v>
      </c>
      <c r="E397" s="32">
        <v>40597</v>
      </c>
      <c r="F397" s="24" t="s">
        <v>393</v>
      </c>
      <c r="G397" s="24">
        <v>40602</v>
      </c>
      <c r="H397" s="134">
        <v>188</v>
      </c>
      <c r="I397" s="23" t="s">
        <v>2000</v>
      </c>
      <c r="J397" s="37">
        <v>36</v>
      </c>
      <c r="K397" s="24" t="s">
        <v>410</v>
      </c>
      <c r="L397" s="24" t="s">
        <v>1999</v>
      </c>
      <c r="M397" s="32">
        <v>40403</v>
      </c>
      <c r="N397" s="22" t="s">
        <v>1802</v>
      </c>
      <c r="O397" s="4">
        <v>9110136</v>
      </c>
      <c r="P397" s="22">
        <v>720</v>
      </c>
      <c r="Q397" s="22">
        <v>42</v>
      </c>
      <c r="R397" s="22">
        <v>0</v>
      </c>
      <c r="S397" s="4" t="s">
        <v>1968</v>
      </c>
      <c r="T397" s="4" t="s">
        <v>404</v>
      </c>
      <c r="U397" s="44">
        <v>40491</v>
      </c>
      <c r="V397" s="4" t="s">
        <v>404</v>
      </c>
      <c r="W397" s="9">
        <v>40634</v>
      </c>
      <c r="X397" s="74"/>
      <c r="Y397" s="28"/>
      <c r="Z397" s="9"/>
      <c r="AA397" s="24" t="s">
        <v>393</v>
      </c>
      <c r="AB397" s="28">
        <v>40602</v>
      </c>
      <c r="AC397" s="69"/>
    </row>
    <row r="398" spans="1:31" ht="14.25" customHeight="1" x14ac:dyDescent="0.4">
      <c r="B398" s="34">
        <v>0</v>
      </c>
      <c r="C398" s="34">
        <v>0</v>
      </c>
      <c r="D398" s="34">
        <v>0</v>
      </c>
      <c r="E398" s="32">
        <v>40613</v>
      </c>
      <c r="F398" s="24" t="s">
        <v>393</v>
      </c>
      <c r="G398" s="24">
        <v>40617</v>
      </c>
      <c r="H398" s="134">
        <v>225</v>
      </c>
      <c r="I398" s="23" t="s">
        <v>2001</v>
      </c>
      <c r="J398" s="37">
        <v>27</v>
      </c>
      <c r="K398" s="24" t="s">
        <v>410</v>
      </c>
      <c r="L398" s="24" t="s">
        <v>2000</v>
      </c>
      <c r="M398" s="32">
        <v>40403</v>
      </c>
      <c r="N398" s="22" t="s">
        <v>1802</v>
      </c>
      <c r="O398" s="4">
        <v>9110139</v>
      </c>
      <c r="P398" s="22">
        <v>1020</v>
      </c>
      <c r="Q398" s="22">
        <v>42</v>
      </c>
      <c r="R398" s="22">
        <v>0</v>
      </c>
      <c r="S398" s="4" t="s">
        <v>1969</v>
      </c>
      <c r="T398" s="3" t="s">
        <v>404</v>
      </c>
      <c r="U398" s="28">
        <v>40435</v>
      </c>
      <c r="V398" s="3" t="s">
        <v>404</v>
      </c>
      <c r="W398" s="28">
        <v>40634</v>
      </c>
      <c r="X398" s="74"/>
      <c r="Y398" s="28"/>
      <c r="Z398" s="9"/>
      <c r="AA398" s="24" t="s">
        <v>393</v>
      </c>
      <c r="AB398" s="28">
        <v>40617</v>
      </c>
      <c r="AC398" s="69"/>
    </row>
    <row r="399" spans="1:31" ht="14.25" customHeight="1" x14ac:dyDescent="0.4">
      <c r="A399" s="64"/>
      <c r="B399" s="34">
        <v>0</v>
      </c>
      <c r="C399" s="34">
        <v>0</v>
      </c>
      <c r="D399" s="34">
        <v>0</v>
      </c>
      <c r="E399" s="32">
        <v>40626</v>
      </c>
      <c r="F399" s="24" t="s">
        <v>393</v>
      </c>
      <c r="G399" s="24">
        <v>40638</v>
      </c>
      <c r="H399" s="134">
        <v>252</v>
      </c>
      <c r="I399" s="23" t="s">
        <v>2001</v>
      </c>
      <c r="J399" s="37">
        <v>54</v>
      </c>
      <c r="K399" s="24" t="s">
        <v>410</v>
      </c>
      <c r="L399" s="24" t="s">
        <v>2001</v>
      </c>
      <c r="M399" s="32">
        <v>40403</v>
      </c>
      <c r="N399" s="22" t="s">
        <v>1802</v>
      </c>
      <c r="O399" s="4">
        <v>9110137</v>
      </c>
      <c r="P399" s="22">
        <v>1020</v>
      </c>
      <c r="Q399" s="22">
        <v>50</v>
      </c>
      <c r="R399" s="22">
        <v>0</v>
      </c>
      <c r="S399" s="4" t="s">
        <v>124</v>
      </c>
      <c r="T399" s="4" t="s">
        <v>404</v>
      </c>
      <c r="U399" s="28">
        <v>40542</v>
      </c>
      <c r="V399" s="4" t="s">
        <v>404</v>
      </c>
      <c r="W399" s="28">
        <v>40646</v>
      </c>
      <c r="Y399" s="28"/>
      <c r="Z399" s="28"/>
      <c r="AA399" s="24" t="s">
        <v>393</v>
      </c>
      <c r="AB399" s="28">
        <v>40638</v>
      </c>
      <c r="AC399" s="69"/>
    </row>
    <row r="400" spans="1:31" ht="14.25" customHeight="1" x14ac:dyDescent="0.4">
      <c r="B400" s="34">
        <v>0</v>
      </c>
      <c r="C400" s="34">
        <v>0</v>
      </c>
      <c r="D400" s="34">
        <v>0</v>
      </c>
      <c r="E400" s="32">
        <v>40681</v>
      </c>
      <c r="F400" s="24" t="s">
        <v>393</v>
      </c>
      <c r="G400" s="24">
        <v>40688</v>
      </c>
      <c r="H400" s="134">
        <v>366</v>
      </c>
      <c r="I400" s="23" t="s">
        <v>2003</v>
      </c>
      <c r="J400" s="37">
        <v>36</v>
      </c>
      <c r="K400" s="24" t="s">
        <v>410</v>
      </c>
      <c r="L400" s="24" t="s">
        <v>2002</v>
      </c>
      <c r="M400" s="32">
        <v>40403</v>
      </c>
      <c r="N400" s="22" t="s">
        <v>1802</v>
      </c>
      <c r="O400" s="4">
        <v>9110140</v>
      </c>
      <c r="P400" s="22">
        <v>720</v>
      </c>
      <c r="Q400" s="22">
        <v>50</v>
      </c>
      <c r="R400" s="22">
        <v>0</v>
      </c>
      <c r="S400" s="4"/>
      <c r="T400" s="1" t="s">
        <v>404</v>
      </c>
      <c r="U400" s="42">
        <v>40506</v>
      </c>
      <c r="V400" s="4" t="s">
        <v>404</v>
      </c>
      <c r="W400" s="28">
        <v>40689</v>
      </c>
      <c r="X400" s="74"/>
      <c r="Y400" s="28"/>
      <c r="Z400" s="28"/>
      <c r="AA400" s="24" t="s">
        <v>393</v>
      </c>
      <c r="AB400" s="28">
        <v>40688</v>
      </c>
      <c r="AC400" s="69"/>
    </row>
    <row r="401" spans="1:29" ht="14.25" customHeight="1" x14ac:dyDescent="0.4">
      <c r="B401" s="34">
        <v>0</v>
      </c>
      <c r="C401" s="34">
        <v>0</v>
      </c>
      <c r="D401" s="34">
        <v>0</v>
      </c>
      <c r="E401" s="32">
        <v>40645</v>
      </c>
      <c r="F401" s="24" t="s">
        <v>393</v>
      </c>
      <c r="G401" s="24">
        <v>40648</v>
      </c>
      <c r="H401" s="134">
        <v>291</v>
      </c>
      <c r="I401" s="23" t="s">
        <v>2002</v>
      </c>
      <c r="J401" s="37">
        <v>24</v>
      </c>
      <c r="K401" s="24" t="s">
        <v>410</v>
      </c>
      <c r="L401" s="24" t="s">
        <v>2003</v>
      </c>
      <c r="M401" s="32">
        <v>40403</v>
      </c>
      <c r="N401" s="22" t="s">
        <v>1802</v>
      </c>
      <c r="O401" s="4">
        <v>9110141</v>
      </c>
      <c r="P401" s="22">
        <v>720</v>
      </c>
      <c r="Q401" s="22">
        <v>42</v>
      </c>
      <c r="R401" s="22">
        <v>0</v>
      </c>
      <c r="S401" s="4"/>
      <c r="T401" s="1" t="s">
        <v>404</v>
      </c>
      <c r="U401" s="42">
        <v>40513</v>
      </c>
      <c r="V401" s="1" t="s">
        <v>404</v>
      </c>
      <c r="W401" s="28">
        <v>40662</v>
      </c>
      <c r="X401" s="74"/>
      <c r="Y401" s="28"/>
      <c r="Z401" s="28"/>
      <c r="AA401" s="24" t="s">
        <v>393</v>
      </c>
      <c r="AB401" s="28">
        <v>40648</v>
      </c>
      <c r="AC401" s="69"/>
    </row>
    <row r="402" spans="1:29" ht="14.25" customHeight="1" x14ac:dyDescent="0.4">
      <c r="A402" s="4"/>
      <c r="B402" s="32">
        <v>40639</v>
      </c>
      <c r="C402" s="32">
        <v>40639</v>
      </c>
      <c r="D402" s="32">
        <v>40639</v>
      </c>
      <c r="E402" s="32">
        <v>40639</v>
      </c>
      <c r="F402" s="24" t="s">
        <v>393</v>
      </c>
      <c r="G402" s="24">
        <v>40655</v>
      </c>
      <c r="H402" s="134">
        <v>278</v>
      </c>
      <c r="I402" s="23" t="s">
        <v>2002</v>
      </c>
      <c r="J402" s="37">
        <v>11</v>
      </c>
      <c r="K402" s="24" t="s">
        <v>410</v>
      </c>
      <c r="L402" s="24" t="s">
        <v>2002</v>
      </c>
      <c r="M402" s="32">
        <v>40424</v>
      </c>
      <c r="N402" s="22" t="s">
        <v>1802</v>
      </c>
      <c r="O402" s="4">
        <v>9110347</v>
      </c>
      <c r="P402" s="22">
        <v>1020</v>
      </c>
      <c r="Q402" s="22">
        <v>42</v>
      </c>
      <c r="R402" s="22" t="s">
        <v>2984</v>
      </c>
      <c r="S402" s="50"/>
      <c r="T402" s="50" t="s">
        <v>404</v>
      </c>
      <c r="U402" s="51">
        <v>40604</v>
      </c>
      <c r="V402" s="1" t="s">
        <v>404</v>
      </c>
      <c r="W402" s="51">
        <v>40665</v>
      </c>
      <c r="X402" s="74"/>
      <c r="Y402" s="28"/>
      <c r="Z402" s="28"/>
      <c r="AA402" s="24" t="s">
        <v>393</v>
      </c>
      <c r="AB402" s="28">
        <v>40655</v>
      </c>
      <c r="AC402" s="69"/>
    </row>
    <row r="403" spans="1:29" ht="14.25" customHeight="1" x14ac:dyDescent="0.4">
      <c r="A403" s="4"/>
      <c r="B403" s="32">
        <v>40666</v>
      </c>
      <c r="C403" s="32">
        <v>40666</v>
      </c>
      <c r="D403" s="32">
        <v>40666</v>
      </c>
      <c r="E403" s="32">
        <v>40666</v>
      </c>
      <c r="F403" s="24" t="s">
        <v>393</v>
      </c>
      <c r="G403" s="24">
        <v>40676</v>
      </c>
      <c r="H403" s="134">
        <v>335</v>
      </c>
      <c r="I403" s="23" t="s">
        <v>2003</v>
      </c>
      <c r="J403" s="37">
        <v>5</v>
      </c>
      <c r="K403" s="24" t="s">
        <v>410</v>
      </c>
      <c r="L403" s="24" t="s">
        <v>2002</v>
      </c>
      <c r="M403" s="32">
        <v>40424</v>
      </c>
      <c r="N403" s="22" t="s">
        <v>1802</v>
      </c>
      <c r="O403" s="4">
        <v>9110348</v>
      </c>
      <c r="P403" s="22">
        <v>720</v>
      </c>
      <c r="Q403" s="22">
        <v>42</v>
      </c>
      <c r="R403" s="22">
        <v>0</v>
      </c>
      <c r="S403" s="4"/>
      <c r="T403" s="38" t="s">
        <v>404</v>
      </c>
      <c r="U403" s="44">
        <v>40717</v>
      </c>
      <c r="V403" s="38" t="s">
        <v>404</v>
      </c>
      <c r="W403" s="9">
        <v>40723</v>
      </c>
      <c r="X403" s="74"/>
      <c r="Y403" s="28"/>
      <c r="Z403" s="9"/>
      <c r="AA403" s="24" t="s">
        <v>393</v>
      </c>
      <c r="AB403" s="28">
        <v>40676</v>
      </c>
      <c r="AC403" s="69"/>
    </row>
    <row r="404" spans="1:29" ht="14.25" customHeight="1" x14ac:dyDescent="0.4">
      <c r="A404" s="4"/>
      <c r="B404" s="32">
        <v>40582</v>
      </c>
      <c r="C404" s="32">
        <v>40582</v>
      </c>
      <c r="D404" s="32">
        <v>40582</v>
      </c>
      <c r="E404" s="32">
        <v>40582</v>
      </c>
      <c r="F404" s="24" t="s">
        <v>393</v>
      </c>
      <c r="G404" s="24">
        <v>40584</v>
      </c>
      <c r="H404" s="134">
        <v>162</v>
      </c>
      <c r="I404" s="23" t="s">
        <v>2000</v>
      </c>
      <c r="J404" s="37">
        <v>10</v>
      </c>
      <c r="K404" s="24" t="s">
        <v>410</v>
      </c>
      <c r="L404" s="24" t="s">
        <v>2000</v>
      </c>
      <c r="M404" s="32">
        <v>40547</v>
      </c>
      <c r="N404" s="22" t="s">
        <v>1802</v>
      </c>
      <c r="O404" s="4">
        <v>9110411</v>
      </c>
      <c r="P404" s="22">
        <v>1020</v>
      </c>
      <c r="Q404" s="22">
        <v>50</v>
      </c>
      <c r="R404" s="22">
        <v>0</v>
      </c>
      <c r="S404" s="4"/>
      <c r="T404" s="38" t="s">
        <v>404</v>
      </c>
      <c r="U404" s="105">
        <v>40550</v>
      </c>
      <c r="V404" s="38" t="s">
        <v>404</v>
      </c>
      <c r="W404" s="44">
        <v>40599</v>
      </c>
      <c r="X404" s="74">
        <v>0</v>
      </c>
      <c r="Y404" s="28"/>
      <c r="Z404" s="9"/>
      <c r="AA404" s="24" t="s">
        <v>393</v>
      </c>
      <c r="AB404" s="28">
        <v>40584</v>
      </c>
      <c r="AC404" s="69"/>
    </row>
    <row r="405" spans="1:29" ht="14.25" customHeight="1" x14ac:dyDescent="0.4">
      <c r="B405" s="32">
        <v>40722</v>
      </c>
      <c r="C405" s="32">
        <v>40722</v>
      </c>
      <c r="D405" s="32">
        <v>40722</v>
      </c>
      <c r="E405" s="32">
        <v>40722</v>
      </c>
      <c r="F405" s="24" t="s">
        <v>393</v>
      </c>
      <c r="G405" s="24">
        <v>40723</v>
      </c>
      <c r="H405" s="134">
        <v>413</v>
      </c>
      <c r="I405" s="23" t="s">
        <v>2004</v>
      </c>
      <c r="J405" s="37">
        <v>27</v>
      </c>
      <c r="K405" s="24" t="s">
        <v>410</v>
      </c>
      <c r="L405" s="24" t="s">
        <v>1724</v>
      </c>
      <c r="M405" s="32">
        <v>40571</v>
      </c>
      <c r="N405" s="22" t="s">
        <v>1802</v>
      </c>
      <c r="O405" s="4">
        <v>9110421</v>
      </c>
      <c r="P405" s="22">
        <v>1020</v>
      </c>
      <c r="Q405" s="22">
        <v>50</v>
      </c>
      <c r="R405" s="22">
        <v>0</v>
      </c>
      <c r="S405" s="4"/>
      <c r="T405" s="38" t="s">
        <v>404</v>
      </c>
      <c r="U405" s="105">
        <v>40905</v>
      </c>
      <c r="V405" s="38" t="s">
        <v>404</v>
      </c>
      <c r="W405" s="9">
        <v>40923</v>
      </c>
      <c r="X405" s="74">
        <v>0</v>
      </c>
      <c r="Y405" s="28"/>
      <c r="Z405" s="9"/>
      <c r="AA405" s="24" t="s">
        <v>393</v>
      </c>
      <c r="AB405" s="28">
        <v>40723</v>
      </c>
      <c r="AC405" s="69"/>
    </row>
    <row r="406" spans="1:29" ht="14.25" customHeight="1" x14ac:dyDescent="0.4">
      <c r="B406" s="32">
        <v>40704</v>
      </c>
      <c r="C406" s="32">
        <v>40704</v>
      </c>
      <c r="D406" s="32">
        <v>40704</v>
      </c>
      <c r="E406" s="32">
        <v>40704</v>
      </c>
      <c r="F406" s="24" t="s">
        <v>393</v>
      </c>
      <c r="G406" s="24">
        <v>40710</v>
      </c>
      <c r="H406" s="134">
        <v>396</v>
      </c>
      <c r="I406" s="23" t="s">
        <v>2004</v>
      </c>
      <c r="J406" s="37">
        <v>10</v>
      </c>
      <c r="K406" s="24" t="s">
        <v>410</v>
      </c>
      <c r="L406" s="24" t="s">
        <v>1724</v>
      </c>
      <c r="M406" s="32">
        <v>40571</v>
      </c>
      <c r="N406" s="22" t="s">
        <v>1802</v>
      </c>
      <c r="O406" s="4">
        <v>9110422</v>
      </c>
      <c r="P406" s="22">
        <v>1020</v>
      </c>
      <c r="Q406" s="22">
        <v>42</v>
      </c>
      <c r="R406" s="22">
        <v>0</v>
      </c>
      <c r="S406" s="4"/>
      <c r="T406" s="38" t="s">
        <v>404</v>
      </c>
      <c r="U406" s="105">
        <v>40730</v>
      </c>
      <c r="V406" s="38" t="s">
        <v>404</v>
      </c>
      <c r="W406" s="28">
        <v>40739</v>
      </c>
      <c r="X406" s="74">
        <v>0</v>
      </c>
      <c r="Y406" s="28"/>
      <c r="Z406" s="9"/>
      <c r="AA406" s="24" t="s">
        <v>393</v>
      </c>
      <c r="AB406" s="28">
        <v>40710</v>
      </c>
      <c r="AC406" s="69"/>
    </row>
    <row r="407" spans="1:29" ht="14.25" customHeight="1" x14ac:dyDescent="0.4">
      <c r="A407" s="4"/>
      <c r="B407" s="32">
        <v>40463</v>
      </c>
      <c r="C407" s="32">
        <v>40463</v>
      </c>
      <c r="D407" s="32">
        <v>40463</v>
      </c>
      <c r="E407" s="32">
        <v>40463</v>
      </c>
      <c r="F407" s="24" t="s">
        <v>393</v>
      </c>
      <c r="G407" s="24">
        <v>40472</v>
      </c>
      <c r="H407" s="134">
        <v>24</v>
      </c>
      <c r="I407" s="23" t="s">
        <v>1992</v>
      </c>
      <c r="J407" s="37" t="e">
        <v>#REF!</v>
      </c>
      <c r="K407" s="24" t="s">
        <v>410</v>
      </c>
      <c r="L407" s="24" t="s">
        <v>1724</v>
      </c>
      <c r="M407" s="32">
        <v>40445</v>
      </c>
      <c r="N407" s="22" t="s">
        <v>1925</v>
      </c>
      <c r="O407" s="4">
        <v>9110369</v>
      </c>
      <c r="P407" s="22">
        <v>1020</v>
      </c>
      <c r="Q407" s="22">
        <v>50</v>
      </c>
      <c r="R407" s="22" t="s">
        <v>2985</v>
      </c>
      <c r="S407" s="106"/>
      <c r="T407" s="104" t="s">
        <v>404</v>
      </c>
      <c r="U407" s="105">
        <v>40777</v>
      </c>
      <c r="V407" s="104" t="s">
        <v>404</v>
      </c>
      <c r="W407" s="105">
        <v>40779</v>
      </c>
      <c r="X407" s="74"/>
      <c r="Y407" s="28"/>
      <c r="Z407" s="9"/>
      <c r="AA407" s="24" t="s">
        <v>393</v>
      </c>
      <c r="AB407" s="28">
        <v>40472</v>
      </c>
      <c r="AC407" s="69"/>
    </row>
    <row r="408" spans="1:29" ht="14.25" customHeight="1" x14ac:dyDescent="0.4">
      <c r="A408" s="4"/>
      <c r="B408" s="32">
        <v>40463</v>
      </c>
      <c r="C408" s="32">
        <v>40463</v>
      </c>
      <c r="D408" s="32">
        <v>40463</v>
      </c>
      <c r="E408" s="32">
        <v>40463</v>
      </c>
      <c r="F408" s="24" t="s">
        <v>393</v>
      </c>
      <c r="G408" s="24">
        <v>40479</v>
      </c>
      <c r="H408" s="134">
        <v>25</v>
      </c>
      <c r="I408" s="23" t="s">
        <v>1992</v>
      </c>
      <c r="J408" s="37" t="e">
        <v>#REF!</v>
      </c>
      <c r="K408" s="24" t="s">
        <v>410</v>
      </c>
      <c r="L408" s="24" t="s">
        <v>1724</v>
      </c>
      <c r="M408" s="32">
        <v>40445</v>
      </c>
      <c r="N408" s="22" t="s">
        <v>1925</v>
      </c>
      <c r="O408" s="4">
        <v>9110370</v>
      </c>
      <c r="P408" s="22">
        <v>1020</v>
      </c>
      <c r="Q408" s="22">
        <v>50</v>
      </c>
      <c r="R408" s="22" t="s">
        <v>2986</v>
      </c>
      <c r="S408" s="106"/>
      <c r="T408" s="104" t="s">
        <v>404</v>
      </c>
      <c r="U408" s="105">
        <v>40618</v>
      </c>
      <c r="V408" s="4" t="s">
        <v>404</v>
      </c>
      <c r="W408" s="105">
        <v>40673</v>
      </c>
      <c r="X408" s="74"/>
      <c r="Y408" s="28"/>
      <c r="Z408" s="9"/>
      <c r="AA408" s="24" t="s">
        <v>393</v>
      </c>
      <c r="AB408" s="28">
        <v>40479</v>
      </c>
      <c r="AC408" s="69"/>
    </row>
    <row r="409" spans="1:29" ht="14.25" customHeight="1" x14ac:dyDescent="0.4">
      <c r="B409" s="32">
        <v>40556</v>
      </c>
      <c r="C409" s="32">
        <v>40556</v>
      </c>
      <c r="D409" s="32">
        <v>40556</v>
      </c>
      <c r="E409" s="32">
        <v>40556</v>
      </c>
      <c r="F409" s="24" t="s">
        <v>393</v>
      </c>
      <c r="G409" s="24">
        <v>40568</v>
      </c>
      <c r="H409" s="134">
        <v>125</v>
      </c>
      <c r="I409" s="23" t="s">
        <v>1999</v>
      </c>
      <c r="J409" s="37">
        <v>16</v>
      </c>
      <c r="K409" s="24" t="s">
        <v>410</v>
      </c>
      <c r="L409" s="24">
        <v>0</v>
      </c>
      <c r="M409" s="32">
        <v>40457</v>
      </c>
      <c r="N409" s="22" t="s">
        <v>1925</v>
      </c>
      <c r="O409" s="4">
        <v>9110371</v>
      </c>
      <c r="P409" s="22">
        <v>1020</v>
      </c>
      <c r="Q409" s="22">
        <v>50</v>
      </c>
      <c r="R409" s="22">
        <v>579992</v>
      </c>
      <c r="S409" s="4"/>
      <c r="T409" s="3" t="s">
        <v>404</v>
      </c>
      <c r="U409" s="28">
        <v>41071</v>
      </c>
      <c r="V409" s="4" t="s">
        <v>404</v>
      </c>
      <c r="W409" s="9">
        <v>41074</v>
      </c>
      <c r="X409" s="74"/>
      <c r="Y409" s="28"/>
      <c r="Z409" s="9"/>
      <c r="AA409" s="24" t="s">
        <v>393</v>
      </c>
      <c r="AB409" s="28">
        <v>40568</v>
      </c>
      <c r="AC409" s="69"/>
    </row>
    <row r="410" spans="1:29" ht="14.25" customHeight="1" x14ac:dyDescent="0.4">
      <c r="B410" s="32">
        <v>40192</v>
      </c>
      <c r="C410" s="32">
        <v>40192</v>
      </c>
      <c r="D410" s="32">
        <v>40192</v>
      </c>
      <c r="E410" s="32">
        <v>40192</v>
      </c>
      <c r="F410" s="24" t="s">
        <v>393</v>
      </c>
      <c r="G410" s="24">
        <v>40562</v>
      </c>
      <c r="H410" s="134">
        <v>126</v>
      </c>
      <c r="I410" s="23" t="s">
        <v>1999</v>
      </c>
      <c r="J410" s="37">
        <v>17</v>
      </c>
      <c r="K410" s="24" t="s">
        <v>410</v>
      </c>
      <c r="L410" s="24">
        <v>0</v>
      </c>
      <c r="M410" s="32">
        <v>40457</v>
      </c>
      <c r="N410" s="22" t="s">
        <v>1925</v>
      </c>
      <c r="O410" s="4">
        <v>9110372</v>
      </c>
      <c r="P410" s="22">
        <v>1020</v>
      </c>
      <c r="Q410" s="22">
        <v>50</v>
      </c>
      <c r="R410" s="22">
        <v>579994</v>
      </c>
      <c r="S410" s="4"/>
      <c r="T410" s="4" t="s">
        <v>404</v>
      </c>
      <c r="U410" s="57">
        <v>40613</v>
      </c>
      <c r="V410" s="4" t="s">
        <v>404</v>
      </c>
      <c r="W410" s="105">
        <v>40675</v>
      </c>
      <c r="Y410" s="28"/>
      <c r="Z410" s="28"/>
      <c r="AA410" s="24" t="s">
        <v>393</v>
      </c>
      <c r="AB410" s="28">
        <v>40562</v>
      </c>
      <c r="AC410" s="69"/>
    </row>
    <row r="411" spans="1:29" ht="14.25" customHeight="1" x14ac:dyDescent="0.4">
      <c r="B411" s="32">
        <v>40700</v>
      </c>
      <c r="C411" s="32">
        <v>40700</v>
      </c>
      <c r="D411" s="32">
        <v>40700</v>
      </c>
      <c r="E411" s="32">
        <v>40700</v>
      </c>
      <c r="F411" s="24" t="s">
        <v>393</v>
      </c>
      <c r="G411" s="24">
        <v>40703</v>
      </c>
      <c r="H411" s="134">
        <v>391</v>
      </c>
      <c r="I411" s="23" t="s">
        <v>2004</v>
      </c>
      <c r="J411" s="37">
        <v>5</v>
      </c>
      <c r="K411" s="24" t="s">
        <v>410</v>
      </c>
      <c r="L411" s="24">
        <v>0</v>
      </c>
      <c r="M411" s="32">
        <v>40457</v>
      </c>
      <c r="N411" s="22" t="s">
        <v>1925</v>
      </c>
      <c r="O411" s="4">
        <v>9110373</v>
      </c>
      <c r="P411" s="22">
        <v>720</v>
      </c>
      <c r="Q411" s="22">
        <v>50</v>
      </c>
      <c r="R411" s="22" t="s">
        <v>2987</v>
      </c>
      <c r="S411" s="4"/>
      <c r="T411" s="4" t="s">
        <v>404</v>
      </c>
      <c r="U411" s="57">
        <v>40618</v>
      </c>
      <c r="V411" s="4" t="s">
        <v>404</v>
      </c>
      <c r="W411" s="59">
        <v>40724</v>
      </c>
      <c r="X411" s="74"/>
      <c r="Y411" s="28"/>
      <c r="Z411" s="28"/>
      <c r="AA411" s="24" t="s">
        <v>393</v>
      </c>
      <c r="AB411" s="28">
        <v>40703</v>
      </c>
      <c r="AC411" s="69"/>
    </row>
    <row r="412" spans="1:29" ht="14.25" customHeight="1" x14ac:dyDescent="0.4">
      <c r="B412" s="34">
        <v>0</v>
      </c>
      <c r="C412" s="34">
        <v>0</v>
      </c>
      <c r="D412" s="34">
        <v>0</v>
      </c>
      <c r="E412" s="32">
        <v>40700</v>
      </c>
      <c r="F412" s="24" t="s">
        <v>393</v>
      </c>
      <c r="G412" s="24">
        <v>40707</v>
      </c>
      <c r="H412" s="134">
        <v>392</v>
      </c>
      <c r="I412" s="23" t="s">
        <v>2004</v>
      </c>
      <c r="J412" s="37">
        <v>6</v>
      </c>
      <c r="K412" s="24" t="s">
        <v>410</v>
      </c>
      <c r="L412" s="24">
        <v>0</v>
      </c>
      <c r="M412" s="32">
        <v>40457</v>
      </c>
      <c r="N412" s="22" t="s">
        <v>1925</v>
      </c>
      <c r="O412" s="4">
        <v>9110374</v>
      </c>
      <c r="P412" s="22">
        <v>720</v>
      </c>
      <c r="Q412" s="22">
        <v>50</v>
      </c>
      <c r="R412" s="22">
        <v>579995</v>
      </c>
      <c r="S412" s="4" t="s">
        <v>211</v>
      </c>
      <c r="T412" s="1" t="s">
        <v>404</v>
      </c>
      <c r="U412" s="28">
        <v>40672</v>
      </c>
      <c r="V412" s="4" t="s">
        <v>404</v>
      </c>
      <c r="W412" s="28">
        <v>40714</v>
      </c>
      <c r="X412" s="74"/>
      <c r="Y412" s="28"/>
      <c r="Z412" s="9"/>
      <c r="AA412" s="24" t="s">
        <v>393</v>
      </c>
      <c r="AB412" s="28">
        <v>40707</v>
      </c>
      <c r="AC412" s="69"/>
    </row>
    <row r="413" spans="1:29" ht="14.25" customHeight="1" x14ac:dyDescent="0.4">
      <c r="A413" s="4"/>
      <c r="B413" s="34">
        <v>0</v>
      </c>
      <c r="C413" s="34" t="s">
        <v>2165</v>
      </c>
      <c r="D413" s="34">
        <v>0</v>
      </c>
      <c r="E413" s="32">
        <v>40408</v>
      </c>
      <c r="F413" s="24" t="s">
        <v>393</v>
      </c>
      <c r="G413" s="24">
        <v>40441</v>
      </c>
      <c r="H413" s="134">
        <v>6</v>
      </c>
      <c r="I413" s="23" t="e">
        <v>#REF!</v>
      </c>
      <c r="J413" s="37" t="e">
        <v>#REF!</v>
      </c>
      <c r="K413" s="24" t="s">
        <v>410</v>
      </c>
      <c r="L413" s="24">
        <v>40410</v>
      </c>
      <c r="M413" s="32">
        <v>40393</v>
      </c>
      <c r="N413" s="22" t="s">
        <v>1822</v>
      </c>
      <c r="O413" s="4">
        <v>9110048</v>
      </c>
      <c r="P413" s="22">
        <v>1020</v>
      </c>
      <c r="Q413" s="22">
        <v>42</v>
      </c>
      <c r="R413" s="22" t="s">
        <v>2988</v>
      </c>
      <c r="S413" s="4"/>
      <c r="T413" s="38" t="s">
        <v>404</v>
      </c>
      <c r="U413" s="44">
        <v>40584</v>
      </c>
      <c r="V413" s="4" t="s">
        <v>404</v>
      </c>
      <c r="W413" s="9">
        <v>40991</v>
      </c>
      <c r="X413" s="74"/>
      <c r="Y413" s="28"/>
      <c r="Z413" s="9"/>
      <c r="AA413" s="24" t="s">
        <v>393</v>
      </c>
      <c r="AB413" s="28">
        <v>40441</v>
      </c>
      <c r="AC413" s="69"/>
    </row>
    <row r="414" spans="1:29" ht="14.25" customHeight="1" x14ac:dyDescent="0.4">
      <c r="B414" s="34">
        <v>0</v>
      </c>
      <c r="C414" s="34" t="s">
        <v>2165</v>
      </c>
      <c r="D414" s="34">
        <v>0</v>
      </c>
      <c r="E414" s="32">
        <v>40433</v>
      </c>
      <c r="F414" s="24" t="s">
        <v>393</v>
      </c>
      <c r="G414" s="24">
        <v>40450</v>
      </c>
      <c r="H414" s="134">
        <v>8</v>
      </c>
      <c r="I414" s="23" t="e">
        <v>#REF!</v>
      </c>
      <c r="J414" s="37" t="e">
        <v>#REF!</v>
      </c>
      <c r="K414" s="24" t="s">
        <v>410</v>
      </c>
      <c r="L414" s="24">
        <v>40410</v>
      </c>
      <c r="M414" s="32">
        <v>40393</v>
      </c>
      <c r="N414" s="22" t="s">
        <v>1822</v>
      </c>
      <c r="O414" s="4">
        <v>9110049</v>
      </c>
      <c r="P414" s="22">
        <v>720</v>
      </c>
      <c r="Q414" s="22">
        <v>50</v>
      </c>
      <c r="R414" s="22" t="s">
        <v>2989</v>
      </c>
      <c r="S414" s="4"/>
      <c r="T414" s="38" t="s">
        <v>404</v>
      </c>
      <c r="U414" s="44">
        <v>40451</v>
      </c>
      <c r="V414" s="4" t="s">
        <v>404</v>
      </c>
      <c r="W414" s="9">
        <v>40474</v>
      </c>
      <c r="X414" s="74"/>
      <c r="Y414" s="28"/>
      <c r="Z414" s="9"/>
      <c r="AA414" s="24" t="s">
        <v>393</v>
      </c>
      <c r="AB414" s="28">
        <v>40450</v>
      </c>
      <c r="AC414" s="69"/>
    </row>
    <row r="415" spans="1:29" ht="14.25" customHeight="1" x14ac:dyDescent="0.4">
      <c r="B415" s="34">
        <v>0</v>
      </c>
      <c r="C415" s="34" t="s">
        <v>2102</v>
      </c>
      <c r="D415" s="34">
        <v>0</v>
      </c>
      <c r="E415" s="32">
        <v>40498</v>
      </c>
      <c r="F415" s="24" t="s">
        <v>393</v>
      </c>
      <c r="G415" s="24">
        <v>40515</v>
      </c>
      <c r="H415" s="134">
        <v>69</v>
      </c>
      <c r="I415" s="23" t="s">
        <v>1997</v>
      </c>
      <c r="J415" s="37" t="e">
        <v>#REF!</v>
      </c>
      <c r="K415" s="24" t="s">
        <v>410</v>
      </c>
      <c r="L415" s="24" t="s">
        <v>1993</v>
      </c>
      <c r="M415" s="32">
        <v>40393</v>
      </c>
      <c r="N415" s="22" t="s">
        <v>1822</v>
      </c>
      <c r="O415" s="4">
        <v>9110050</v>
      </c>
      <c r="P415" s="22">
        <v>720</v>
      </c>
      <c r="Q415" s="22">
        <v>42</v>
      </c>
      <c r="R415" s="22">
        <v>0</v>
      </c>
      <c r="S415" s="4"/>
      <c r="T415" s="38" t="s">
        <v>404</v>
      </c>
      <c r="U415" s="44">
        <v>40599</v>
      </c>
      <c r="V415" s="4" t="s">
        <v>404</v>
      </c>
      <c r="W415" s="9">
        <v>40695</v>
      </c>
      <c r="X415" s="74"/>
      <c r="Y415" s="28"/>
      <c r="Z415" s="9"/>
      <c r="AA415" s="24" t="s">
        <v>393</v>
      </c>
      <c r="AB415" s="28">
        <v>40515</v>
      </c>
      <c r="AC415" s="69"/>
    </row>
    <row r="416" spans="1:29" ht="14.25" customHeight="1" x14ac:dyDescent="0.4">
      <c r="B416" s="34">
        <v>0</v>
      </c>
      <c r="C416" s="34" t="s">
        <v>2102</v>
      </c>
      <c r="D416" s="34">
        <v>0</v>
      </c>
      <c r="E416" s="32">
        <v>40500</v>
      </c>
      <c r="F416" s="24" t="s">
        <v>393</v>
      </c>
      <c r="G416" s="24">
        <v>40518</v>
      </c>
      <c r="H416" s="134">
        <v>72</v>
      </c>
      <c r="I416" s="23" t="s">
        <v>1997</v>
      </c>
      <c r="J416" s="37" t="e">
        <v>#REF!</v>
      </c>
      <c r="K416" s="24" t="s">
        <v>410</v>
      </c>
      <c r="L416" s="24" t="s">
        <v>1993</v>
      </c>
      <c r="M416" s="32">
        <v>40393</v>
      </c>
      <c r="N416" s="22" t="s">
        <v>1822</v>
      </c>
      <c r="O416" s="4">
        <v>9110051</v>
      </c>
      <c r="P416" s="22">
        <v>1020</v>
      </c>
      <c r="Q416" s="22">
        <v>50</v>
      </c>
      <c r="R416" s="22">
        <v>0</v>
      </c>
      <c r="S416" s="4"/>
      <c r="T416" s="38" t="s">
        <v>404</v>
      </c>
      <c r="U416" s="44">
        <v>40953</v>
      </c>
      <c r="V416" s="4" t="s">
        <v>404</v>
      </c>
      <c r="W416" s="9">
        <v>40998</v>
      </c>
      <c r="X416" s="74"/>
      <c r="Y416" s="28"/>
      <c r="Z416" s="9"/>
      <c r="AA416" s="24" t="s">
        <v>393</v>
      </c>
      <c r="AB416" s="28">
        <v>40518</v>
      </c>
      <c r="AC416" s="69"/>
    </row>
    <row r="417" spans="1:29" ht="14.25" customHeight="1" x14ac:dyDescent="0.4">
      <c r="A417" s="4"/>
      <c r="B417" s="34">
        <v>0</v>
      </c>
      <c r="C417" s="34" t="s">
        <v>2102</v>
      </c>
      <c r="D417" s="34">
        <v>0</v>
      </c>
      <c r="E417" s="32">
        <v>40690</v>
      </c>
      <c r="F417" s="24" t="s">
        <v>393</v>
      </c>
      <c r="G417" s="24">
        <v>40697</v>
      </c>
      <c r="H417" s="134">
        <v>382</v>
      </c>
      <c r="I417" s="23" t="s">
        <v>2003</v>
      </c>
      <c r="J417" s="37">
        <v>52</v>
      </c>
      <c r="K417" s="24" t="s">
        <v>410</v>
      </c>
      <c r="L417" s="24">
        <v>0</v>
      </c>
      <c r="M417" s="32">
        <v>40393</v>
      </c>
      <c r="N417" s="22" t="s">
        <v>1822</v>
      </c>
      <c r="O417" s="4">
        <v>9110052</v>
      </c>
      <c r="P417" s="22">
        <v>1220</v>
      </c>
      <c r="Q417" s="22">
        <v>50</v>
      </c>
      <c r="R417" s="22">
        <v>0</v>
      </c>
      <c r="S417" s="106"/>
      <c r="T417" s="104" t="s">
        <v>404</v>
      </c>
      <c r="U417" s="105">
        <v>40599</v>
      </c>
      <c r="V417" s="4" t="s">
        <v>404</v>
      </c>
      <c r="W417" s="105">
        <v>40738</v>
      </c>
      <c r="X417" s="74"/>
      <c r="Y417" s="28"/>
      <c r="Z417" s="28"/>
      <c r="AA417" s="24" t="s">
        <v>393</v>
      </c>
      <c r="AB417" s="28">
        <v>40697</v>
      </c>
      <c r="AC417" s="69"/>
    </row>
    <row r="418" spans="1:29" ht="14.25" customHeight="1" x14ac:dyDescent="0.4">
      <c r="B418" s="32">
        <v>40662</v>
      </c>
      <c r="C418" s="32">
        <v>40662</v>
      </c>
      <c r="D418" s="32">
        <v>40662</v>
      </c>
      <c r="E418" s="32">
        <v>40662</v>
      </c>
      <c r="F418" s="24" t="s">
        <v>393</v>
      </c>
      <c r="G418" s="24">
        <v>40666</v>
      </c>
      <c r="H418" s="134">
        <v>328</v>
      </c>
      <c r="I418" s="23" t="s">
        <v>2002</v>
      </c>
      <c r="J418" s="37">
        <v>61</v>
      </c>
      <c r="K418" s="24" t="s">
        <v>410</v>
      </c>
      <c r="L418" s="24">
        <v>0</v>
      </c>
      <c r="M418" s="32">
        <v>40476</v>
      </c>
      <c r="N418" s="22" t="s">
        <v>1822</v>
      </c>
      <c r="O418" s="4">
        <v>9110391</v>
      </c>
      <c r="P418" s="22">
        <v>1020</v>
      </c>
      <c r="Q418" s="22">
        <v>42</v>
      </c>
      <c r="R418" s="22">
        <v>0</v>
      </c>
      <c r="S418" s="4"/>
      <c r="T418" s="38" t="s">
        <v>404</v>
      </c>
      <c r="U418" s="44">
        <v>40709</v>
      </c>
      <c r="V418" s="4" t="s">
        <v>404</v>
      </c>
      <c r="W418" s="9">
        <v>40724</v>
      </c>
      <c r="X418" s="74"/>
      <c r="Y418" s="28"/>
      <c r="Z418" s="9"/>
      <c r="AA418" s="24" t="s">
        <v>393</v>
      </c>
      <c r="AB418" s="28">
        <v>40666</v>
      </c>
      <c r="AC418" s="69"/>
    </row>
    <row r="419" spans="1:29" ht="14.25" customHeight="1" x14ac:dyDescent="0.4">
      <c r="B419" s="34">
        <v>0</v>
      </c>
      <c r="C419" s="34">
        <v>0</v>
      </c>
      <c r="D419" s="34">
        <v>0</v>
      </c>
      <c r="E419" s="32">
        <v>40369</v>
      </c>
      <c r="F419" s="24" t="s">
        <v>393</v>
      </c>
      <c r="G419" s="24">
        <v>0</v>
      </c>
      <c r="H419" s="134">
        <v>424</v>
      </c>
      <c r="I419" s="23" t="s">
        <v>2004</v>
      </c>
      <c r="J419" s="37">
        <v>38</v>
      </c>
      <c r="K419" s="24" t="s">
        <v>410</v>
      </c>
      <c r="L419" s="24">
        <v>0</v>
      </c>
      <c r="M419" s="32">
        <v>40359</v>
      </c>
      <c r="N419" s="22" t="s">
        <v>1746</v>
      </c>
      <c r="O419" s="4">
        <v>9110031</v>
      </c>
      <c r="P419" s="22">
        <v>1020</v>
      </c>
      <c r="Q419" s="22">
        <v>42</v>
      </c>
      <c r="R419" s="22" t="s">
        <v>2990</v>
      </c>
      <c r="S419" s="55"/>
      <c r="T419" s="91" t="s">
        <v>404</v>
      </c>
      <c r="U419" s="94">
        <v>40787</v>
      </c>
      <c r="V419" s="4" t="s">
        <v>404</v>
      </c>
      <c r="W419" s="92">
        <v>40787</v>
      </c>
      <c r="Y419" s="28"/>
      <c r="Z419" s="28"/>
      <c r="AA419" s="24" t="s">
        <v>393</v>
      </c>
      <c r="AB419" s="28">
        <v>0</v>
      </c>
      <c r="AC419" s="69"/>
    </row>
    <row r="420" spans="1:29" ht="14.25" customHeight="1" x14ac:dyDescent="0.4">
      <c r="A420" s="4"/>
      <c r="B420" s="34">
        <v>0</v>
      </c>
      <c r="C420" s="34" t="s">
        <v>2165</v>
      </c>
      <c r="D420" s="34">
        <v>0</v>
      </c>
      <c r="E420" s="32">
        <v>40450</v>
      </c>
      <c r="F420" s="24" t="s">
        <v>393</v>
      </c>
      <c r="G420" s="24">
        <v>40458</v>
      </c>
      <c r="H420" s="134">
        <v>15</v>
      </c>
      <c r="I420" s="23" t="e">
        <v>#REF!</v>
      </c>
      <c r="J420" s="37" t="e">
        <v>#REF!</v>
      </c>
      <c r="K420" s="24" t="s">
        <v>410</v>
      </c>
      <c r="L420" s="24" t="s">
        <v>1991</v>
      </c>
      <c r="M420" s="32">
        <v>40389</v>
      </c>
      <c r="N420" s="22" t="s">
        <v>1746</v>
      </c>
      <c r="O420" s="4">
        <v>9110038</v>
      </c>
      <c r="P420" s="22">
        <v>720</v>
      </c>
      <c r="Q420" s="22">
        <v>42</v>
      </c>
      <c r="R420" s="22">
        <v>0</v>
      </c>
      <c r="S420" s="4" t="s">
        <v>1985</v>
      </c>
      <c r="T420" s="38" t="s">
        <v>404</v>
      </c>
      <c r="U420" s="44">
        <v>40513</v>
      </c>
      <c r="V420" s="91" t="s">
        <v>404</v>
      </c>
      <c r="W420" s="9">
        <v>40572</v>
      </c>
      <c r="X420" s="74"/>
      <c r="Y420" s="28"/>
      <c r="Z420" s="9"/>
      <c r="AA420" s="24" t="s">
        <v>393</v>
      </c>
      <c r="AB420" s="28">
        <v>40458</v>
      </c>
      <c r="AC420" s="69"/>
    </row>
    <row r="421" spans="1:29" ht="14.25" customHeight="1" x14ac:dyDescent="0.4">
      <c r="B421" s="34">
        <v>0</v>
      </c>
      <c r="C421" s="34" t="s">
        <v>2102</v>
      </c>
      <c r="D421" s="34">
        <v>0</v>
      </c>
      <c r="E421" s="32">
        <v>40456</v>
      </c>
      <c r="F421" s="24" t="s">
        <v>393</v>
      </c>
      <c r="G421" s="24">
        <v>40469</v>
      </c>
      <c r="H421" s="134">
        <v>19</v>
      </c>
      <c r="I421" s="23" t="e">
        <v>#REF!</v>
      </c>
      <c r="J421" s="37" t="e">
        <v>#REF!</v>
      </c>
      <c r="K421" s="24" t="s">
        <v>410</v>
      </c>
      <c r="L421" s="24" t="s">
        <v>1991</v>
      </c>
      <c r="M421" s="32">
        <v>40389</v>
      </c>
      <c r="N421" s="22" t="s">
        <v>1746</v>
      </c>
      <c r="O421" s="4">
        <v>9110039</v>
      </c>
      <c r="P421" s="22">
        <v>1020</v>
      </c>
      <c r="Q421" s="22">
        <v>50</v>
      </c>
      <c r="R421" s="22">
        <v>0</v>
      </c>
      <c r="S421" s="3" t="s">
        <v>1987</v>
      </c>
      <c r="T421" s="104" t="s">
        <v>404</v>
      </c>
      <c r="U421" s="105">
        <v>40515</v>
      </c>
      <c r="V421" s="91" t="s">
        <v>404</v>
      </c>
      <c r="W421" s="105">
        <v>40548</v>
      </c>
      <c r="Y421" s="28"/>
      <c r="Z421" s="28"/>
      <c r="AA421" s="24" t="s">
        <v>393</v>
      </c>
      <c r="AB421" s="28">
        <v>40469</v>
      </c>
      <c r="AC421" s="69"/>
    </row>
    <row r="422" spans="1:29" ht="14.25" customHeight="1" x14ac:dyDescent="0.4">
      <c r="B422" s="34">
        <v>0</v>
      </c>
      <c r="C422" s="34" t="s">
        <v>2102</v>
      </c>
      <c r="D422" s="34">
        <v>0</v>
      </c>
      <c r="E422" s="32">
        <v>40484</v>
      </c>
      <c r="F422" s="24" t="s">
        <v>393</v>
      </c>
      <c r="G422" s="24">
        <v>40491</v>
      </c>
      <c r="H422" s="134">
        <v>53</v>
      </c>
      <c r="I422" s="23" t="e">
        <v>#REF!</v>
      </c>
      <c r="J422" s="37" t="e">
        <v>#REF!</v>
      </c>
      <c r="K422" s="24" t="s">
        <v>410</v>
      </c>
      <c r="L422" s="24" t="s">
        <v>1993</v>
      </c>
      <c r="M422" s="32">
        <v>40389</v>
      </c>
      <c r="N422" s="22" t="s">
        <v>1746</v>
      </c>
      <c r="O422" s="4">
        <v>9110040</v>
      </c>
      <c r="P422" s="22">
        <v>720</v>
      </c>
      <c r="Q422" s="22">
        <v>50</v>
      </c>
      <c r="R422" s="22">
        <v>0</v>
      </c>
      <c r="S422" s="106"/>
      <c r="T422" s="104" t="s">
        <v>404</v>
      </c>
      <c r="U422" s="105">
        <v>40724</v>
      </c>
      <c r="V422" s="91" t="s">
        <v>404</v>
      </c>
      <c r="W422" s="105">
        <v>40749</v>
      </c>
      <c r="X422" s="74"/>
      <c r="Y422" s="28"/>
      <c r="Z422" s="28"/>
      <c r="AA422" s="24" t="s">
        <v>393</v>
      </c>
      <c r="AB422" s="28">
        <v>40491</v>
      </c>
      <c r="AC422" s="69"/>
    </row>
    <row r="423" spans="1:29" ht="14.25" customHeight="1" x14ac:dyDescent="0.4">
      <c r="B423" s="34">
        <v>0</v>
      </c>
      <c r="C423" s="34" t="s">
        <v>2165</v>
      </c>
      <c r="D423" s="34">
        <v>0</v>
      </c>
      <c r="E423" s="32">
        <v>40486</v>
      </c>
      <c r="F423" s="24" t="s">
        <v>393</v>
      </c>
      <c r="G423" s="24">
        <v>40492</v>
      </c>
      <c r="H423" s="134">
        <v>56</v>
      </c>
      <c r="I423" s="23" t="e">
        <v>#REF!</v>
      </c>
      <c r="J423" s="37" t="e">
        <v>#REF!</v>
      </c>
      <c r="K423" s="24" t="s">
        <v>410</v>
      </c>
      <c r="L423" s="24" t="s">
        <v>1993</v>
      </c>
      <c r="M423" s="32">
        <v>40389</v>
      </c>
      <c r="N423" s="22" t="s">
        <v>1746</v>
      </c>
      <c r="O423" s="4">
        <v>9110041</v>
      </c>
      <c r="P423" s="22">
        <v>1020</v>
      </c>
      <c r="Q423" s="22">
        <v>42</v>
      </c>
      <c r="R423" s="22">
        <v>0</v>
      </c>
      <c r="S423" s="102" t="s">
        <v>1986</v>
      </c>
      <c r="T423" s="104" t="s">
        <v>404</v>
      </c>
      <c r="U423" s="105">
        <v>40514</v>
      </c>
      <c r="V423" s="104" t="s">
        <v>404</v>
      </c>
      <c r="W423" s="105">
        <v>40542</v>
      </c>
      <c r="X423" s="74"/>
      <c r="Y423" s="28"/>
      <c r="Z423" s="28"/>
      <c r="AA423" s="24" t="s">
        <v>393</v>
      </c>
      <c r="AB423" s="28">
        <v>40492</v>
      </c>
      <c r="AC423" s="69"/>
    </row>
    <row r="424" spans="1:29" ht="14.25" customHeight="1" x14ac:dyDescent="0.4">
      <c r="B424" s="34">
        <v>0</v>
      </c>
      <c r="C424" s="34" t="s">
        <v>2102</v>
      </c>
      <c r="D424" s="34">
        <v>0</v>
      </c>
      <c r="E424" s="32">
        <v>40525</v>
      </c>
      <c r="F424" s="24" t="s">
        <v>393</v>
      </c>
      <c r="G424" s="24">
        <v>40547</v>
      </c>
      <c r="H424" s="134">
        <v>93</v>
      </c>
      <c r="I424" s="23" t="s">
        <v>1998</v>
      </c>
      <c r="J424" s="37">
        <v>14</v>
      </c>
      <c r="K424" s="24" t="s">
        <v>410</v>
      </c>
      <c r="L424" s="24" t="s">
        <v>1993</v>
      </c>
      <c r="M424" s="32">
        <v>40389</v>
      </c>
      <c r="N424" s="22" t="s">
        <v>1746</v>
      </c>
      <c r="O424" s="4">
        <v>9110042</v>
      </c>
      <c r="P424" s="22">
        <v>1020</v>
      </c>
      <c r="Q424" s="22">
        <v>42</v>
      </c>
      <c r="R424" s="22">
        <v>0</v>
      </c>
      <c r="S424" s="4"/>
      <c r="T424" s="104" t="s">
        <v>404</v>
      </c>
      <c r="U424" s="44">
        <v>40933</v>
      </c>
      <c r="V424" s="104" t="s">
        <v>404</v>
      </c>
      <c r="W424" s="9">
        <v>40967</v>
      </c>
      <c r="X424" s="74"/>
      <c r="Y424" s="28"/>
      <c r="Z424" s="9"/>
      <c r="AA424" s="24" t="s">
        <v>393</v>
      </c>
      <c r="AB424" s="28">
        <v>40547</v>
      </c>
      <c r="AC424" s="69"/>
    </row>
    <row r="425" spans="1:29" ht="14.25" customHeight="1" x14ac:dyDescent="0.4">
      <c r="B425" s="34">
        <v>0</v>
      </c>
      <c r="C425" s="34">
        <v>0</v>
      </c>
      <c r="D425" s="34">
        <v>0</v>
      </c>
      <c r="E425" s="32">
        <v>40520</v>
      </c>
      <c r="F425" s="24" t="s">
        <v>393</v>
      </c>
      <c r="G425" s="24">
        <v>40534</v>
      </c>
      <c r="H425" s="134">
        <v>88</v>
      </c>
      <c r="I425" s="23" t="s">
        <v>1998</v>
      </c>
      <c r="J425" s="37">
        <v>9</v>
      </c>
      <c r="K425" s="24" t="s">
        <v>410</v>
      </c>
      <c r="L425" s="24" t="s">
        <v>1997</v>
      </c>
      <c r="M425" s="32">
        <v>40389</v>
      </c>
      <c r="N425" s="22" t="s">
        <v>1746</v>
      </c>
      <c r="O425" s="4">
        <v>9110043</v>
      </c>
      <c r="P425" s="22">
        <v>720</v>
      </c>
      <c r="Q425" s="22">
        <v>42</v>
      </c>
      <c r="R425" s="22" t="s">
        <v>2991</v>
      </c>
      <c r="S425" s="4"/>
      <c r="T425" s="4" t="s">
        <v>404</v>
      </c>
      <c r="U425" s="57">
        <v>40435</v>
      </c>
      <c r="V425" s="4" t="s">
        <v>404</v>
      </c>
      <c r="W425" s="57">
        <v>40584</v>
      </c>
      <c r="Y425" s="28"/>
      <c r="Z425" s="9"/>
      <c r="AA425" s="24" t="s">
        <v>393</v>
      </c>
      <c r="AB425" s="28">
        <v>40534</v>
      </c>
      <c r="AC425" s="69"/>
    </row>
    <row r="426" spans="1:29" ht="14.25" customHeight="1" x14ac:dyDescent="0.4">
      <c r="B426" s="34">
        <v>0</v>
      </c>
      <c r="C426" s="34" t="s">
        <v>2102</v>
      </c>
      <c r="D426" s="34">
        <v>0</v>
      </c>
      <c r="E426" s="32">
        <v>40562</v>
      </c>
      <c r="F426" s="24" t="s">
        <v>393</v>
      </c>
      <c r="G426" s="24">
        <v>40568</v>
      </c>
      <c r="H426" s="134">
        <v>135</v>
      </c>
      <c r="I426" s="23" t="s">
        <v>1999</v>
      </c>
      <c r="J426" s="37">
        <v>26</v>
      </c>
      <c r="K426" s="24" t="s">
        <v>410</v>
      </c>
      <c r="L426" s="24" t="s">
        <v>1997</v>
      </c>
      <c r="M426" s="32">
        <v>40389</v>
      </c>
      <c r="N426" s="22" t="s">
        <v>1746</v>
      </c>
      <c r="O426" s="4">
        <v>9110044</v>
      </c>
      <c r="P426" s="22">
        <v>1020</v>
      </c>
      <c r="Q426" s="22">
        <v>42</v>
      </c>
      <c r="R426" s="22">
        <v>0</v>
      </c>
      <c r="S426" s="106" t="s">
        <v>2088</v>
      </c>
      <c r="T426" s="104" t="s">
        <v>404</v>
      </c>
      <c r="U426" s="105">
        <v>40536</v>
      </c>
      <c r="V426" s="104" t="s">
        <v>404</v>
      </c>
      <c r="W426" s="105">
        <v>40584</v>
      </c>
      <c r="X426" s="74"/>
      <c r="Y426" s="28"/>
      <c r="Z426" s="28"/>
      <c r="AA426" s="24" t="s">
        <v>393</v>
      </c>
      <c r="AB426" s="28">
        <v>40568</v>
      </c>
      <c r="AC426" s="69"/>
    </row>
    <row r="427" spans="1:29" ht="14.25" customHeight="1" x14ac:dyDescent="0.4">
      <c r="A427" s="4"/>
      <c r="B427" s="34">
        <v>0</v>
      </c>
      <c r="C427" s="34">
        <v>0</v>
      </c>
      <c r="D427" s="34">
        <v>0</v>
      </c>
      <c r="E427" s="32">
        <v>40564</v>
      </c>
      <c r="F427" s="24" t="s">
        <v>393</v>
      </c>
      <c r="G427" s="24">
        <v>40572</v>
      </c>
      <c r="H427" s="134">
        <v>139</v>
      </c>
      <c r="I427" s="23" t="s">
        <v>1999</v>
      </c>
      <c r="J427" s="37">
        <v>30</v>
      </c>
      <c r="K427" s="24" t="s">
        <v>410</v>
      </c>
      <c r="L427" s="24" t="s">
        <v>1997</v>
      </c>
      <c r="M427" s="32">
        <v>40389</v>
      </c>
      <c r="N427" s="22" t="s">
        <v>1746</v>
      </c>
      <c r="O427" s="4">
        <v>9110045</v>
      </c>
      <c r="P427" s="22">
        <v>1020</v>
      </c>
      <c r="Q427" s="22">
        <v>42</v>
      </c>
      <c r="R427" s="22">
        <v>0</v>
      </c>
      <c r="S427" s="102" t="s">
        <v>1988</v>
      </c>
      <c r="T427" s="104" t="s">
        <v>404</v>
      </c>
      <c r="U427" s="105">
        <v>40514</v>
      </c>
      <c r="V427" s="104" t="s">
        <v>404</v>
      </c>
      <c r="W427" s="105">
        <v>40634</v>
      </c>
      <c r="X427" s="74"/>
      <c r="Y427" s="28"/>
      <c r="Z427" s="9"/>
      <c r="AA427" s="24" t="s">
        <v>393</v>
      </c>
      <c r="AB427" s="28">
        <v>40572</v>
      </c>
      <c r="AC427" s="69"/>
    </row>
    <row r="428" spans="1:29" ht="14.25" customHeight="1" x14ac:dyDescent="0.4">
      <c r="A428" s="4"/>
      <c r="B428" s="32">
        <v>40661</v>
      </c>
      <c r="C428" s="32">
        <v>40661</v>
      </c>
      <c r="D428" s="32">
        <v>40661</v>
      </c>
      <c r="E428" s="32">
        <v>40661</v>
      </c>
      <c r="F428" s="24" t="s">
        <v>393</v>
      </c>
      <c r="G428" s="24">
        <v>40669</v>
      </c>
      <c r="H428" s="134">
        <v>326</v>
      </c>
      <c r="I428" s="23" t="s">
        <v>2002</v>
      </c>
      <c r="J428" s="37">
        <v>59</v>
      </c>
      <c r="K428" s="24" t="s">
        <v>410</v>
      </c>
      <c r="L428" s="24">
        <v>0</v>
      </c>
      <c r="M428" s="32">
        <v>40472</v>
      </c>
      <c r="N428" s="22" t="s">
        <v>1746</v>
      </c>
      <c r="O428" s="4">
        <v>9110387</v>
      </c>
      <c r="P428" s="22">
        <v>1020</v>
      </c>
      <c r="Q428" s="22">
        <v>42</v>
      </c>
      <c r="R428" s="22">
        <v>0</v>
      </c>
      <c r="S428" s="4" t="s">
        <v>213</v>
      </c>
      <c r="T428" s="104" t="s">
        <v>404</v>
      </c>
      <c r="U428" s="105">
        <v>40675</v>
      </c>
      <c r="V428" s="104" t="s">
        <v>404</v>
      </c>
      <c r="W428" s="9">
        <v>40703</v>
      </c>
      <c r="X428" s="74">
        <v>0</v>
      </c>
      <c r="Y428" s="28"/>
      <c r="Z428" s="9"/>
      <c r="AA428" s="24" t="s">
        <v>393</v>
      </c>
      <c r="AB428" s="28">
        <v>40669</v>
      </c>
      <c r="AC428" s="69"/>
    </row>
    <row r="429" spans="1:29" ht="14.25" customHeight="1" x14ac:dyDescent="0.4">
      <c r="B429" s="32">
        <v>40661</v>
      </c>
      <c r="C429" s="32">
        <v>40661</v>
      </c>
      <c r="D429" s="32">
        <v>40661</v>
      </c>
      <c r="E429" s="32">
        <v>40661</v>
      </c>
      <c r="F429" s="24" t="s">
        <v>393</v>
      </c>
      <c r="G429" s="24">
        <v>40683</v>
      </c>
      <c r="H429" s="134">
        <v>327</v>
      </c>
      <c r="I429" s="23" t="s">
        <v>2002</v>
      </c>
      <c r="J429" s="37">
        <v>60</v>
      </c>
      <c r="K429" s="24" t="s">
        <v>410</v>
      </c>
      <c r="L429" s="24">
        <v>0</v>
      </c>
      <c r="M429" s="32">
        <v>40472</v>
      </c>
      <c r="N429" s="22" t="s">
        <v>1746</v>
      </c>
      <c r="O429" s="4">
        <v>9110388</v>
      </c>
      <c r="P429" s="22">
        <v>1020</v>
      </c>
      <c r="Q429" s="22">
        <v>42</v>
      </c>
      <c r="R429" s="22">
        <v>0</v>
      </c>
      <c r="S429" s="38" t="s">
        <v>212</v>
      </c>
      <c r="T429" s="38" t="s">
        <v>404</v>
      </c>
      <c r="U429" s="105">
        <v>40674</v>
      </c>
      <c r="V429" s="38" t="s">
        <v>404</v>
      </c>
      <c r="W429" s="57">
        <v>40703</v>
      </c>
      <c r="X429" s="74"/>
      <c r="Y429" s="28"/>
      <c r="AA429" s="24" t="s">
        <v>393</v>
      </c>
      <c r="AB429" s="28">
        <v>40683</v>
      </c>
      <c r="AC429" s="69"/>
    </row>
    <row r="430" spans="1:29" ht="14.25" customHeight="1" x14ac:dyDescent="0.4">
      <c r="A430" s="4"/>
      <c r="B430" s="32">
        <v>40711</v>
      </c>
      <c r="C430" s="32">
        <v>40711</v>
      </c>
      <c r="D430" s="32">
        <v>40711</v>
      </c>
      <c r="E430" s="32">
        <v>40711</v>
      </c>
      <c r="F430" s="24" t="s">
        <v>393</v>
      </c>
      <c r="G430" s="24">
        <v>40715</v>
      </c>
      <c r="H430" s="134">
        <v>405</v>
      </c>
      <c r="I430" s="23" t="s">
        <v>2004</v>
      </c>
      <c r="J430" s="37">
        <v>19</v>
      </c>
      <c r="K430" s="24" t="s">
        <v>410</v>
      </c>
      <c r="L430" s="24">
        <v>0</v>
      </c>
      <c r="M430" s="32">
        <v>40472</v>
      </c>
      <c r="N430" s="22" t="s">
        <v>1746</v>
      </c>
      <c r="O430" s="4">
        <v>9110389</v>
      </c>
      <c r="P430" s="22">
        <v>1020</v>
      </c>
      <c r="Q430" s="22">
        <v>50</v>
      </c>
      <c r="R430" s="22">
        <v>0</v>
      </c>
      <c r="S430" s="4"/>
      <c r="T430" s="38" t="s">
        <v>404</v>
      </c>
      <c r="U430" s="105">
        <v>40639</v>
      </c>
      <c r="V430" s="38" t="s">
        <v>404</v>
      </c>
      <c r="W430" s="9">
        <v>40699</v>
      </c>
      <c r="X430" s="74"/>
      <c r="Y430" s="28"/>
      <c r="Z430" s="9"/>
      <c r="AA430" s="24" t="s">
        <v>393</v>
      </c>
      <c r="AB430" s="28">
        <v>40715</v>
      </c>
      <c r="AC430" s="69"/>
    </row>
    <row r="431" spans="1:29" ht="14.25" customHeight="1" x14ac:dyDescent="0.4">
      <c r="B431" s="32">
        <v>40723</v>
      </c>
      <c r="C431" s="32">
        <v>40723</v>
      </c>
      <c r="D431" s="32">
        <v>40723</v>
      </c>
      <c r="E431" s="32">
        <v>40723</v>
      </c>
      <c r="F431" s="24" t="s">
        <v>393</v>
      </c>
      <c r="G431" s="24">
        <v>40729</v>
      </c>
      <c r="H431" s="134">
        <v>417</v>
      </c>
      <c r="I431" s="23" t="s">
        <v>2004</v>
      </c>
      <c r="J431" s="37">
        <v>31</v>
      </c>
      <c r="K431" s="24" t="s">
        <v>410</v>
      </c>
      <c r="L431" s="24">
        <v>0</v>
      </c>
      <c r="M431" s="32">
        <v>40472</v>
      </c>
      <c r="N431" s="22" t="s">
        <v>1746</v>
      </c>
      <c r="O431" s="4">
        <v>9110390</v>
      </c>
      <c r="P431" s="22">
        <v>1020</v>
      </c>
      <c r="Q431" s="22">
        <v>50</v>
      </c>
      <c r="R431" s="22" t="s">
        <v>2992</v>
      </c>
      <c r="S431" s="4" t="s">
        <v>214</v>
      </c>
      <c r="T431" s="38" t="s">
        <v>404</v>
      </c>
      <c r="U431" s="105">
        <v>40672</v>
      </c>
      <c r="V431" s="38" t="s">
        <v>404</v>
      </c>
      <c r="W431" s="9">
        <v>40785</v>
      </c>
      <c r="X431" s="74"/>
      <c r="Y431" s="28"/>
      <c r="Z431" s="9"/>
      <c r="AA431" s="24" t="s">
        <v>393</v>
      </c>
      <c r="AB431" s="28">
        <v>40729</v>
      </c>
      <c r="AC431" s="69"/>
    </row>
    <row r="432" spans="1:29" ht="14.25" customHeight="1" x14ac:dyDescent="0.4">
      <c r="B432" s="32"/>
      <c r="C432" s="32"/>
      <c r="D432" s="32"/>
      <c r="E432" s="32"/>
      <c r="F432" s="24"/>
      <c r="G432" s="24"/>
      <c r="H432" s="134"/>
      <c r="I432" s="23"/>
      <c r="J432" s="37"/>
      <c r="K432" s="24"/>
      <c r="L432" s="24"/>
      <c r="M432" s="32"/>
      <c r="N432" s="22"/>
      <c r="O432" s="4"/>
      <c r="P432" s="22"/>
      <c r="Q432" s="22"/>
      <c r="R432" s="22"/>
      <c r="Y432" s="28"/>
      <c r="AA432" s="24"/>
      <c r="AB432" s="28"/>
    </row>
    <row r="433" spans="2:28" ht="14.25" customHeight="1" x14ac:dyDescent="0.4">
      <c r="B433" s="32"/>
      <c r="C433" s="32"/>
      <c r="D433" s="32"/>
      <c r="E433" s="32"/>
      <c r="F433" s="24"/>
      <c r="G433" s="24"/>
      <c r="H433" s="35"/>
      <c r="I433" s="23"/>
      <c r="J433" s="37"/>
      <c r="K433" s="24"/>
      <c r="L433" s="24"/>
      <c r="M433" s="32"/>
      <c r="N433" s="22"/>
      <c r="O433" s="4"/>
      <c r="P433" s="22"/>
      <c r="Q433" s="22"/>
      <c r="R433" s="22"/>
      <c r="Y433" s="28"/>
      <c r="AA433" s="24"/>
      <c r="AB433" s="28"/>
    </row>
    <row r="434" spans="2:28" ht="14.25" customHeight="1" x14ac:dyDescent="0.4">
      <c r="B434" s="32"/>
      <c r="C434" s="32"/>
      <c r="D434" s="32"/>
      <c r="E434" s="32"/>
      <c r="F434" s="24"/>
      <c r="G434" s="24"/>
      <c r="H434" s="35"/>
      <c r="I434" s="23"/>
      <c r="J434" s="37"/>
      <c r="K434" s="24"/>
      <c r="L434" s="24"/>
      <c r="M434" s="32"/>
      <c r="N434" s="22"/>
      <c r="O434" s="4"/>
      <c r="P434" s="22"/>
      <c r="Q434" s="22"/>
      <c r="R434" s="22"/>
      <c r="Y434" s="28"/>
      <c r="AA434" s="24"/>
      <c r="AB434" s="28"/>
    </row>
    <row r="435" spans="2:28" ht="14.25" customHeight="1" x14ac:dyDescent="0.4">
      <c r="B435" s="32"/>
      <c r="C435" s="32"/>
      <c r="D435" s="32"/>
      <c r="E435" s="32"/>
      <c r="F435" s="24"/>
      <c r="G435" s="24"/>
      <c r="H435" s="35"/>
      <c r="I435" s="23"/>
      <c r="J435" s="37"/>
      <c r="K435" s="24"/>
      <c r="L435" s="24"/>
      <c r="M435" s="32"/>
      <c r="N435" s="22"/>
      <c r="O435" s="4"/>
      <c r="P435" s="22"/>
      <c r="Q435" s="22"/>
      <c r="R435" s="22"/>
      <c r="Y435" s="28"/>
      <c r="AA435" s="24"/>
      <c r="AB435" s="28"/>
    </row>
    <row r="436" spans="2:28" ht="14.25" customHeight="1" x14ac:dyDescent="0.4">
      <c r="O436" s="4" t="s">
        <v>1765</v>
      </c>
      <c r="Y436" s="28" t="e">
        <v>#REF!</v>
      </c>
      <c r="AA436" s="24"/>
      <c r="AB436" s="28">
        <v>0</v>
      </c>
    </row>
    <row r="437" spans="2:28" ht="14.25" customHeight="1" x14ac:dyDescent="0.4">
      <c r="O437" s="4" t="s">
        <v>1766</v>
      </c>
      <c r="Y437" s="28" t="e">
        <v>#REF!</v>
      </c>
      <c r="AA437" s="24"/>
      <c r="AB437" s="28">
        <v>0</v>
      </c>
    </row>
    <row r="438" spans="2:28" ht="14.25" customHeight="1" x14ac:dyDescent="0.4">
      <c r="O438" s="4" t="s">
        <v>1767</v>
      </c>
      <c r="Y438" s="28" t="e">
        <v>#REF!</v>
      </c>
      <c r="AA438" s="24"/>
      <c r="AB438" s="28">
        <v>0</v>
      </c>
    </row>
    <row r="439" spans="2:28" ht="14.25" customHeight="1" x14ac:dyDescent="0.4">
      <c r="O439" s="4" t="s">
        <v>1768</v>
      </c>
      <c r="Y439" s="28" t="e">
        <v>#REF!</v>
      </c>
      <c r="AA439" s="24"/>
      <c r="AB439" s="28">
        <v>0</v>
      </c>
    </row>
    <row r="440" spans="2:28" ht="14.25" customHeight="1" x14ac:dyDescent="0.4">
      <c r="O440" s="4" t="s">
        <v>1769</v>
      </c>
      <c r="Y440" s="28" t="e">
        <v>#REF!</v>
      </c>
      <c r="AA440" s="24"/>
      <c r="AB440" s="28">
        <v>0</v>
      </c>
    </row>
    <row r="441" spans="2:28" ht="14.25" customHeight="1" x14ac:dyDescent="0.4">
      <c r="O441" s="4" t="s">
        <v>1770</v>
      </c>
      <c r="Y441" s="28" t="e">
        <v>#REF!</v>
      </c>
      <c r="AA441" s="24"/>
      <c r="AB441" s="28">
        <v>0</v>
      </c>
    </row>
    <row r="442" spans="2:28" ht="14.25" customHeight="1" x14ac:dyDescent="0.4">
      <c r="O442" s="4" t="s">
        <v>1771</v>
      </c>
      <c r="Y442" s="28" t="e">
        <v>#REF!</v>
      </c>
      <c r="AA442" s="24"/>
      <c r="AB442" s="28">
        <v>0</v>
      </c>
    </row>
    <row r="443" spans="2:28" ht="14.25" customHeight="1" x14ac:dyDescent="0.4">
      <c r="O443" s="4" t="s">
        <v>1772</v>
      </c>
      <c r="Y443" s="28" t="e">
        <v>#REF!</v>
      </c>
      <c r="AA443" s="24"/>
      <c r="AB443" s="28">
        <v>0</v>
      </c>
    </row>
    <row r="444" spans="2:28" ht="14.25" customHeight="1" x14ac:dyDescent="0.4">
      <c r="O444" s="4" t="s">
        <v>1773</v>
      </c>
      <c r="Y444" s="28" t="e">
        <v>#REF!</v>
      </c>
      <c r="AA444" s="24"/>
      <c r="AB444" s="28">
        <v>0</v>
      </c>
    </row>
    <row r="445" spans="2:28" ht="14.25" customHeight="1" x14ac:dyDescent="0.4">
      <c r="O445" s="4" t="s">
        <v>1775</v>
      </c>
      <c r="Y445" s="28" t="e">
        <v>#REF!</v>
      </c>
      <c r="AA445" s="24"/>
      <c r="AB445" s="28">
        <v>0</v>
      </c>
    </row>
    <row r="446" spans="2:28" ht="14.25" customHeight="1" x14ac:dyDescent="0.4">
      <c r="O446" s="4" t="s">
        <v>1776</v>
      </c>
      <c r="Y446" s="28" t="e">
        <v>#REF!</v>
      </c>
      <c r="AA446" s="24"/>
      <c r="AB446" s="28">
        <v>0</v>
      </c>
    </row>
    <row r="447" spans="2:28" ht="14.25" customHeight="1" x14ac:dyDescent="0.4">
      <c r="O447" s="4" t="s">
        <v>1778</v>
      </c>
      <c r="Y447" s="28" t="e">
        <v>#REF!</v>
      </c>
      <c r="AA447" s="24"/>
      <c r="AB447" s="28">
        <v>0</v>
      </c>
    </row>
    <row r="448" spans="2:28" ht="14.25" customHeight="1" x14ac:dyDescent="0.4">
      <c r="O448" s="4" t="s">
        <v>1779</v>
      </c>
      <c r="Y448" s="28" t="e">
        <v>#REF!</v>
      </c>
      <c r="AA448" s="24"/>
      <c r="AB448" s="28">
        <v>0</v>
      </c>
    </row>
    <row r="449" spans="15:28" ht="14.25" customHeight="1" x14ac:dyDescent="0.4">
      <c r="O449" s="4" t="s">
        <v>1780</v>
      </c>
      <c r="Y449" s="28" t="e">
        <v>#REF!</v>
      </c>
      <c r="AA449" s="24"/>
      <c r="AB449" s="28">
        <v>0</v>
      </c>
    </row>
    <row r="450" spans="15:28" ht="14.25" customHeight="1" x14ac:dyDescent="0.4">
      <c r="O450" s="4" t="s">
        <v>1781</v>
      </c>
      <c r="Y450" s="28" t="e">
        <v>#REF!</v>
      </c>
      <c r="AA450" s="24"/>
      <c r="AB450" s="28">
        <v>0</v>
      </c>
    </row>
    <row r="451" spans="15:28" ht="14.25" customHeight="1" x14ac:dyDescent="0.4">
      <c r="O451" s="4" t="s">
        <v>1782</v>
      </c>
      <c r="Y451" s="28" t="e">
        <v>#REF!</v>
      </c>
      <c r="AA451" s="24"/>
      <c r="AB451" s="28">
        <v>0</v>
      </c>
    </row>
    <row r="452" spans="15:28" ht="14.25" customHeight="1" x14ac:dyDescent="0.4">
      <c r="O452" s="4" t="s">
        <v>1783</v>
      </c>
      <c r="Y452" s="28" t="e">
        <v>#REF!</v>
      </c>
      <c r="AA452" s="24"/>
      <c r="AB452" s="28">
        <v>0</v>
      </c>
    </row>
    <row r="453" spans="15:28" ht="14.25" customHeight="1" x14ac:dyDescent="0.4">
      <c r="O453" s="4" t="s">
        <v>1784</v>
      </c>
      <c r="Y453" s="28" t="e">
        <v>#REF!</v>
      </c>
      <c r="AA453" s="24"/>
      <c r="AB453" s="28">
        <v>0</v>
      </c>
    </row>
    <row r="454" spans="15:28" ht="14.25" customHeight="1" x14ac:dyDescent="0.4">
      <c r="O454" s="4" t="s">
        <v>1785</v>
      </c>
      <c r="Y454" s="28" t="e">
        <v>#REF!</v>
      </c>
      <c r="AA454" s="24"/>
      <c r="AB454" s="28">
        <v>0</v>
      </c>
    </row>
    <row r="455" spans="15:28" ht="14.25" customHeight="1" x14ac:dyDescent="0.4">
      <c r="O455" s="4" t="s">
        <v>1786</v>
      </c>
      <c r="Y455" s="28" t="e">
        <v>#REF!</v>
      </c>
      <c r="AA455" s="24"/>
      <c r="AB455" s="28">
        <v>0</v>
      </c>
    </row>
    <row r="456" spans="15:28" ht="14.25" customHeight="1" x14ac:dyDescent="0.4">
      <c r="O456" s="4" t="s">
        <v>1787</v>
      </c>
      <c r="Y456" s="28" t="e">
        <v>#REF!</v>
      </c>
      <c r="AA456" s="24"/>
      <c r="AB456" s="28">
        <v>0</v>
      </c>
    </row>
    <row r="457" spans="15:28" ht="14.25" customHeight="1" x14ac:dyDescent="0.4">
      <c r="O457" s="4" t="s">
        <v>1788</v>
      </c>
      <c r="Y457" s="28" t="e">
        <v>#REF!</v>
      </c>
      <c r="AA457" s="24"/>
      <c r="AB457" s="28">
        <v>0</v>
      </c>
    </row>
    <row r="458" spans="15:28" ht="14.25" customHeight="1" x14ac:dyDescent="0.4">
      <c r="O458" s="4" t="s">
        <v>1789</v>
      </c>
      <c r="Y458" s="28" t="e">
        <v>#REF!</v>
      </c>
      <c r="AA458" s="24"/>
      <c r="AB458" s="28">
        <v>0</v>
      </c>
    </row>
    <row r="459" spans="15:28" ht="14.25" customHeight="1" x14ac:dyDescent="0.4">
      <c r="O459" s="4" t="s">
        <v>1790</v>
      </c>
      <c r="Y459" s="28" t="e">
        <v>#REF!</v>
      </c>
      <c r="AA459" s="24"/>
      <c r="AB459" s="28">
        <v>0</v>
      </c>
    </row>
    <row r="460" spans="15:28" ht="14.25" customHeight="1" x14ac:dyDescent="0.4">
      <c r="O460" s="4" t="s">
        <v>1791</v>
      </c>
      <c r="Y460" s="28" t="e">
        <v>#REF!</v>
      </c>
      <c r="AA460" s="24"/>
      <c r="AB460" s="28">
        <v>0</v>
      </c>
    </row>
    <row r="461" spans="15:28" ht="14.25" customHeight="1" x14ac:dyDescent="0.4">
      <c r="O461" s="4" t="s">
        <v>1792</v>
      </c>
      <c r="Y461" s="28" t="e">
        <v>#REF!</v>
      </c>
      <c r="AA461" s="24"/>
      <c r="AB461" s="28">
        <v>0</v>
      </c>
    </row>
    <row r="462" spans="15:28" ht="14.25" customHeight="1" x14ac:dyDescent="0.4">
      <c r="O462" s="4" t="s">
        <v>1793</v>
      </c>
      <c r="Y462" s="28" t="e">
        <v>#REF!</v>
      </c>
      <c r="AA462" s="24"/>
      <c r="AB462" s="28">
        <v>0</v>
      </c>
    </row>
    <row r="463" spans="15:28" ht="14.25" customHeight="1" x14ac:dyDescent="0.4">
      <c r="O463" s="4" t="s">
        <v>1794</v>
      </c>
      <c r="Y463" s="28" t="e">
        <v>#REF!</v>
      </c>
      <c r="AA463" s="24"/>
      <c r="AB463" s="28">
        <v>0</v>
      </c>
    </row>
    <row r="464" spans="15:28" ht="14.25" customHeight="1" x14ac:dyDescent="0.4">
      <c r="O464" s="4" t="s">
        <v>1795</v>
      </c>
      <c r="Y464" s="28" t="e">
        <v>#REF!</v>
      </c>
      <c r="AA464" s="24"/>
      <c r="AB464" s="28">
        <v>0</v>
      </c>
    </row>
    <row r="465" spans="1:34" ht="14.25" customHeight="1" x14ac:dyDescent="0.4">
      <c r="O465" s="4" t="s">
        <v>1796</v>
      </c>
      <c r="Y465" s="28" t="e">
        <v>#REF!</v>
      </c>
      <c r="AA465" s="24"/>
      <c r="AB465" s="28">
        <v>0</v>
      </c>
    </row>
    <row r="466" spans="1:34" ht="14.25" customHeight="1" x14ac:dyDescent="0.4">
      <c r="O466" s="4" t="s">
        <v>1797</v>
      </c>
      <c r="Y466" s="28" t="e">
        <v>#REF!</v>
      </c>
      <c r="AA466" s="24"/>
      <c r="AB466" s="28">
        <v>0</v>
      </c>
    </row>
    <row r="467" spans="1:34" ht="14.25" customHeight="1" x14ac:dyDescent="0.4">
      <c r="O467" s="4"/>
      <c r="Y467" s="28" t="e">
        <v>#REF!</v>
      </c>
      <c r="AA467" s="24"/>
    </row>
    <row r="468" spans="1:34" s="69" customFormat="1" ht="14.25" customHeight="1" x14ac:dyDescent="0.4">
      <c r="A468" s="64"/>
      <c r="J468" s="100"/>
      <c r="K468" s="100"/>
      <c r="L468" s="100"/>
      <c r="M468" s="100"/>
      <c r="O468" s="11"/>
      <c r="T468" s="64"/>
      <c r="U468" s="64"/>
      <c r="X468" s="101"/>
      <c r="Y468" s="28" t="e">
        <v>#REF!</v>
      </c>
      <c r="AA468" s="66"/>
      <c r="AH468" s="64"/>
    </row>
    <row r="469" spans="1:34" ht="14.25" customHeight="1" x14ac:dyDescent="0.4">
      <c r="O469" s="4"/>
      <c r="Y469" s="28" t="e">
        <v>#REF!</v>
      </c>
      <c r="AA469" s="24"/>
    </row>
    <row r="470" spans="1:34" ht="14.25" customHeight="1" x14ac:dyDescent="0.4">
      <c r="O470" s="4"/>
      <c r="Y470" s="28" t="e">
        <v>#REF!</v>
      </c>
      <c r="AA470" s="24"/>
    </row>
    <row r="471" spans="1:34" ht="14.25" customHeight="1" x14ac:dyDescent="0.4">
      <c r="O471" s="4"/>
      <c r="Y471" s="28" t="e">
        <v>#REF!</v>
      </c>
      <c r="AA471" s="24"/>
    </row>
    <row r="472" spans="1:34" ht="14.25" customHeight="1" x14ac:dyDescent="0.4">
      <c r="O472" s="4"/>
      <c r="AA472" s="24"/>
    </row>
    <row r="473" spans="1:34" ht="14.25" customHeight="1" x14ac:dyDescent="0.4">
      <c r="O473" s="4"/>
      <c r="AA473" s="24"/>
    </row>
    <row r="474" spans="1:34" ht="14.25" customHeight="1" x14ac:dyDescent="0.4">
      <c r="O474" s="4"/>
      <c r="AA474" s="24"/>
    </row>
    <row r="475" spans="1:34" ht="14.25" customHeight="1" x14ac:dyDescent="0.4">
      <c r="O475" s="4"/>
      <c r="AA475" s="24"/>
    </row>
    <row r="476" spans="1:34" ht="14.25" customHeight="1" x14ac:dyDescent="0.4">
      <c r="O476" s="4"/>
      <c r="AA476" s="24"/>
    </row>
    <row r="477" spans="1:34" ht="14.25" customHeight="1" x14ac:dyDescent="0.4">
      <c r="O477" s="4"/>
      <c r="AA477" s="24"/>
    </row>
    <row r="478" spans="1:34" ht="14.25" customHeight="1" x14ac:dyDescent="0.4">
      <c r="O478" s="4"/>
      <c r="AA478" s="24"/>
    </row>
    <row r="479" spans="1:34" ht="14.25" customHeight="1" x14ac:dyDescent="0.4">
      <c r="O479" s="4"/>
      <c r="AA479" s="24"/>
    </row>
    <row r="480" spans="1:34" ht="14.25" customHeight="1" x14ac:dyDescent="0.4">
      <c r="O480" s="4"/>
      <c r="AA480" s="24"/>
    </row>
    <row r="481" spans="15:27" ht="14.25" customHeight="1" x14ac:dyDescent="0.4">
      <c r="O481" s="4"/>
      <c r="AA481" s="24"/>
    </row>
    <row r="482" spans="15:27" ht="14.25" customHeight="1" x14ac:dyDescent="0.4">
      <c r="O482" s="4"/>
      <c r="AA482" s="24"/>
    </row>
    <row r="483" spans="15:27" ht="14.25" customHeight="1" x14ac:dyDescent="0.4">
      <c r="O483" s="4"/>
      <c r="AA483" s="24"/>
    </row>
    <row r="484" spans="15:27" ht="14.25" customHeight="1" x14ac:dyDescent="0.4">
      <c r="O484" s="4"/>
      <c r="AA484" s="24"/>
    </row>
    <row r="485" spans="15:27" ht="14.25" customHeight="1" x14ac:dyDescent="0.4">
      <c r="O485" s="4"/>
      <c r="AA485" s="24"/>
    </row>
    <row r="486" spans="15:27" ht="14.25" customHeight="1" x14ac:dyDescent="0.4">
      <c r="O486" s="4"/>
      <c r="AA486" s="24"/>
    </row>
    <row r="487" spans="15:27" ht="14.25" customHeight="1" x14ac:dyDescent="0.4">
      <c r="O487" s="4"/>
      <c r="AA487" s="24"/>
    </row>
    <row r="488" spans="15:27" ht="14.25" customHeight="1" x14ac:dyDescent="0.4">
      <c r="O488" s="4"/>
      <c r="AA488" s="24"/>
    </row>
    <row r="489" spans="15:27" ht="14.25" customHeight="1" x14ac:dyDescent="0.4">
      <c r="O489" s="4"/>
      <c r="AA489" s="24"/>
    </row>
    <row r="490" spans="15:27" ht="14.25" customHeight="1" x14ac:dyDescent="0.4">
      <c r="O490" s="4"/>
      <c r="AA490" s="24"/>
    </row>
    <row r="491" spans="15:27" ht="14.25" customHeight="1" x14ac:dyDescent="0.4">
      <c r="O491" s="4"/>
      <c r="AA491" s="24"/>
    </row>
    <row r="492" spans="15:27" ht="14.25" customHeight="1" x14ac:dyDescent="0.4">
      <c r="O492" s="4"/>
      <c r="AA492" s="24"/>
    </row>
    <row r="493" spans="15:27" ht="14.25" customHeight="1" x14ac:dyDescent="0.4">
      <c r="O493" s="4"/>
      <c r="AA493" s="24"/>
    </row>
    <row r="494" spans="15:27" ht="14.25" customHeight="1" x14ac:dyDescent="0.4">
      <c r="O494" s="4"/>
      <c r="AA494" s="24"/>
    </row>
    <row r="495" spans="15:27" ht="14.25" customHeight="1" x14ac:dyDescent="0.4">
      <c r="O495" s="4"/>
      <c r="AA495" s="24"/>
    </row>
    <row r="496" spans="15:27" ht="14.25" customHeight="1" x14ac:dyDescent="0.4">
      <c r="O496" s="4"/>
      <c r="AA496" s="24"/>
    </row>
    <row r="497" spans="15:27" ht="14.25" customHeight="1" x14ac:dyDescent="0.4">
      <c r="O497" s="4"/>
      <c r="AA497" s="24"/>
    </row>
    <row r="498" spans="15:27" ht="14.25" customHeight="1" x14ac:dyDescent="0.4">
      <c r="O498" s="4"/>
      <c r="AA498" s="24"/>
    </row>
    <row r="499" spans="15:27" ht="14.25" customHeight="1" x14ac:dyDescent="0.4">
      <c r="O499" s="4"/>
      <c r="AA499" s="24"/>
    </row>
    <row r="500" spans="15:27" ht="14.25" customHeight="1" x14ac:dyDescent="0.4">
      <c r="O500" s="4"/>
      <c r="AA500" s="24"/>
    </row>
    <row r="501" spans="15:27" ht="14.25" customHeight="1" x14ac:dyDescent="0.4">
      <c r="O501" s="4"/>
      <c r="AA501" s="24"/>
    </row>
    <row r="502" spans="15:27" ht="14.25" customHeight="1" x14ac:dyDescent="0.4">
      <c r="O502" s="4"/>
      <c r="AA502" s="24"/>
    </row>
    <row r="503" spans="15:27" ht="14.25" customHeight="1" x14ac:dyDescent="0.4">
      <c r="O503" s="4"/>
      <c r="AA503" s="24"/>
    </row>
    <row r="504" spans="15:27" ht="14.25" customHeight="1" x14ac:dyDescent="0.4">
      <c r="O504" s="4"/>
      <c r="AA504" s="24"/>
    </row>
    <row r="505" spans="15:27" ht="14.25" customHeight="1" x14ac:dyDescent="0.4">
      <c r="O505" s="4"/>
      <c r="AA505" s="24"/>
    </row>
    <row r="506" spans="15:27" ht="14.25" customHeight="1" x14ac:dyDescent="0.4">
      <c r="O506" s="4"/>
      <c r="AA506" s="24"/>
    </row>
    <row r="507" spans="15:27" ht="14.25" customHeight="1" x14ac:dyDescent="0.4">
      <c r="O507" s="4"/>
      <c r="AA507" s="24"/>
    </row>
    <row r="508" spans="15:27" ht="14.25" customHeight="1" x14ac:dyDescent="0.4">
      <c r="O508" s="4"/>
      <c r="AA508" s="24"/>
    </row>
    <row r="509" spans="15:27" ht="14.25" customHeight="1" x14ac:dyDescent="0.4">
      <c r="O509" s="4"/>
      <c r="AA509" s="24"/>
    </row>
    <row r="510" spans="15:27" ht="14.25" customHeight="1" x14ac:dyDescent="0.4">
      <c r="O510" s="4"/>
      <c r="AA510" s="24"/>
    </row>
    <row r="511" spans="15:27" ht="14.25" customHeight="1" x14ac:dyDescent="0.4">
      <c r="O511" s="4"/>
      <c r="AA511" s="24"/>
    </row>
    <row r="512" spans="15:27" ht="14.25" customHeight="1" x14ac:dyDescent="0.4">
      <c r="O512" s="4"/>
      <c r="AA512" s="24"/>
    </row>
    <row r="513" spans="15:27" ht="14.25" customHeight="1" x14ac:dyDescent="0.4">
      <c r="O513" s="4"/>
      <c r="AA513" s="24"/>
    </row>
    <row r="514" spans="15:27" ht="14.25" customHeight="1" x14ac:dyDescent="0.4">
      <c r="O514" s="4"/>
      <c r="AA514" s="24"/>
    </row>
    <row r="515" spans="15:27" ht="14.25" customHeight="1" x14ac:dyDescent="0.4">
      <c r="O515" s="4"/>
      <c r="AA515" s="24"/>
    </row>
    <row r="516" spans="15:27" ht="14.25" customHeight="1" x14ac:dyDescent="0.4">
      <c r="O516" s="4"/>
      <c r="AA516" s="24"/>
    </row>
    <row r="517" spans="15:27" ht="14.25" customHeight="1" x14ac:dyDescent="0.4">
      <c r="O517" s="4"/>
      <c r="AA517" s="24"/>
    </row>
    <row r="518" spans="15:27" ht="14.25" customHeight="1" x14ac:dyDescent="0.4">
      <c r="O518" s="4"/>
      <c r="AA518" s="24"/>
    </row>
    <row r="519" spans="15:27" ht="14.25" customHeight="1" x14ac:dyDescent="0.4">
      <c r="O519" s="4"/>
      <c r="AA519" s="24"/>
    </row>
    <row r="520" spans="15:27" ht="14.25" customHeight="1" x14ac:dyDescent="0.4">
      <c r="O520" s="4"/>
      <c r="AA520" s="24"/>
    </row>
    <row r="521" spans="15:27" ht="14.25" customHeight="1" x14ac:dyDescent="0.4">
      <c r="O521" s="4"/>
      <c r="AA521" s="24"/>
    </row>
    <row r="522" spans="15:27" ht="14.25" customHeight="1" x14ac:dyDescent="0.4">
      <c r="O522" s="4"/>
      <c r="AA522" s="24"/>
    </row>
    <row r="523" spans="15:27" ht="14.25" customHeight="1" x14ac:dyDescent="0.4">
      <c r="O523" s="4"/>
      <c r="AA523" s="24"/>
    </row>
    <row r="524" spans="15:27" ht="14.25" customHeight="1" x14ac:dyDescent="0.4">
      <c r="O524" s="4"/>
      <c r="AA524" s="24"/>
    </row>
    <row r="525" spans="15:27" ht="14.25" customHeight="1" x14ac:dyDescent="0.4">
      <c r="O525" s="4"/>
      <c r="AA525" s="24"/>
    </row>
    <row r="526" spans="15:27" ht="14.25" customHeight="1" x14ac:dyDescent="0.4">
      <c r="O526" s="4"/>
      <c r="AA526" s="24"/>
    </row>
    <row r="527" spans="15:27" ht="14.25" customHeight="1" x14ac:dyDescent="0.4">
      <c r="O527" s="4"/>
      <c r="AA527" s="24"/>
    </row>
    <row r="528" spans="15:27" ht="14.25" customHeight="1" x14ac:dyDescent="0.4">
      <c r="O528" s="4"/>
      <c r="AA528" s="24"/>
    </row>
    <row r="529" spans="15:27" ht="14.25" customHeight="1" x14ac:dyDescent="0.4">
      <c r="O529" s="4"/>
      <c r="AA529" s="24"/>
    </row>
    <row r="530" spans="15:27" ht="14.25" customHeight="1" x14ac:dyDescent="0.4">
      <c r="O530" s="4"/>
      <c r="AA530" s="24"/>
    </row>
    <row r="531" spans="15:27" ht="14.25" customHeight="1" x14ac:dyDescent="0.4">
      <c r="O531" s="4"/>
      <c r="AA531" s="24"/>
    </row>
    <row r="532" spans="15:27" ht="14.25" customHeight="1" x14ac:dyDescent="0.4">
      <c r="O532" s="4"/>
      <c r="AA532" s="24"/>
    </row>
    <row r="533" spans="15:27" ht="14.25" customHeight="1" x14ac:dyDescent="0.4">
      <c r="O533" s="4"/>
      <c r="AA533" s="24"/>
    </row>
    <row r="534" spans="15:27" ht="14.25" customHeight="1" x14ac:dyDescent="0.4">
      <c r="O534" s="4"/>
      <c r="AA534" s="24"/>
    </row>
    <row r="535" spans="15:27" ht="14.25" customHeight="1" x14ac:dyDescent="0.4">
      <c r="O535" s="4"/>
      <c r="AA535" s="24"/>
    </row>
    <row r="536" spans="15:27" ht="14.25" customHeight="1" x14ac:dyDescent="0.4">
      <c r="O536" s="4"/>
      <c r="AA536" s="24"/>
    </row>
    <row r="537" spans="15:27" ht="14.25" customHeight="1" x14ac:dyDescent="0.4">
      <c r="O537" s="4"/>
      <c r="AA537" s="24"/>
    </row>
    <row r="538" spans="15:27" ht="14.25" customHeight="1" x14ac:dyDescent="0.4">
      <c r="O538" s="4"/>
      <c r="AA538" s="24"/>
    </row>
    <row r="539" spans="15:27" ht="14.25" customHeight="1" x14ac:dyDescent="0.4">
      <c r="O539" s="4"/>
      <c r="AA539" s="24"/>
    </row>
    <row r="540" spans="15:27" ht="14.25" customHeight="1" x14ac:dyDescent="0.4">
      <c r="O540" s="4"/>
      <c r="AA540" s="24"/>
    </row>
    <row r="541" spans="15:27" ht="14.25" customHeight="1" x14ac:dyDescent="0.4">
      <c r="O541" s="4"/>
      <c r="AA541" s="24"/>
    </row>
    <row r="542" spans="15:27" ht="14.25" customHeight="1" x14ac:dyDescent="0.4">
      <c r="O542" s="4"/>
      <c r="AA542" s="24"/>
    </row>
    <row r="543" spans="15:27" ht="14.25" customHeight="1" x14ac:dyDescent="0.4">
      <c r="O543" s="4"/>
      <c r="AA543" s="24"/>
    </row>
    <row r="544" spans="15:27" ht="14.25" customHeight="1" x14ac:dyDescent="0.4">
      <c r="O544" s="4"/>
      <c r="AA544" s="24"/>
    </row>
    <row r="545" spans="15:27" ht="14.25" customHeight="1" x14ac:dyDescent="0.4">
      <c r="O545" s="4"/>
      <c r="AA545" s="24"/>
    </row>
    <row r="546" spans="15:27" ht="14.25" customHeight="1" x14ac:dyDescent="0.4">
      <c r="O546" s="4"/>
      <c r="AA546" s="24"/>
    </row>
    <row r="547" spans="15:27" ht="14.25" customHeight="1" x14ac:dyDescent="0.4">
      <c r="O547" s="4"/>
      <c r="AA547" s="24"/>
    </row>
    <row r="548" spans="15:27" ht="14.25" customHeight="1" x14ac:dyDescent="0.4">
      <c r="O548" s="4"/>
      <c r="AA548" s="24"/>
    </row>
    <row r="549" spans="15:27" ht="14.25" customHeight="1" x14ac:dyDescent="0.4">
      <c r="O549" s="4"/>
      <c r="AA549" s="24"/>
    </row>
    <row r="550" spans="15:27" ht="14.25" customHeight="1" x14ac:dyDescent="0.4">
      <c r="O550" s="4"/>
      <c r="AA550" s="24"/>
    </row>
    <row r="551" spans="15:27" ht="14.25" customHeight="1" x14ac:dyDescent="0.4">
      <c r="O551" s="4"/>
      <c r="AA551" s="24"/>
    </row>
    <row r="552" spans="15:27" ht="14.25" customHeight="1" x14ac:dyDescent="0.4">
      <c r="O552" s="4"/>
      <c r="AA552" s="24"/>
    </row>
    <row r="553" spans="15:27" ht="14.25" customHeight="1" x14ac:dyDescent="0.4">
      <c r="O553" s="4"/>
      <c r="AA553" s="24"/>
    </row>
    <row r="554" spans="15:27" ht="14.25" customHeight="1" x14ac:dyDescent="0.4">
      <c r="O554" s="4"/>
      <c r="AA554" s="24"/>
    </row>
    <row r="555" spans="15:27" ht="14.25" customHeight="1" x14ac:dyDescent="0.4">
      <c r="O555" s="4"/>
      <c r="AA555" s="24"/>
    </row>
    <row r="556" spans="15:27" ht="14.25" customHeight="1" x14ac:dyDescent="0.4">
      <c r="O556" s="4"/>
      <c r="AA556" s="24"/>
    </row>
    <row r="557" spans="15:27" ht="14.25" customHeight="1" x14ac:dyDescent="0.4">
      <c r="O557" s="4"/>
      <c r="AA557" s="24"/>
    </row>
    <row r="558" spans="15:27" ht="14.25" customHeight="1" x14ac:dyDescent="0.4">
      <c r="O558" s="4"/>
      <c r="AA558" s="24"/>
    </row>
    <row r="559" spans="15:27" ht="14.25" customHeight="1" x14ac:dyDescent="0.4">
      <c r="O559" s="4"/>
      <c r="AA559" s="24"/>
    </row>
    <row r="560" spans="15:27" ht="14.25" customHeight="1" x14ac:dyDescent="0.4">
      <c r="O560" s="4"/>
      <c r="AA560" s="24"/>
    </row>
    <row r="561" spans="15:27" ht="14.25" customHeight="1" x14ac:dyDescent="0.4">
      <c r="O561" s="4"/>
      <c r="AA561" s="24"/>
    </row>
    <row r="562" spans="15:27" ht="14.25" customHeight="1" x14ac:dyDescent="0.4">
      <c r="O562" s="4"/>
      <c r="AA562" s="24"/>
    </row>
    <row r="563" spans="15:27" ht="14.25" customHeight="1" x14ac:dyDescent="0.4">
      <c r="O563" s="4"/>
      <c r="AA563" s="24"/>
    </row>
    <row r="564" spans="15:27" ht="14.25" customHeight="1" x14ac:dyDescent="0.4">
      <c r="O564" s="4"/>
    </row>
    <row r="565" spans="15:27" ht="14.25" customHeight="1" x14ac:dyDescent="0.4">
      <c r="O565" s="4"/>
    </row>
    <row r="566" spans="15:27" ht="14.25" customHeight="1" x14ac:dyDescent="0.4">
      <c r="O566" s="4"/>
    </row>
    <row r="567" spans="15:27" ht="14.25" customHeight="1" x14ac:dyDescent="0.4">
      <c r="O567" s="4"/>
    </row>
    <row r="568" spans="15:27" ht="14.25" customHeight="1" x14ac:dyDescent="0.4">
      <c r="O568" s="4"/>
    </row>
    <row r="569" spans="15:27" ht="14.25" customHeight="1" x14ac:dyDescent="0.4">
      <c r="O569" s="4"/>
    </row>
    <row r="570" spans="15:27" ht="14.25" customHeight="1" x14ac:dyDescent="0.4">
      <c r="O570" s="4"/>
    </row>
    <row r="571" spans="15:27" ht="14.25" customHeight="1" x14ac:dyDescent="0.4">
      <c r="O571" s="4"/>
    </row>
    <row r="572" spans="15:27" ht="14.25" customHeight="1" x14ac:dyDescent="0.4">
      <c r="O572" s="4"/>
    </row>
    <row r="573" spans="15:27" ht="14.25" customHeight="1" x14ac:dyDescent="0.4">
      <c r="O573" s="4"/>
    </row>
    <row r="574" spans="15:27" ht="14.25" customHeight="1" x14ac:dyDescent="0.4">
      <c r="O574" s="4"/>
    </row>
    <row r="575" spans="15:27" ht="14.25" customHeight="1" x14ac:dyDescent="0.4">
      <c r="O575" s="4"/>
    </row>
    <row r="576" spans="15:27" ht="14.25" customHeight="1" x14ac:dyDescent="0.4">
      <c r="O576" s="4"/>
    </row>
    <row r="577" spans="15:15" ht="14.25" customHeight="1" x14ac:dyDescent="0.4">
      <c r="O577" s="4"/>
    </row>
    <row r="578" spans="15:15" ht="14.25" customHeight="1" x14ac:dyDescent="0.4">
      <c r="O578" s="4"/>
    </row>
    <row r="579" spans="15:15" ht="14.25" customHeight="1" x14ac:dyDescent="0.4">
      <c r="O579" s="4"/>
    </row>
    <row r="580" spans="15:15" ht="14.25" customHeight="1" x14ac:dyDescent="0.4">
      <c r="O580" s="4"/>
    </row>
    <row r="581" spans="15:15" ht="14.25" customHeight="1" x14ac:dyDescent="0.4">
      <c r="O581" s="4"/>
    </row>
    <row r="582" spans="15:15" ht="14.25" customHeight="1" x14ac:dyDescent="0.4">
      <c r="O582" s="4"/>
    </row>
    <row r="583" spans="15:15" ht="14.25" customHeight="1" x14ac:dyDescent="0.4">
      <c r="O583" s="4"/>
    </row>
    <row r="584" spans="15:15" ht="14.25" customHeight="1" x14ac:dyDescent="0.4">
      <c r="O584" s="4"/>
    </row>
    <row r="585" spans="15:15" ht="14.25" customHeight="1" x14ac:dyDescent="0.4">
      <c r="O585" s="4"/>
    </row>
    <row r="586" spans="15:15" ht="14.25" customHeight="1" x14ac:dyDescent="0.4">
      <c r="O586" s="4"/>
    </row>
    <row r="587" spans="15:15" ht="14.25" customHeight="1" x14ac:dyDescent="0.4">
      <c r="O587" s="4"/>
    </row>
    <row r="588" spans="15:15" ht="14.25" customHeight="1" x14ac:dyDescent="0.4">
      <c r="O588" s="4"/>
    </row>
    <row r="589" spans="15:15" ht="14.25" customHeight="1" x14ac:dyDescent="0.4">
      <c r="O589" s="4"/>
    </row>
    <row r="590" spans="15:15" ht="14.25" customHeight="1" x14ac:dyDescent="0.4">
      <c r="O590" s="4"/>
    </row>
    <row r="591" spans="15:15" ht="14.25" customHeight="1" x14ac:dyDescent="0.4">
      <c r="O591" s="4"/>
    </row>
    <row r="592" spans="15:15" ht="14.25" customHeight="1" x14ac:dyDescent="0.4">
      <c r="O592" s="4"/>
    </row>
    <row r="593" spans="15:15" ht="14.25" customHeight="1" x14ac:dyDescent="0.4">
      <c r="O593" s="4"/>
    </row>
    <row r="594" spans="15:15" ht="14.25" customHeight="1" x14ac:dyDescent="0.4">
      <c r="O594" s="4"/>
    </row>
    <row r="595" spans="15:15" ht="14.25" customHeight="1" x14ac:dyDescent="0.4">
      <c r="O595" s="4"/>
    </row>
    <row r="596" spans="15:15" ht="14.25" customHeight="1" x14ac:dyDescent="0.4">
      <c r="O596" s="4"/>
    </row>
    <row r="597" spans="15:15" ht="14.25" customHeight="1" x14ac:dyDescent="0.4">
      <c r="O597" s="4"/>
    </row>
    <row r="598" spans="15:15" ht="14.25" customHeight="1" x14ac:dyDescent="0.4">
      <c r="O598" s="4"/>
    </row>
    <row r="599" spans="15:15" ht="14.25" customHeight="1" x14ac:dyDescent="0.4">
      <c r="O599" s="4"/>
    </row>
    <row r="600" spans="15:15" ht="14.25" customHeight="1" x14ac:dyDescent="0.4">
      <c r="O600" s="4"/>
    </row>
    <row r="601" spans="15:15" ht="14.25" customHeight="1" x14ac:dyDescent="0.4">
      <c r="O601" s="4"/>
    </row>
    <row r="602" spans="15:15" ht="14.25" customHeight="1" x14ac:dyDescent="0.4">
      <c r="O602" s="4"/>
    </row>
    <row r="603" spans="15:15" ht="14.25" customHeight="1" x14ac:dyDescent="0.4">
      <c r="O603" s="4"/>
    </row>
    <row r="604" spans="15:15" ht="14.25" customHeight="1" x14ac:dyDescent="0.4">
      <c r="O604" s="4"/>
    </row>
    <row r="605" spans="15:15" ht="14.25" customHeight="1" x14ac:dyDescent="0.4">
      <c r="O605" s="4"/>
    </row>
    <row r="606" spans="15:15" ht="14.25" customHeight="1" x14ac:dyDescent="0.4">
      <c r="O606" s="4"/>
    </row>
    <row r="607" spans="15:15" ht="14.25" customHeight="1" x14ac:dyDescent="0.4">
      <c r="O607" s="4"/>
    </row>
    <row r="608" spans="15:15" ht="14.25" customHeight="1" x14ac:dyDescent="0.4">
      <c r="O608" s="4"/>
    </row>
    <row r="609" spans="15:15" ht="14.25" customHeight="1" x14ac:dyDescent="0.4">
      <c r="O609" s="4"/>
    </row>
    <row r="610" spans="15:15" ht="14.25" customHeight="1" x14ac:dyDescent="0.4">
      <c r="O610" s="4"/>
    </row>
    <row r="611" spans="15:15" ht="14.25" customHeight="1" x14ac:dyDescent="0.4">
      <c r="O611" s="4"/>
    </row>
    <row r="612" spans="15:15" ht="14.25" customHeight="1" x14ac:dyDescent="0.4">
      <c r="O612" s="4"/>
    </row>
    <row r="613" spans="15:15" ht="14.25" customHeight="1" x14ac:dyDescent="0.4">
      <c r="O613" s="4"/>
    </row>
    <row r="614" spans="15:15" ht="14.25" customHeight="1" x14ac:dyDescent="0.4">
      <c r="O614" s="4"/>
    </row>
    <row r="615" spans="15:15" ht="14.25" customHeight="1" x14ac:dyDescent="0.4">
      <c r="O615" s="4"/>
    </row>
    <row r="616" spans="15:15" ht="14.25" customHeight="1" x14ac:dyDescent="0.4">
      <c r="O616" s="4"/>
    </row>
    <row r="617" spans="15:15" ht="14.25" customHeight="1" x14ac:dyDescent="0.4">
      <c r="O617" s="4"/>
    </row>
    <row r="618" spans="15:15" ht="14.25" customHeight="1" x14ac:dyDescent="0.4">
      <c r="O618" s="4"/>
    </row>
    <row r="619" spans="15:15" ht="14.25" customHeight="1" x14ac:dyDescent="0.4">
      <c r="O619" s="4"/>
    </row>
    <row r="620" spans="15:15" ht="14.25" customHeight="1" x14ac:dyDescent="0.4">
      <c r="O620" s="4"/>
    </row>
    <row r="621" spans="15:15" ht="14.25" customHeight="1" x14ac:dyDescent="0.4">
      <c r="O621" s="4"/>
    </row>
    <row r="622" spans="15:15" ht="14.25" customHeight="1" x14ac:dyDescent="0.4">
      <c r="O622" s="4"/>
    </row>
    <row r="623" spans="15:15" ht="14.25" customHeight="1" x14ac:dyDescent="0.4">
      <c r="O623" s="4"/>
    </row>
    <row r="624" spans="15:15" ht="14.25" customHeight="1" x14ac:dyDescent="0.4">
      <c r="O624" s="4"/>
    </row>
    <row r="625" spans="15:15" ht="14.25" customHeight="1" x14ac:dyDescent="0.4">
      <c r="O625" s="4"/>
    </row>
    <row r="626" spans="15:15" ht="14.25" customHeight="1" x14ac:dyDescent="0.4">
      <c r="O626" s="4"/>
    </row>
    <row r="627" spans="15:15" ht="14.25" customHeight="1" x14ac:dyDescent="0.4">
      <c r="O627" s="4"/>
    </row>
    <row r="628" spans="15:15" ht="14.25" customHeight="1" x14ac:dyDescent="0.4">
      <c r="O628" s="4"/>
    </row>
    <row r="629" spans="15:15" ht="14.25" customHeight="1" x14ac:dyDescent="0.4">
      <c r="O629" s="4"/>
    </row>
    <row r="630" spans="15:15" ht="14.25" customHeight="1" x14ac:dyDescent="0.4">
      <c r="O630" s="4"/>
    </row>
    <row r="631" spans="15:15" ht="14.25" customHeight="1" x14ac:dyDescent="0.4">
      <c r="O631" s="4"/>
    </row>
    <row r="632" spans="15:15" ht="14.25" customHeight="1" x14ac:dyDescent="0.4">
      <c r="O632" s="4"/>
    </row>
    <row r="633" spans="15:15" ht="14.25" customHeight="1" x14ac:dyDescent="0.4">
      <c r="O633" s="4"/>
    </row>
    <row r="634" spans="15:15" ht="14.25" customHeight="1" x14ac:dyDescent="0.4">
      <c r="O634" s="4"/>
    </row>
    <row r="635" spans="15:15" ht="14.25" customHeight="1" x14ac:dyDescent="0.4">
      <c r="O635" s="4"/>
    </row>
    <row r="636" spans="15:15" ht="14.25" customHeight="1" x14ac:dyDescent="0.4">
      <c r="O636" s="4"/>
    </row>
    <row r="637" spans="15:15" ht="14.25" customHeight="1" x14ac:dyDescent="0.4">
      <c r="O637" s="4"/>
    </row>
    <row r="638" spans="15:15" ht="14.25" customHeight="1" x14ac:dyDescent="0.4">
      <c r="O638" s="4"/>
    </row>
    <row r="639" spans="15:15" ht="14.25" customHeight="1" x14ac:dyDescent="0.4">
      <c r="O639" s="4"/>
    </row>
    <row r="640" spans="15:15" ht="14.25" customHeight="1" x14ac:dyDescent="0.4">
      <c r="O640" s="4"/>
    </row>
    <row r="641" spans="15:15" ht="14.25" customHeight="1" x14ac:dyDescent="0.4">
      <c r="O641" s="4"/>
    </row>
    <row r="642" spans="15:15" ht="14.25" customHeight="1" x14ac:dyDescent="0.4">
      <c r="O642" s="4"/>
    </row>
    <row r="643" spans="15:15" ht="14.25" customHeight="1" x14ac:dyDescent="0.4">
      <c r="O643" s="4"/>
    </row>
    <row r="644" spans="15:15" ht="14.25" customHeight="1" x14ac:dyDescent="0.4">
      <c r="O644" s="4"/>
    </row>
    <row r="645" spans="15:15" ht="14.25" customHeight="1" x14ac:dyDescent="0.4">
      <c r="O645" s="4"/>
    </row>
    <row r="646" spans="15:15" ht="14.25" customHeight="1" x14ac:dyDescent="0.4">
      <c r="O646" s="4"/>
    </row>
    <row r="647" spans="15:15" ht="14.25" customHeight="1" x14ac:dyDescent="0.4">
      <c r="O647" s="4"/>
    </row>
    <row r="648" spans="15:15" ht="14.25" customHeight="1" x14ac:dyDescent="0.4">
      <c r="O648" s="4"/>
    </row>
    <row r="649" spans="15:15" ht="14.25" customHeight="1" x14ac:dyDescent="0.4">
      <c r="O649" s="4"/>
    </row>
    <row r="650" spans="15:15" ht="14.25" customHeight="1" x14ac:dyDescent="0.4">
      <c r="O650" s="4"/>
    </row>
    <row r="651" spans="15:15" ht="14.25" customHeight="1" x14ac:dyDescent="0.4">
      <c r="O651" s="4"/>
    </row>
    <row r="652" spans="15:15" ht="14.25" customHeight="1" x14ac:dyDescent="0.4">
      <c r="O652" s="4"/>
    </row>
    <row r="653" spans="15:15" ht="14.25" customHeight="1" x14ac:dyDescent="0.4">
      <c r="O653" s="4"/>
    </row>
    <row r="654" spans="15:15" ht="14.25" customHeight="1" x14ac:dyDescent="0.4">
      <c r="O654" s="4"/>
    </row>
    <row r="655" spans="15:15" ht="14.25" customHeight="1" x14ac:dyDescent="0.4">
      <c r="O655" s="4"/>
    </row>
    <row r="656" spans="15:15" ht="14.25" customHeight="1" x14ac:dyDescent="0.4">
      <c r="O656" s="4"/>
    </row>
    <row r="657" spans="15:15" ht="14.25" customHeight="1" x14ac:dyDescent="0.4">
      <c r="O657" s="4"/>
    </row>
    <row r="658" spans="15:15" ht="14.25" customHeight="1" x14ac:dyDescent="0.4">
      <c r="O658" s="4"/>
    </row>
    <row r="659" spans="15:15" ht="14.25" customHeight="1" x14ac:dyDescent="0.4">
      <c r="O659" s="4"/>
    </row>
    <row r="660" spans="15:15" ht="14.25" customHeight="1" x14ac:dyDescent="0.4">
      <c r="O660" s="4"/>
    </row>
    <row r="661" spans="15:15" ht="14.25" customHeight="1" x14ac:dyDescent="0.4">
      <c r="O661" s="4"/>
    </row>
    <row r="662" spans="15:15" ht="14.25" customHeight="1" x14ac:dyDescent="0.4">
      <c r="O662" s="4"/>
    </row>
    <row r="663" spans="15:15" ht="14.25" customHeight="1" x14ac:dyDescent="0.4">
      <c r="O663" s="4"/>
    </row>
    <row r="664" spans="15:15" ht="14.25" customHeight="1" x14ac:dyDescent="0.4">
      <c r="O664" s="4"/>
    </row>
    <row r="665" spans="15:15" ht="14.25" customHeight="1" x14ac:dyDescent="0.4">
      <c r="O665" s="4"/>
    </row>
    <row r="666" spans="15:15" ht="14.25" customHeight="1" x14ac:dyDescent="0.4">
      <c r="O666" s="4"/>
    </row>
    <row r="667" spans="15:15" ht="14.25" customHeight="1" x14ac:dyDescent="0.4">
      <c r="O667" s="4"/>
    </row>
    <row r="668" spans="15:15" ht="14.25" customHeight="1" x14ac:dyDescent="0.4">
      <c r="O668" s="4"/>
    </row>
    <row r="669" spans="15:15" ht="14.25" customHeight="1" x14ac:dyDescent="0.4">
      <c r="O669" s="4"/>
    </row>
    <row r="670" spans="15:15" ht="14.25" customHeight="1" x14ac:dyDescent="0.4">
      <c r="O670" s="4"/>
    </row>
    <row r="671" spans="15:15" ht="14.25" customHeight="1" x14ac:dyDescent="0.4">
      <c r="O671" s="4"/>
    </row>
    <row r="672" spans="15:15" ht="14.25" customHeight="1" x14ac:dyDescent="0.4">
      <c r="O672" s="4"/>
    </row>
    <row r="673" spans="15:15" ht="14.25" customHeight="1" x14ac:dyDescent="0.4">
      <c r="O673" s="4"/>
    </row>
    <row r="674" spans="15:15" ht="14.25" customHeight="1" x14ac:dyDescent="0.4">
      <c r="O674" s="4"/>
    </row>
    <row r="675" spans="15:15" ht="14.25" customHeight="1" x14ac:dyDescent="0.4">
      <c r="O675" s="4"/>
    </row>
    <row r="676" spans="15:15" ht="14.25" customHeight="1" x14ac:dyDescent="0.4">
      <c r="O676" s="4"/>
    </row>
    <row r="677" spans="15:15" ht="14.25" customHeight="1" x14ac:dyDescent="0.4">
      <c r="O677" s="4"/>
    </row>
    <row r="678" spans="15:15" ht="14.25" customHeight="1" x14ac:dyDescent="0.4">
      <c r="O678" s="4"/>
    </row>
    <row r="679" spans="15:15" ht="14.25" customHeight="1" x14ac:dyDescent="0.4">
      <c r="O679" s="4"/>
    </row>
    <row r="680" spans="15:15" ht="14.25" customHeight="1" x14ac:dyDescent="0.4">
      <c r="O680" s="4"/>
    </row>
    <row r="681" spans="15:15" ht="14.25" customHeight="1" x14ac:dyDescent="0.4">
      <c r="O681" s="4"/>
    </row>
    <row r="682" spans="15:15" ht="14.25" customHeight="1" x14ac:dyDescent="0.4">
      <c r="O682" s="4"/>
    </row>
    <row r="683" spans="15:15" ht="14.25" customHeight="1" x14ac:dyDescent="0.4">
      <c r="O683" s="4"/>
    </row>
    <row r="684" spans="15:15" ht="14.25" customHeight="1" x14ac:dyDescent="0.4">
      <c r="O684" s="4"/>
    </row>
    <row r="685" spans="15:15" ht="14.25" customHeight="1" x14ac:dyDescent="0.4">
      <c r="O685" s="4"/>
    </row>
    <row r="686" spans="15:15" ht="14.25" customHeight="1" x14ac:dyDescent="0.4">
      <c r="O686" s="4"/>
    </row>
    <row r="687" spans="15:15" ht="14.25" customHeight="1" x14ac:dyDescent="0.4">
      <c r="O687" s="4"/>
    </row>
    <row r="688" spans="15:15" ht="14.25" customHeight="1" x14ac:dyDescent="0.4">
      <c r="O688" s="4"/>
    </row>
    <row r="689" spans="15:15" ht="14.25" customHeight="1" x14ac:dyDescent="0.4">
      <c r="O689" s="4"/>
    </row>
    <row r="690" spans="15:15" ht="14.25" customHeight="1" x14ac:dyDescent="0.4">
      <c r="O690" s="4"/>
    </row>
    <row r="691" spans="15:15" ht="14.25" customHeight="1" x14ac:dyDescent="0.4">
      <c r="O691" s="4"/>
    </row>
    <row r="692" spans="15:15" ht="14.25" customHeight="1" x14ac:dyDescent="0.4">
      <c r="O692" s="4"/>
    </row>
    <row r="693" spans="15:15" ht="14.25" customHeight="1" x14ac:dyDescent="0.4">
      <c r="O693" s="4"/>
    </row>
    <row r="694" spans="15:15" ht="14.25" customHeight="1" x14ac:dyDescent="0.4">
      <c r="O694" s="4"/>
    </row>
    <row r="695" spans="15:15" ht="14.25" customHeight="1" x14ac:dyDescent="0.4">
      <c r="O695" s="4"/>
    </row>
    <row r="696" spans="15:15" ht="14.25" customHeight="1" x14ac:dyDescent="0.4">
      <c r="O696" s="4"/>
    </row>
    <row r="697" spans="15:15" ht="14.25" customHeight="1" x14ac:dyDescent="0.4">
      <c r="O697" s="4"/>
    </row>
    <row r="698" spans="15:15" ht="14.25" customHeight="1" x14ac:dyDescent="0.4">
      <c r="O698" s="4"/>
    </row>
    <row r="699" spans="15:15" ht="14.25" customHeight="1" x14ac:dyDescent="0.4">
      <c r="O699" s="4"/>
    </row>
    <row r="700" spans="15:15" ht="14.25" customHeight="1" x14ac:dyDescent="0.4">
      <c r="O700" s="4"/>
    </row>
    <row r="701" spans="15:15" ht="14.25" customHeight="1" x14ac:dyDescent="0.4">
      <c r="O701" s="4"/>
    </row>
    <row r="702" spans="15:15" ht="14.25" customHeight="1" x14ac:dyDescent="0.4">
      <c r="O702" s="4"/>
    </row>
    <row r="703" spans="15:15" ht="14.25" customHeight="1" x14ac:dyDescent="0.4">
      <c r="O703" s="4"/>
    </row>
    <row r="704" spans="15:15" ht="14.25" customHeight="1" x14ac:dyDescent="0.4">
      <c r="O704" s="4"/>
    </row>
    <row r="705" spans="15:15" ht="14.25" customHeight="1" x14ac:dyDescent="0.4">
      <c r="O705" s="4"/>
    </row>
    <row r="706" spans="15:15" ht="14.25" customHeight="1" x14ac:dyDescent="0.4">
      <c r="O706" s="4"/>
    </row>
    <row r="707" spans="15:15" ht="14.25" customHeight="1" x14ac:dyDescent="0.4">
      <c r="O707" s="4"/>
    </row>
    <row r="708" spans="15:15" ht="14.25" customHeight="1" x14ac:dyDescent="0.4">
      <c r="O708" s="4"/>
    </row>
    <row r="709" spans="15:15" ht="14.25" customHeight="1" x14ac:dyDescent="0.4">
      <c r="O709" s="4"/>
    </row>
    <row r="710" spans="15:15" ht="14.25" customHeight="1" x14ac:dyDescent="0.4">
      <c r="O710" s="4"/>
    </row>
    <row r="711" spans="15:15" ht="14.25" customHeight="1" x14ac:dyDescent="0.4">
      <c r="O711" s="4"/>
    </row>
    <row r="712" spans="15:15" ht="14.25" customHeight="1" x14ac:dyDescent="0.4">
      <c r="O712" s="4"/>
    </row>
    <row r="713" spans="15:15" ht="14.25" customHeight="1" x14ac:dyDescent="0.4">
      <c r="O713" s="4"/>
    </row>
    <row r="714" spans="15:15" ht="14.25" customHeight="1" x14ac:dyDescent="0.4">
      <c r="O714" s="4"/>
    </row>
    <row r="715" spans="15:15" ht="14.25" customHeight="1" x14ac:dyDescent="0.4">
      <c r="O715" s="4"/>
    </row>
    <row r="716" spans="15:15" ht="14.25" customHeight="1" x14ac:dyDescent="0.4">
      <c r="O716" s="4"/>
    </row>
    <row r="717" spans="15:15" ht="14.25" customHeight="1" x14ac:dyDescent="0.4">
      <c r="O717" s="4"/>
    </row>
    <row r="718" spans="15:15" ht="14.25" customHeight="1" x14ac:dyDescent="0.4">
      <c r="O718" s="4"/>
    </row>
    <row r="719" spans="15:15" ht="14.25" customHeight="1" x14ac:dyDescent="0.4">
      <c r="O719" s="4"/>
    </row>
    <row r="720" spans="15:15" ht="14.25" customHeight="1" x14ac:dyDescent="0.4">
      <c r="O720" s="4"/>
    </row>
    <row r="721" spans="15:15" ht="14.25" customHeight="1" x14ac:dyDescent="0.4">
      <c r="O721" s="4"/>
    </row>
    <row r="722" spans="15:15" ht="14.25" customHeight="1" x14ac:dyDescent="0.4">
      <c r="O722" s="4"/>
    </row>
    <row r="723" spans="15:15" ht="14.25" customHeight="1" x14ac:dyDescent="0.4">
      <c r="O723" s="4"/>
    </row>
    <row r="724" spans="15:15" ht="14.25" customHeight="1" x14ac:dyDescent="0.4">
      <c r="O724" s="4"/>
    </row>
    <row r="725" spans="15:15" ht="14.25" customHeight="1" x14ac:dyDescent="0.4">
      <c r="O725" s="4"/>
    </row>
    <row r="726" spans="15:15" ht="14.25" customHeight="1" x14ac:dyDescent="0.4">
      <c r="O726" s="4"/>
    </row>
    <row r="727" spans="15:15" ht="14.25" customHeight="1" x14ac:dyDescent="0.4">
      <c r="O727" s="4"/>
    </row>
    <row r="728" spans="15:15" ht="14.25" customHeight="1" x14ac:dyDescent="0.4">
      <c r="O728" s="4"/>
    </row>
    <row r="729" spans="15:15" ht="14.25" customHeight="1" x14ac:dyDescent="0.4">
      <c r="O729" s="4"/>
    </row>
    <row r="730" spans="15:15" ht="14.25" customHeight="1" x14ac:dyDescent="0.4">
      <c r="O730" s="4"/>
    </row>
    <row r="731" spans="15:15" ht="14.25" customHeight="1" x14ac:dyDescent="0.4">
      <c r="O731" s="4"/>
    </row>
    <row r="732" spans="15:15" ht="14.25" customHeight="1" x14ac:dyDescent="0.4">
      <c r="O732" s="4"/>
    </row>
    <row r="733" spans="15:15" ht="14.25" customHeight="1" x14ac:dyDescent="0.4">
      <c r="O733" s="4"/>
    </row>
    <row r="734" spans="15:15" ht="14.25" customHeight="1" x14ac:dyDescent="0.4">
      <c r="O734" s="4"/>
    </row>
    <row r="735" spans="15:15" ht="14.25" customHeight="1" x14ac:dyDescent="0.4">
      <c r="O735" s="4"/>
    </row>
    <row r="736" spans="15:15" ht="14.25" customHeight="1" x14ac:dyDescent="0.4">
      <c r="O736" s="4"/>
    </row>
    <row r="737" spans="15:15" ht="14.25" customHeight="1" x14ac:dyDescent="0.4">
      <c r="O737" s="4"/>
    </row>
    <row r="738" spans="15:15" ht="14.25" customHeight="1" x14ac:dyDescent="0.4">
      <c r="O738" s="4"/>
    </row>
    <row r="739" spans="15:15" ht="14.25" customHeight="1" x14ac:dyDescent="0.4">
      <c r="O739" s="4"/>
    </row>
    <row r="740" spans="15:15" ht="14.25" customHeight="1" x14ac:dyDescent="0.4">
      <c r="O740" s="4"/>
    </row>
    <row r="741" spans="15:15" ht="14.25" customHeight="1" x14ac:dyDescent="0.4">
      <c r="O741" s="4"/>
    </row>
    <row r="742" spans="15:15" ht="14.25" customHeight="1" x14ac:dyDescent="0.4">
      <c r="O742" s="4"/>
    </row>
    <row r="743" spans="15:15" ht="14.25" customHeight="1" x14ac:dyDescent="0.4">
      <c r="O743" s="4"/>
    </row>
    <row r="744" spans="15:15" ht="14.25" customHeight="1" x14ac:dyDescent="0.4">
      <c r="O744" s="4"/>
    </row>
    <row r="745" spans="15:15" ht="14.25" customHeight="1" x14ac:dyDescent="0.4">
      <c r="O745" s="4"/>
    </row>
    <row r="746" spans="15:15" ht="14.25" customHeight="1" x14ac:dyDescent="0.4">
      <c r="O746" s="4"/>
    </row>
    <row r="747" spans="15:15" ht="14.25" customHeight="1" x14ac:dyDescent="0.4">
      <c r="O747" s="4"/>
    </row>
    <row r="748" spans="15:15" ht="14.25" customHeight="1" x14ac:dyDescent="0.4">
      <c r="O748" s="4"/>
    </row>
    <row r="749" spans="15:15" ht="14.25" customHeight="1" x14ac:dyDescent="0.4">
      <c r="O749" s="4"/>
    </row>
    <row r="750" spans="15:15" ht="14.25" customHeight="1" x14ac:dyDescent="0.4">
      <c r="O750" s="4"/>
    </row>
    <row r="751" spans="15:15" ht="14.25" customHeight="1" x14ac:dyDescent="0.4">
      <c r="O751" s="4"/>
    </row>
    <row r="752" spans="15:15" ht="14.25" customHeight="1" x14ac:dyDescent="0.4">
      <c r="O752" s="4"/>
    </row>
    <row r="753" spans="15:15" ht="14.25" customHeight="1" x14ac:dyDescent="0.4">
      <c r="O753" s="4"/>
    </row>
    <row r="754" spans="15:15" ht="14.25" customHeight="1" x14ac:dyDescent="0.4">
      <c r="O754" s="4"/>
    </row>
    <row r="755" spans="15:15" ht="14.25" customHeight="1" x14ac:dyDescent="0.4">
      <c r="O755" s="4"/>
    </row>
    <row r="756" spans="15:15" ht="14.25" customHeight="1" x14ac:dyDescent="0.4">
      <c r="O756" s="4"/>
    </row>
    <row r="757" spans="15:15" ht="14.25" customHeight="1" x14ac:dyDescent="0.4">
      <c r="O757" s="4"/>
    </row>
    <row r="758" spans="15:15" ht="14.25" customHeight="1" x14ac:dyDescent="0.4">
      <c r="O758" s="4"/>
    </row>
    <row r="759" spans="15:15" ht="14.25" customHeight="1" x14ac:dyDescent="0.4">
      <c r="O759" s="4"/>
    </row>
    <row r="760" spans="15:15" ht="14.25" customHeight="1" x14ac:dyDescent="0.4">
      <c r="O760" s="4"/>
    </row>
    <row r="761" spans="15:15" ht="14.25" customHeight="1" x14ac:dyDescent="0.4">
      <c r="O761" s="4"/>
    </row>
    <row r="762" spans="15:15" ht="14.25" customHeight="1" x14ac:dyDescent="0.4">
      <c r="O762" s="4"/>
    </row>
    <row r="763" spans="15:15" ht="14.25" customHeight="1" x14ac:dyDescent="0.4">
      <c r="O763" s="4"/>
    </row>
    <row r="764" spans="15:15" ht="14.25" customHeight="1" x14ac:dyDescent="0.4">
      <c r="O764" s="4"/>
    </row>
    <row r="765" spans="15:15" ht="14.25" customHeight="1" x14ac:dyDescent="0.4">
      <c r="O765" s="4"/>
    </row>
    <row r="766" spans="15:15" ht="14.25" customHeight="1" x14ac:dyDescent="0.4">
      <c r="O766" s="4"/>
    </row>
    <row r="767" spans="15:15" ht="14.25" customHeight="1" x14ac:dyDescent="0.4">
      <c r="O767" s="4"/>
    </row>
  </sheetData>
  <sheetProtection autoFilter="0"/>
  <phoneticPr fontId="0" type="noConversion"/>
  <conditionalFormatting sqref="X473:X525">
    <cfRule type="expression" dxfId="17" priority="32" stopIfTrue="1">
      <formula>SEARCH("demo",R473,1)&gt;0</formula>
    </cfRule>
  </conditionalFormatting>
  <conditionalFormatting sqref="X460:X472">
    <cfRule type="expression" dxfId="16" priority="33" stopIfTrue="1">
      <formula>SEARCH("demo",R460,1)&gt;0</formula>
    </cfRule>
  </conditionalFormatting>
  <conditionalFormatting sqref="X7:X70 X83:X96 X153 X155:X459">
    <cfRule type="expression" dxfId="15" priority="34" stopIfTrue="1">
      <formula>SEARCH("demo",R7,1)&gt;0</formula>
    </cfRule>
  </conditionalFormatting>
  <conditionalFormatting sqref="J1 B6:W6 Z6 Y7:Y471 AX6 O331:O398 T367:T420 AA6:AA563 AD6:AU6 B7:N435 S294:S297 AB6:AB466 S7:S27 S29:S61 T7:T96 S300:S301 S238:S240 S229 V277:V364 S336:S389 S307:T313 S63:S96 T188:T241 S231:S235 S242:T242 S243 T121:T141 S97:T120 S187:T187 S121:S174 S185:S186 S179:S182 S194:S227 S176 S284:S292 S192 S189:S190 T143:T186 S269:T282 V7:V275 T243:T268 S245:S268 V367:V419 T284:T306 S303:S306 T336:T364 S315:T335">
    <cfRule type="cellIs" dxfId="14" priority="35" stopIfTrue="1" operator="equal">
      <formula>0</formula>
    </cfRule>
  </conditionalFormatting>
  <conditionalFormatting sqref="X71:X82 X137:X152 X154 X97:X135">
    <cfRule type="expression" dxfId="13" priority="36" stopIfTrue="1">
      <formula>SEARCH("demo",#REF!,1)&gt;0</formula>
    </cfRule>
  </conditionalFormatting>
  <conditionalFormatting sqref="T308">
    <cfRule type="cellIs" dxfId="12" priority="5" stopIfTrue="1" operator="equal">
      <formula>0</formula>
    </cfRule>
  </conditionalFormatting>
  <conditionalFormatting sqref="S314:T314">
    <cfRule type="cellIs" dxfId="11" priority="4" stopIfTrue="1" operator="equal">
      <formula>0</formula>
    </cfRule>
  </conditionalFormatting>
  <conditionalFormatting sqref="S283:T283">
    <cfRule type="cellIs" dxfId="10" priority="3" stopIfTrue="1" operator="equal">
      <formula>0</formula>
    </cfRule>
  </conditionalFormatting>
  <dataValidations count="2">
    <dataValidation type="list" allowBlank="1" showInputMessage="1" showErrorMessage="1" sqref="V402:V403 V408:V419 T367:T420 V367:V390 T7:T141 V7:V364 T143:T364" xr:uid="{00000000-0002-0000-0300-000000000000}">
      <formula1>Yes_No</formula1>
    </dataValidation>
    <dataValidation type="list" allowBlank="1" showInputMessage="1" showErrorMessage="1" sqref="J2" xr:uid="{00000000-0002-0000-0300-000001000000}">
      <formula1>SalesRep</formula1>
    </dataValidation>
  </dataValidations>
  <printOptions horizontalCentered="1" gridLines="1"/>
  <pageMargins left="0" right="0" top="0" bottom="0" header="0" footer="0"/>
  <pageSetup paperSize="3" scale="65" pageOrder="overThenDown" orientation="landscape" r:id="rId1"/>
  <headerFooter alignWithMargins="0"/>
  <colBreaks count="1" manualBreakCount="1">
    <brk id="2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5" r:id="rId4" name="Button 5">
              <controlPr defaultSize="0" print="0" autoFill="0" autoPict="0" macro="[0]!Filter2011">
                <anchor moveWithCells="1" sizeWithCells="1">
                  <from>
                    <xdr:col>6</xdr:col>
                    <xdr:colOff>163830</xdr:colOff>
                    <xdr:row>0</xdr:row>
                    <xdr:rowOff>87630</xdr:rowOff>
                  </from>
                  <to>
                    <xdr:col>8</xdr:col>
                    <xdr:colOff>419100</xdr:colOff>
                    <xdr:row>3</xdr:row>
                    <xdr:rowOff>49530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5" name="Button 8">
              <controlPr defaultSize="0" print="0" autoFill="0" autoPict="0" macro="[0]!LogSort">
                <anchor moveWithCells="1" sizeWithCells="1">
                  <from>
                    <xdr:col>1</xdr:col>
                    <xdr:colOff>419100</xdr:colOff>
                    <xdr:row>1</xdr:row>
                    <xdr:rowOff>0</xdr:rowOff>
                  </from>
                  <to>
                    <xdr:col>4</xdr:col>
                    <xdr:colOff>259080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>
    <tabColor indexed="57"/>
    <pageSetUpPr fitToPage="1"/>
  </sheetPr>
  <dimension ref="A1:AX767"/>
  <sheetViews>
    <sheetView topLeftCell="L1" zoomScaleNormal="100" zoomScaleSheetLayoutView="75" workbookViewId="0">
      <pane ySplit="6" topLeftCell="A73" activePane="bottomLeft" state="frozen"/>
      <selection activeCell="L64" sqref="L64"/>
      <selection pane="bottomLeft" activeCell="O84" sqref="O84"/>
    </sheetView>
  </sheetViews>
  <sheetFormatPr defaultColWidth="9.1640625" defaultRowHeight="14.25" customHeight="1" x14ac:dyDescent="0.4"/>
  <cols>
    <col min="1" max="1" width="12.83203125" customWidth="1"/>
    <col min="2" max="2" width="12.1640625" style="1" customWidth="1"/>
    <col min="3" max="3" width="3" style="1" hidden="1" customWidth="1"/>
    <col min="4" max="4" width="8.1640625" style="1" bestFit="1" customWidth="1"/>
    <col min="5" max="5" width="14.5546875" style="1" bestFit="1" customWidth="1"/>
    <col min="6" max="6" width="11.5546875" style="1" customWidth="1"/>
    <col min="7" max="7" width="8.5546875" style="1" customWidth="1"/>
    <col min="8" max="8" width="8.5546875" style="1" bestFit="1" customWidth="1"/>
    <col min="9" max="9" width="16" style="1" bestFit="1" customWidth="1"/>
    <col min="10" max="10" width="12.27734375" style="2" bestFit="1" customWidth="1"/>
    <col min="11" max="11" width="14.27734375" style="2" customWidth="1"/>
    <col min="12" max="12" width="12.27734375" style="2" customWidth="1"/>
    <col min="13" max="13" width="26.44140625" style="2" customWidth="1"/>
    <col min="14" max="14" width="18.71875" style="1" bestFit="1" customWidth="1"/>
    <col min="15" max="15" width="11.5546875" style="1" bestFit="1" customWidth="1"/>
    <col min="16" max="17" width="11" style="1" customWidth="1"/>
    <col min="18" max="18" width="22.5546875" style="1" bestFit="1" customWidth="1"/>
    <col min="19" max="19" width="29.44140625" style="3" customWidth="1"/>
    <col min="20" max="21" width="11.71875" style="3" customWidth="1"/>
    <col min="22" max="23" width="10.71875" style="1" customWidth="1"/>
    <col min="24" max="24" width="10.71875" style="75" customWidth="1"/>
    <col min="25" max="25" width="13.71875" style="1" bestFit="1" customWidth="1"/>
    <col min="26" max="26" width="14.83203125" style="1" bestFit="1" customWidth="1"/>
    <col min="27" max="27" width="11.27734375" style="1" customWidth="1"/>
    <col min="28" max="28" width="13.1640625" style="1" bestFit="1" customWidth="1"/>
    <col min="29" max="33" width="9.1640625" style="1"/>
    <col min="34" max="34" width="8.83203125" customWidth="1"/>
    <col min="35" max="36" width="9.1640625" style="1"/>
    <col min="37" max="37" width="10" style="1" bestFit="1" customWidth="1"/>
    <col min="38" max="16384" width="9.1640625" style="1"/>
  </cols>
  <sheetData>
    <row r="1" spans="1:50" ht="39" customHeight="1" thickBot="1" x14ac:dyDescent="0.45">
      <c r="J1" s="10" t="s">
        <v>229</v>
      </c>
      <c r="S1" s="26"/>
      <c r="T1" s="26" t="s">
        <v>551</v>
      </c>
      <c r="U1" s="26"/>
      <c r="V1" s="26" t="s">
        <v>547</v>
      </c>
      <c r="W1" s="26"/>
      <c r="X1" s="26"/>
      <c r="AA1" s="1" t="s">
        <v>777</v>
      </c>
    </row>
    <row r="2" spans="1:50" ht="14.25" customHeight="1" thickBot="1" x14ac:dyDescent="0.45">
      <c r="J2" s="25" t="s">
        <v>524</v>
      </c>
      <c r="O2" s="4"/>
      <c r="X2" s="1"/>
      <c r="AA2" s="1">
        <v>0</v>
      </c>
    </row>
    <row r="3" spans="1:50" ht="14.25" customHeight="1" x14ac:dyDescent="0.4">
      <c r="O3" s="4"/>
      <c r="X3" s="1"/>
    </row>
    <row r="4" spans="1:50" ht="14.25" customHeight="1" x14ac:dyDescent="0.4">
      <c r="K4" s="2" t="s">
        <v>1318</v>
      </c>
      <c r="M4" s="2">
        <v>40185</v>
      </c>
      <c r="O4" s="1">
        <v>9120609</v>
      </c>
      <c r="X4" s="1"/>
    </row>
    <row r="5" spans="1:50" ht="14.25" customHeight="1" thickBot="1" x14ac:dyDescent="0.45">
      <c r="T5" s="31" t="s">
        <v>544</v>
      </c>
      <c r="U5" s="31"/>
      <c r="V5" s="31" t="s">
        <v>544</v>
      </c>
      <c r="X5" s="1"/>
      <c r="Y5" s="1">
        <v>0</v>
      </c>
    </row>
    <row r="6" spans="1:50" s="10" customFormat="1" ht="41.25" customHeight="1" thickBot="1" x14ac:dyDescent="0.45">
      <c r="A6" s="10" t="s">
        <v>598</v>
      </c>
      <c r="B6" s="39" t="s">
        <v>219</v>
      </c>
      <c r="C6" s="19" t="s">
        <v>220</v>
      </c>
      <c r="D6" s="19" t="s">
        <v>221</v>
      </c>
      <c r="E6" s="19" t="s">
        <v>222</v>
      </c>
      <c r="F6" s="19" t="s">
        <v>223</v>
      </c>
      <c r="G6" s="19" t="s">
        <v>224</v>
      </c>
      <c r="H6" s="137" t="s">
        <v>225</v>
      </c>
      <c r="I6" s="137" t="s">
        <v>227</v>
      </c>
      <c r="J6" s="107" t="s">
        <v>228</v>
      </c>
      <c r="K6" s="10" t="s">
        <v>229</v>
      </c>
      <c r="L6" s="10" t="s">
        <v>230</v>
      </c>
      <c r="M6" s="10" t="s">
        <v>231</v>
      </c>
      <c r="N6" s="10" t="s">
        <v>232</v>
      </c>
      <c r="O6" s="10" t="s">
        <v>233</v>
      </c>
      <c r="P6" s="10" t="s">
        <v>234</v>
      </c>
      <c r="Q6" s="10" t="s">
        <v>235</v>
      </c>
      <c r="R6" s="10" t="s">
        <v>236</v>
      </c>
      <c r="S6" s="10" t="s">
        <v>237</v>
      </c>
      <c r="T6" s="41" t="s">
        <v>238</v>
      </c>
      <c r="U6" s="10" t="s">
        <v>239</v>
      </c>
      <c r="V6" s="41" t="s">
        <v>240</v>
      </c>
      <c r="W6" s="73" t="s">
        <v>241</v>
      </c>
      <c r="X6" s="10" t="s">
        <v>242</v>
      </c>
      <c r="Y6" s="10" t="s">
        <v>243</v>
      </c>
      <c r="Z6" s="19" t="s">
        <v>252</v>
      </c>
      <c r="AA6" s="39" t="s">
        <v>253</v>
      </c>
      <c r="AB6" s="19" t="s">
        <v>224</v>
      </c>
      <c r="AC6" s="19" t="s">
        <v>1879</v>
      </c>
      <c r="AD6" s="19" t="s">
        <v>1880</v>
      </c>
      <c r="AE6" s="19" t="s">
        <v>1881</v>
      </c>
      <c r="AF6" s="19"/>
      <c r="AG6" s="137"/>
      <c r="AH6" s="137"/>
      <c r="AR6" s="41"/>
      <c r="AT6" s="41"/>
      <c r="AU6" s="73"/>
      <c r="AX6" s="19"/>
    </row>
    <row r="7" spans="1:50" s="16" customFormat="1" ht="14.25" customHeight="1" thickTop="1" x14ac:dyDescent="0.4">
      <c r="A7">
        <v>1</v>
      </c>
      <c r="B7" s="24">
        <v>40843</v>
      </c>
      <c r="C7" s="24">
        <v>40843</v>
      </c>
      <c r="D7" s="24">
        <v>40843</v>
      </c>
      <c r="E7" s="24">
        <v>40843</v>
      </c>
      <c r="F7" s="24" t="s">
        <v>393</v>
      </c>
      <c r="G7" s="24">
        <v>40847</v>
      </c>
      <c r="H7" s="37">
        <v>244</v>
      </c>
      <c r="I7" s="23">
        <v>40817</v>
      </c>
      <c r="J7" s="37">
        <v>57</v>
      </c>
      <c r="K7" s="24" t="s">
        <v>1367</v>
      </c>
      <c r="L7" s="24">
        <v>40817</v>
      </c>
      <c r="M7" s="24">
        <v>40710</v>
      </c>
      <c r="N7" s="22" t="s">
        <v>560</v>
      </c>
      <c r="O7" s="4">
        <v>9120434</v>
      </c>
      <c r="P7" s="22">
        <v>1020</v>
      </c>
      <c r="Q7" s="22">
        <v>50</v>
      </c>
      <c r="R7" s="22" t="s">
        <v>2492</v>
      </c>
      <c r="S7" s="3" t="s">
        <v>1534</v>
      </c>
      <c r="T7" s="4" t="s">
        <v>404</v>
      </c>
      <c r="U7" s="164">
        <v>40791</v>
      </c>
      <c r="V7" s="4" t="s">
        <v>404</v>
      </c>
      <c r="W7" s="43">
        <v>40867</v>
      </c>
      <c r="X7" s="75"/>
      <c r="Y7" s="28"/>
      <c r="Z7" s="1"/>
      <c r="AA7" s="24" t="s">
        <v>393</v>
      </c>
      <c r="AB7" s="28">
        <v>40847</v>
      </c>
      <c r="AC7" s="16" t="s">
        <v>933</v>
      </c>
      <c r="AE7" s="145">
        <v>40862</v>
      </c>
    </row>
    <row r="8" spans="1:50" s="16" customFormat="1" ht="14.25" customHeight="1" x14ac:dyDescent="0.4">
      <c r="A8">
        <v>2</v>
      </c>
      <c r="B8" s="24">
        <v>40843</v>
      </c>
      <c r="C8" s="24">
        <v>40843</v>
      </c>
      <c r="D8" s="24">
        <v>40843</v>
      </c>
      <c r="E8" s="24">
        <v>40843</v>
      </c>
      <c r="F8" s="24" t="s">
        <v>393</v>
      </c>
      <c r="G8" s="24">
        <v>40847</v>
      </c>
      <c r="H8" s="37">
        <v>245</v>
      </c>
      <c r="I8" s="23">
        <v>40817</v>
      </c>
      <c r="J8" s="37">
        <v>58</v>
      </c>
      <c r="K8" s="24" t="s">
        <v>1367</v>
      </c>
      <c r="L8" s="24">
        <v>40817</v>
      </c>
      <c r="M8" s="24">
        <v>40710</v>
      </c>
      <c r="N8" s="22" t="s">
        <v>560</v>
      </c>
      <c r="O8" s="4">
        <v>9120435</v>
      </c>
      <c r="P8" s="22">
        <v>1020</v>
      </c>
      <c r="Q8" s="22">
        <v>50</v>
      </c>
      <c r="R8" s="22" t="s">
        <v>2493</v>
      </c>
      <c r="S8" s="3" t="s">
        <v>1391</v>
      </c>
      <c r="T8" s="4" t="s">
        <v>404</v>
      </c>
      <c r="U8" s="164">
        <v>40794</v>
      </c>
      <c r="V8" s="4" t="s">
        <v>404</v>
      </c>
      <c r="W8" s="43">
        <v>40873</v>
      </c>
      <c r="X8" s="75"/>
      <c r="Y8" s="28"/>
      <c r="Z8" s="1"/>
      <c r="AA8" s="24" t="s">
        <v>393</v>
      </c>
      <c r="AB8" s="28">
        <v>40847</v>
      </c>
      <c r="AC8" s="16" t="s">
        <v>933</v>
      </c>
      <c r="AE8" s="145">
        <v>40862</v>
      </c>
      <c r="AI8" s="13"/>
      <c r="AJ8" s="10" t="s">
        <v>1456</v>
      </c>
      <c r="AK8" s="10" t="s">
        <v>1451</v>
      </c>
    </row>
    <row r="9" spans="1:50" ht="14.25" customHeight="1" x14ac:dyDescent="0.4">
      <c r="A9">
        <v>3</v>
      </c>
      <c r="B9" s="24">
        <v>40946</v>
      </c>
      <c r="C9" s="24">
        <v>40946</v>
      </c>
      <c r="D9" s="24">
        <v>40946</v>
      </c>
      <c r="E9" s="24">
        <v>40946</v>
      </c>
      <c r="F9" s="24" t="s">
        <v>393</v>
      </c>
      <c r="G9" s="24">
        <v>40959</v>
      </c>
      <c r="H9" s="23">
        <v>448</v>
      </c>
      <c r="I9" s="23">
        <v>40940</v>
      </c>
      <c r="J9" s="37">
        <v>18</v>
      </c>
      <c r="K9" s="24" t="s">
        <v>1367</v>
      </c>
      <c r="L9" s="24">
        <v>0</v>
      </c>
      <c r="M9" s="24">
        <v>40801</v>
      </c>
      <c r="N9" s="22" t="s">
        <v>560</v>
      </c>
      <c r="O9" s="4">
        <v>9120478</v>
      </c>
      <c r="P9" s="22">
        <v>1020</v>
      </c>
      <c r="Q9" s="22">
        <v>50</v>
      </c>
      <c r="R9" s="22">
        <v>0</v>
      </c>
      <c r="T9" s="4"/>
      <c r="U9" s="164"/>
      <c r="V9" s="4"/>
      <c r="Y9" s="28"/>
      <c r="AA9" s="24" t="s">
        <v>393</v>
      </c>
      <c r="AB9" s="28">
        <v>40959</v>
      </c>
      <c r="AE9" s="145">
        <v>40983</v>
      </c>
      <c r="AI9" s="13">
        <v>40634</v>
      </c>
      <c r="AJ9" s="16">
        <v>170</v>
      </c>
      <c r="AK9" s="16">
        <v>0</v>
      </c>
    </row>
    <row r="10" spans="1:50" ht="14.25" customHeight="1" x14ac:dyDescent="0.4">
      <c r="A10">
        <v>4</v>
      </c>
      <c r="B10" s="24">
        <v>40947</v>
      </c>
      <c r="C10" s="24">
        <v>40947</v>
      </c>
      <c r="D10" s="24">
        <v>40947</v>
      </c>
      <c r="E10" s="24">
        <v>40947</v>
      </c>
      <c r="F10" s="24" t="s">
        <v>393</v>
      </c>
      <c r="G10" s="24">
        <v>40949</v>
      </c>
      <c r="H10" s="23">
        <v>449</v>
      </c>
      <c r="I10" s="23">
        <v>40940</v>
      </c>
      <c r="J10" s="37">
        <v>19</v>
      </c>
      <c r="K10" s="24" t="s">
        <v>1367</v>
      </c>
      <c r="L10" s="24">
        <v>0</v>
      </c>
      <c r="M10" s="24">
        <v>40801</v>
      </c>
      <c r="N10" s="22" t="s">
        <v>560</v>
      </c>
      <c r="O10" s="4">
        <v>9120479</v>
      </c>
      <c r="P10" s="22">
        <v>1020</v>
      </c>
      <c r="Q10" s="22">
        <v>50</v>
      </c>
      <c r="R10" s="22">
        <v>0</v>
      </c>
      <c r="T10" s="4"/>
      <c r="U10" s="164"/>
      <c r="V10" s="4"/>
      <c r="Y10" s="28"/>
      <c r="AA10" s="24" t="s">
        <v>393</v>
      </c>
      <c r="AB10" s="28">
        <v>40949</v>
      </c>
      <c r="AE10" s="145">
        <v>40983</v>
      </c>
      <c r="AI10" s="13">
        <v>40664</v>
      </c>
      <c r="AJ10" s="16">
        <v>250</v>
      </c>
      <c r="AK10" s="16">
        <v>0</v>
      </c>
    </row>
    <row r="11" spans="1:50" ht="14.25" customHeight="1" x14ac:dyDescent="0.4">
      <c r="A11">
        <v>7</v>
      </c>
      <c r="B11" s="22">
        <v>0</v>
      </c>
      <c r="C11" s="22" t="s">
        <v>2165</v>
      </c>
      <c r="D11" s="22">
        <v>0</v>
      </c>
      <c r="E11" s="24">
        <v>40814</v>
      </c>
      <c r="F11" s="24" t="s">
        <v>393</v>
      </c>
      <c r="G11" s="24">
        <v>40815</v>
      </c>
      <c r="H11" s="37">
        <v>175</v>
      </c>
      <c r="I11" s="23">
        <v>40787</v>
      </c>
      <c r="J11" s="37">
        <v>51</v>
      </c>
      <c r="K11" s="24" t="s">
        <v>1367</v>
      </c>
      <c r="L11" s="24">
        <v>40787</v>
      </c>
      <c r="M11" s="24">
        <v>40669</v>
      </c>
      <c r="N11" s="22" t="s">
        <v>671</v>
      </c>
      <c r="O11" s="81">
        <v>9120189</v>
      </c>
      <c r="P11" s="22">
        <v>1020</v>
      </c>
      <c r="Q11" s="22">
        <v>42</v>
      </c>
      <c r="R11" s="22">
        <v>32012</v>
      </c>
      <c r="S11" s="4"/>
      <c r="T11" s="4"/>
      <c r="U11" s="44"/>
      <c r="V11" s="4"/>
      <c r="W11" s="9"/>
      <c r="Y11" s="28"/>
      <c r="Z11" s="9"/>
      <c r="AA11" s="24" t="s">
        <v>393</v>
      </c>
      <c r="AB11" s="28">
        <v>40815</v>
      </c>
      <c r="AE11" s="145">
        <v>40831</v>
      </c>
      <c r="AI11" s="13">
        <v>40695</v>
      </c>
      <c r="AJ11" s="16">
        <v>6</v>
      </c>
      <c r="AK11" s="16">
        <v>0</v>
      </c>
    </row>
    <row r="12" spans="1:50" ht="14.25" customHeight="1" x14ac:dyDescent="0.4">
      <c r="A12">
        <v>8</v>
      </c>
      <c r="B12" s="22">
        <v>0</v>
      </c>
      <c r="C12" s="22" t="s">
        <v>2165</v>
      </c>
      <c r="D12" s="22">
        <v>0</v>
      </c>
      <c r="E12" s="24">
        <v>40820</v>
      </c>
      <c r="F12" s="24" t="s">
        <v>393</v>
      </c>
      <c r="G12" s="24">
        <v>40828</v>
      </c>
      <c r="H12" s="37">
        <v>188</v>
      </c>
      <c r="I12" s="23">
        <v>40817</v>
      </c>
      <c r="J12" s="37">
        <v>1</v>
      </c>
      <c r="K12" s="24" t="s">
        <v>1367</v>
      </c>
      <c r="L12" s="24">
        <v>40788</v>
      </c>
      <c r="M12" s="24">
        <v>40669</v>
      </c>
      <c r="N12" s="22" t="s">
        <v>671</v>
      </c>
      <c r="O12" s="81">
        <v>9120190</v>
      </c>
      <c r="P12" s="22">
        <v>1020</v>
      </c>
      <c r="Q12" s="22">
        <v>42</v>
      </c>
      <c r="R12" s="22">
        <v>42012</v>
      </c>
      <c r="S12" s="4" t="s">
        <v>1698</v>
      </c>
      <c r="T12" s="4" t="s">
        <v>404</v>
      </c>
      <c r="U12" s="44">
        <v>40897</v>
      </c>
      <c r="V12" s="4" t="s">
        <v>404</v>
      </c>
      <c r="W12" s="9">
        <v>40954</v>
      </c>
      <c r="X12" s="74"/>
      <c r="Y12" s="28"/>
      <c r="Z12" s="9"/>
      <c r="AA12" s="24" t="s">
        <v>393</v>
      </c>
      <c r="AB12" s="28">
        <v>40828</v>
      </c>
      <c r="AE12" s="145">
        <v>40862</v>
      </c>
      <c r="AI12" s="13">
        <v>40725</v>
      </c>
      <c r="AJ12" s="16">
        <v>13</v>
      </c>
      <c r="AK12" s="16">
        <v>15</v>
      </c>
    </row>
    <row r="13" spans="1:50" ht="14.25" customHeight="1" x14ac:dyDescent="0.4">
      <c r="A13">
        <v>9</v>
      </c>
      <c r="B13" s="24">
        <v>40840</v>
      </c>
      <c r="C13" s="24">
        <v>40840</v>
      </c>
      <c r="D13" s="24">
        <v>40840</v>
      </c>
      <c r="E13" s="24">
        <v>40840</v>
      </c>
      <c r="F13" s="24" t="s">
        <v>393</v>
      </c>
      <c r="G13" s="24">
        <v>40847</v>
      </c>
      <c r="H13" s="37">
        <v>235</v>
      </c>
      <c r="I13" s="23">
        <v>40817</v>
      </c>
      <c r="J13" s="37">
        <v>48</v>
      </c>
      <c r="K13" s="24" t="s">
        <v>1367</v>
      </c>
      <c r="L13" s="24">
        <v>40817</v>
      </c>
      <c r="M13" s="24">
        <v>40669</v>
      </c>
      <c r="N13" s="22" t="s">
        <v>671</v>
      </c>
      <c r="O13" s="81">
        <v>9120191</v>
      </c>
      <c r="P13" s="22">
        <v>1020</v>
      </c>
      <c r="Q13" s="22">
        <v>42</v>
      </c>
      <c r="R13" s="22">
        <v>52012</v>
      </c>
      <c r="S13" s="4"/>
      <c r="T13" s="4" t="s">
        <v>404</v>
      </c>
      <c r="U13" s="42">
        <v>40821</v>
      </c>
      <c r="V13" s="4" t="s">
        <v>404</v>
      </c>
      <c r="W13" s="28">
        <v>40938</v>
      </c>
      <c r="X13" s="74"/>
      <c r="Y13" s="28"/>
      <c r="Z13" s="28"/>
      <c r="AA13" s="24" t="s">
        <v>393</v>
      </c>
      <c r="AB13" s="28">
        <v>40847</v>
      </c>
      <c r="AE13" s="145">
        <v>40862</v>
      </c>
      <c r="AI13" s="13">
        <v>40756</v>
      </c>
      <c r="AJ13" s="16">
        <v>26</v>
      </c>
      <c r="AK13" s="16">
        <v>20</v>
      </c>
    </row>
    <row r="14" spans="1:50" ht="14.25" customHeight="1" x14ac:dyDescent="0.4">
      <c r="A14">
        <v>10</v>
      </c>
      <c r="B14" s="24">
        <v>40840</v>
      </c>
      <c r="C14" s="24">
        <v>40840</v>
      </c>
      <c r="D14" s="24">
        <v>40840</v>
      </c>
      <c r="E14" s="24">
        <v>40840</v>
      </c>
      <c r="F14" s="24" t="s">
        <v>393</v>
      </c>
      <c r="G14" s="24">
        <v>40847</v>
      </c>
      <c r="H14" s="37">
        <v>236</v>
      </c>
      <c r="I14" s="23">
        <v>40817</v>
      </c>
      <c r="J14" s="37">
        <v>49</v>
      </c>
      <c r="K14" s="24" t="s">
        <v>1367</v>
      </c>
      <c r="L14" s="24">
        <v>40818</v>
      </c>
      <c r="M14" s="24">
        <v>40669</v>
      </c>
      <c r="N14" s="22" t="s">
        <v>671</v>
      </c>
      <c r="O14" s="81">
        <v>9120192</v>
      </c>
      <c r="P14" s="22">
        <v>1020</v>
      </c>
      <c r="Q14" s="22">
        <v>42</v>
      </c>
      <c r="R14" s="22">
        <v>62012</v>
      </c>
      <c r="S14" s="1" t="s">
        <v>1695</v>
      </c>
      <c r="T14" s="4" t="s">
        <v>404</v>
      </c>
      <c r="U14" s="42">
        <v>40821</v>
      </c>
      <c r="V14" s="4" t="s">
        <v>404</v>
      </c>
      <c r="W14" s="28">
        <v>40907</v>
      </c>
      <c r="X14" s="74"/>
      <c r="Y14" s="28"/>
      <c r="Z14" s="9"/>
      <c r="AA14" s="24" t="s">
        <v>393</v>
      </c>
      <c r="AB14" s="28">
        <v>40847</v>
      </c>
      <c r="AC14" s="1" t="s">
        <v>1283</v>
      </c>
      <c r="AE14" s="145">
        <v>40862</v>
      </c>
      <c r="AI14" s="13">
        <v>40787</v>
      </c>
      <c r="AJ14" s="16">
        <v>31</v>
      </c>
      <c r="AK14" s="16">
        <v>58</v>
      </c>
    </row>
    <row r="15" spans="1:50" ht="14.25" customHeight="1" x14ac:dyDescent="0.4">
      <c r="A15">
        <v>11</v>
      </c>
      <c r="B15" s="24">
        <v>40876</v>
      </c>
      <c r="C15" s="24">
        <v>40876</v>
      </c>
      <c r="D15" s="24">
        <v>40876</v>
      </c>
      <c r="E15" s="24">
        <v>40876</v>
      </c>
      <c r="F15" s="24" t="s">
        <v>393</v>
      </c>
      <c r="G15" s="24">
        <v>40878</v>
      </c>
      <c r="H15" s="37">
        <v>309</v>
      </c>
      <c r="I15" s="23">
        <v>40848</v>
      </c>
      <c r="J15" s="37">
        <v>58</v>
      </c>
      <c r="K15" s="24" t="s">
        <v>1367</v>
      </c>
      <c r="L15" s="24">
        <v>40878</v>
      </c>
      <c r="M15" s="24">
        <v>40669</v>
      </c>
      <c r="N15" s="22" t="s">
        <v>671</v>
      </c>
      <c r="O15" s="81">
        <v>9120193</v>
      </c>
      <c r="P15" s="22">
        <v>1020</v>
      </c>
      <c r="Q15" s="22">
        <v>42</v>
      </c>
      <c r="R15" s="22">
        <v>0</v>
      </c>
      <c r="S15" s="4" t="s">
        <v>1049</v>
      </c>
      <c r="T15" s="4" t="s">
        <v>404</v>
      </c>
      <c r="U15" s="44">
        <v>40865</v>
      </c>
      <c r="V15" s="4"/>
      <c r="W15" s="9"/>
      <c r="X15" s="74"/>
      <c r="Y15" s="28"/>
      <c r="Z15" s="9"/>
      <c r="AA15" s="24" t="s">
        <v>393</v>
      </c>
      <c r="AB15" s="28">
        <v>40878</v>
      </c>
      <c r="AC15" s="1" t="s">
        <v>1857</v>
      </c>
      <c r="AE15" s="145">
        <v>40892</v>
      </c>
      <c r="AI15" s="13">
        <v>40817</v>
      </c>
      <c r="AJ15" s="16">
        <v>8</v>
      </c>
      <c r="AK15" s="16">
        <v>37</v>
      </c>
    </row>
    <row r="16" spans="1:50" ht="14.25" customHeight="1" x14ac:dyDescent="0.4">
      <c r="A16">
        <v>12</v>
      </c>
      <c r="B16" s="24">
        <v>40876</v>
      </c>
      <c r="C16" s="24">
        <v>40876</v>
      </c>
      <c r="D16" s="24">
        <v>40876</v>
      </c>
      <c r="E16" s="24">
        <v>40876</v>
      </c>
      <c r="F16" s="24" t="s">
        <v>393</v>
      </c>
      <c r="G16" s="24">
        <v>40890</v>
      </c>
      <c r="H16" s="37">
        <v>310</v>
      </c>
      <c r="I16" s="23">
        <v>40848</v>
      </c>
      <c r="J16" s="37">
        <v>59</v>
      </c>
      <c r="K16" s="24" t="s">
        <v>1367</v>
      </c>
      <c r="L16" s="24">
        <v>40879</v>
      </c>
      <c r="M16" s="24">
        <v>40669</v>
      </c>
      <c r="N16" s="22" t="s">
        <v>671</v>
      </c>
      <c r="O16" s="81">
        <v>9120194</v>
      </c>
      <c r="P16" s="22">
        <v>1020</v>
      </c>
      <c r="Q16" s="22">
        <v>42</v>
      </c>
      <c r="R16" s="22">
        <v>0</v>
      </c>
      <c r="S16" s="4"/>
      <c r="T16" s="4"/>
      <c r="U16" s="44"/>
      <c r="V16" s="4"/>
      <c r="W16" s="9"/>
      <c r="X16" s="74">
        <v>0</v>
      </c>
      <c r="Y16" s="28"/>
      <c r="Z16" s="9"/>
      <c r="AA16" s="24" t="s">
        <v>393</v>
      </c>
      <c r="AB16" s="28">
        <v>40890</v>
      </c>
      <c r="AC16" s="1" t="s">
        <v>1857</v>
      </c>
      <c r="AE16" s="145">
        <v>40892</v>
      </c>
      <c r="AI16" s="13">
        <v>40848</v>
      </c>
      <c r="AJ16" s="16">
        <v>26</v>
      </c>
      <c r="AK16" s="16">
        <v>44</v>
      </c>
    </row>
    <row r="17" spans="1:37" ht="14.25" customHeight="1" x14ac:dyDescent="0.4">
      <c r="A17">
        <v>6</v>
      </c>
      <c r="B17" s="22">
        <v>0</v>
      </c>
      <c r="C17" s="22" t="s">
        <v>2165</v>
      </c>
      <c r="D17" s="22">
        <v>0</v>
      </c>
      <c r="E17" s="24">
        <v>40779</v>
      </c>
      <c r="F17" s="24" t="s">
        <v>393</v>
      </c>
      <c r="G17" s="24">
        <v>40781</v>
      </c>
      <c r="H17" s="37">
        <v>104</v>
      </c>
      <c r="I17" s="23">
        <v>40756</v>
      </c>
      <c r="J17" s="37">
        <v>49</v>
      </c>
      <c r="K17" s="24" t="s">
        <v>1367</v>
      </c>
      <c r="L17" s="24">
        <v>40725</v>
      </c>
      <c r="M17" s="24">
        <v>40669</v>
      </c>
      <c r="N17" s="22" t="s">
        <v>585</v>
      </c>
      <c r="O17" s="81">
        <v>9120188</v>
      </c>
      <c r="P17" s="22">
        <v>1020</v>
      </c>
      <c r="Q17" s="22">
        <v>42</v>
      </c>
      <c r="R17" s="22" t="s">
        <v>1551</v>
      </c>
      <c r="S17" s="4"/>
      <c r="T17" s="4" t="s">
        <v>404</v>
      </c>
      <c r="U17" s="42">
        <v>41103</v>
      </c>
      <c r="V17" s="4"/>
      <c r="W17" s="59"/>
      <c r="X17" s="74"/>
      <c r="Y17" s="28"/>
      <c r="Z17" s="28"/>
      <c r="AA17" s="24" t="s">
        <v>393</v>
      </c>
      <c r="AB17" s="28">
        <v>40781</v>
      </c>
      <c r="AC17" s="1" t="s">
        <v>1292</v>
      </c>
      <c r="AE17" s="145">
        <v>40801</v>
      </c>
      <c r="AI17" s="13">
        <v>40878</v>
      </c>
      <c r="AJ17" s="16">
        <v>7</v>
      </c>
      <c r="AK17" s="16">
        <v>65</v>
      </c>
    </row>
    <row r="18" spans="1:37" ht="14.25" customHeight="1" x14ac:dyDescent="0.4">
      <c r="A18">
        <v>5</v>
      </c>
      <c r="B18" s="22">
        <v>0</v>
      </c>
      <c r="C18" s="22" t="s">
        <v>2165</v>
      </c>
      <c r="D18" s="22">
        <v>0</v>
      </c>
      <c r="E18" s="24">
        <v>40774</v>
      </c>
      <c r="F18" s="24" t="s">
        <v>393</v>
      </c>
      <c r="G18" s="24">
        <v>40794</v>
      </c>
      <c r="H18" s="37">
        <v>98</v>
      </c>
      <c r="I18" s="23">
        <v>40756</v>
      </c>
      <c r="J18" s="37">
        <v>43</v>
      </c>
      <c r="K18" s="24" t="s">
        <v>1367</v>
      </c>
      <c r="L18" s="24">
        <v>40725</v>
      </c>
      <c r="M18" s="24">
        <v>40669</v>
      </c>
      <c r="N18" s="22" t="s">
        <v>585</v>
      </c>
      <c r="O18" s="81">
        <v>9120187</v>
      </c>
      <c r="P18" s="22">
        <v>1020</v>
      </c>
      <c r="Q18" s="22">
        <v>42</v>
      </c>
      <c r="R18" s="22">
        <v>0</v>
      </c>
      <c r="S18" s="4" t="s">
        <v>444</v>
      </c>
      <c r="T18" s="4" t="s">
        <v>404</v>
      </c>
      <c r="U18" s="42">
        <v>41020</v>
      </c>
      <c r="V18" s="4" t="s">
        <v>404</v>
      </c>
      <c r="W18" s="59">
        <v>41024</v>
      </c>
      <c r="X18" s="74"/>
      <c r="Y18" s="28"/>
      <c r="Z18" s="28"/>
      <c r="AA18" s="24" t="s">
        <v>393</v>
      </c>
      <c r="AB18" s="28">
        <v>40794</v>
      </c>
      <c r="AE18" s="145">
        <v>40801</v>
      </c>
      <c r="AI18" s="13">
        <v>40909</v>
      </c>
      <c r="AJ18" s="16">
        <v>16</v>
      </c>
      <c r="AK18" s="16">
        <v>30</v>
      </c>
    </row>
    <row r="19" spans="1:37" ht="14.25" customHeight="1" x14ac:dyDescent="0.4">
      <c r="A19">
        <v>13</v>
      </c>
      <c r="B19" s="24">
        <v>40745</v>
      </c>
      <c r="C19" s="24">
        <v>40745</v>
      </c>
      <c r="D19" s="24">
        <v>40745</v>
      </c>
      <c r="E19" s="24">
        <v>40745</v>
      </c>
      <c r="F19" s="24" t="s">
        <v>393</v>
      </c>
      <c r="G19" s="24">
        <v>40766</v>
      </c>
      <c r="H19" s="37">
        <v>34</v>
      </c>
      <c r="I19" s="23">
        <v>40725</v>
      </c>
      <c r="J19" s="37">
        <v>34</v>
      </c>
      <c r="K19" s="24" t="s">
        <v>1367</v>
      </c>
      <c r="L19" s="24">
        <v>40817</v>
      </c>
      <c r="M19" s="24">
        <v>40660</v>
      </c>
      <c r="N19" s="22" t="s">
        <v>585</v>
      </c>
      <c r="O19" s="4">
        <v>9120384</v>
      </c>
      <c r="P19" s="22">
        <v>1020</v>
      </c>
      <c r="Q19" s="22">
        <v>42</v>
      </c>
      <c r="R19" s="22" t="s">
        <v>2494</v>
      </c>
      <c r="S19" s="48" t="s">
        <v>925</v>
      </c>
      <c r="T19" s="4" t="s">
        <v>404</v>
      </c>
      <c r="U19" s="44">
        <v>40806</v>
      </c>
      <c r="V19" s="4" t="s">
        <v>404</v>
      </c>
      <c r="W19" s="57">
        <v>40811</v>
      </c>
      <c r="X19" s="74"/>
      <c r="Y19" s="28"/>
      <c r="Z19" s="9"/>
      <c r="AA19" s="24" t="s">
        <v>393</v>
      </c>
      <c r="AB19" s="28">
        <v>40766</v>
      </c>
      <c r="AC19" s="1" t="s">
        <v>934</v>
      </c>
      <c r="AE19" s="145">
        <v>40770</v>
      </c>
      <c r="AI19" s="13">
        <v>40940</v>
      </c>
      <c r="AJ19" s="16">
        <v>10</v>
      </c>
      <c r="AK19" s="16">
        <v>36</v>
      </c>
    </row>
    <row r="20" spans="1:37" ht="14.25" customHeight="1" x14ac:dyDescent="0.4">
      <c r="A20">
        <v>14</v>
      </c>
      <c r="B20" s="22">
        <v>0</v>
      </c>
      <c r="C20" s="22" t="s">
        <v>2165</v>
      </c>
      <c r="D20" s="22">
        <v>0</v>
      </c>
      <c r="E20" s="24">
        <v>40745</v>
      </c>
      <c r="F20" s="24" t="s">
        <v>393</v>
      </c>
      <c r="G20" s="24">
        <v>40752</v>
      </c>
      <c r="H20" s="37">
        <v>35</v>
      </c>
      <c r="I20" s="23">
        <v>40725</v>
      </c>
      <c r="J20" s="37">
        <v>35</v>
      </c>
      <c r="K20" s="24" t="s">
        <v>1367</v>
      </c>
      <c r="L20" s="24">
        <v>40817</v>
      </c>
      <c r="M20" s="24">
        <v>40660</v>
      </c>
      <c r="N20" s="22" t="s">
        <v>585</v>
      </c>
      <c r="O20" s="4">
        <v>9120385</v>
      </c>
      <c r="P20" s="22">
        <v>1020</v>
      </c>
      <c r="Q20" s="22">
        <v>42</v>
      </c>
      <c r="R20" s="22" t="s">
        <v>2495</v>
      </c>
      <c r="S20" s="4" t="s">
        <v>653</v>
      </c>
      <c r="T20" s="4" t="s">
        <v>404</v>
      </c>
      <c r="U20" s="44">
        <v>40826</v>
      </c>
      <c r="V20" s="4" t="s">
        <v>404</v>
      </c>
      <c r="W20" s="9">
        <v>40850</v>
      </c>
      <c r="X20" s="74"/>
      <c r="Y20" s="28"/>
      <c r="Z20" s="9"/>
      <c r="AA20" s="24" t="s">
        <v>393</v>
      </c>
      <c r="AB20" s="28">
        <v>40752</v>
      </c>
      <c r="AC20" s="1" t="s">
        <v>758</v>
      </c>
      <c r="AE20" s="145">
        <v>40770</v>
      </c>
      <c r="AI20" s="13">
        <v>40969</v>
      </c>
      <c r="AJ20" s="16">
        <v>14</v>
      </c>
      <c r="AK20" s="16">
        <v>38</v>
      </c>
    </row>
    <row r="21" spans="1:37" ht="14.25" customHeight="1" x14ac:dyDescent="0.4">
      <c r="A21">
        <v>15</v>
      </c>
      <c r="B21" s="22">
        <v>0</v>
      </c>
      <c r="C21" s="22" t="s">
        <v>2102</v>
      </c>
      <c r="D21" s="22">
        <v>0</v>
      </c>
      <c r="E21" s="24">
        <v>40739</v>
      </c>
      <c r="F21" s="24" t="s">
        <v>393</v>
      </c>
      <c r="G21" s="24">
        <v>40750</v>
      </c>
      <c r="H21" s="37">
        <v>23</v>
      </c>
      <c r="I21" s="23">
        <v>40725</v>
      </c>
      <c r="J21" s="37">
        <v>23</v>
      </c>
      <c r="K21" s="24" t="s">
        <v>1367</v>
      </c>
      <c r="L21" s="24">
        <v>40756</v>
      </c>
      <c r="M21" s="24">
        <v>40660</v>
      </c>
      <c r="N21" s="22" t="s">
        <v>585</v>
      </c>
      <c r="O21" s="4">
        <v>9120374</v>
      </c>
      <c r="P21" s="22">
        <v>1020</v>
      </c>
      <c r="Q21" s="22">
        <v>42</v>
      </c>
      <c r="R21" s="22" t="s">
        <v>1589</v>
      </c>
      <c r="S21" s="4" t="s">
        <v>891</v>
      </c>
      <c r="T21" s="4" t="s">
        <v>404</v>
      </c>
      <c r="U21" s="44">
        <v>40738</v>
      </c>
      <c r="V21" s="4" t="s">
        <v>404</v>
      </c>
      <c r="W21" s="9">
        <v>40806</v>
      </c>
      <c r="X21" s="74"/>
      <c r="Y21" s="28"/>
      <c r="Z21" s="28"/>
      <c r="AA21" s="24" t="s">
        <v>393</v>
      </c>
      <c r="AB21" s="28">
        <v>40750</v>
      </c>
      <c r="AC21" s="1" t="s">
        <v>894</v>
      </c>
      <c r="AE21" s="145">
        <v>40770</v>
      </c>
      <c r="AI21" s="13">
        <v>41000</v>
      </c>
      <c r="AJ21" s="16">
        <v>8</v>
      </c>
      <c r="AK21" s="16">
        <v>55</v>
      </c>
    </row>
    <row r="22" spans="1:37" ht="14.25" customHeight="1" x14ac:dyDescent="0.4">
      <c r="A22">
        <v>16</v>
      </c>
      <c r="B22" s="22">
        <v>0</v>
      </c>
      <c r="C22" s="22" t="s">
        <v>2165</v>
      </c>
      <c r="D22" s="22">
        <v>0</v>
      </c>
      <c r="E22" s="24">
        <v>40739</v>
      </c>
      <c r="F22" s="24" t="s">
        <v>393</v>
      </c>
      <c r="G22" s="24">
        <v>40750</v>
      </c>
      <c r="H22" s="37">
        <v>24</v>
      </c>
      <c r="I22" s="23">
        <v>40725</v>
      </c>
      <c r="J22" s="37">
        <v>24</v>
      </c>
      <c r="K22" s="24" t="s">
        <v>1367</v>
      </c>
      <c r="L22" s="24">
        <v>40756</v>
      </c>
      <c r="M22" s="24">
        <v>40660</v>
      </c>
      <c r="N22" s="22" t="s">
        <v>585</v>
      </c>
      <c r="O22" s="4">
        <v>9120375</v>
      </c>
      <c r="P22" s="22">
        <v>1020</v>
      </c>
      <c r="Q22" s="22">
        <v>42</v>
      </c>
      <c r="R22" s="22" t="s">
        <v>2496</v>
      </c>
      <c r="S22" s="4" t="s">
        <v>892</v>
      </c>
      <c r="T22" s="4" t="s">
        <v>404</v>
      </c>
      <c r="U22" s="44">
        <v>40767</v>
      </c>
      <c r="V22" s="4" t="s">
        <v>404</v>
      </c>
      <c r="W22" s="9">
        <v>40779</v>
      </c>
      <c r="X22" s="74"/>
      <c r="Y22" s="28"/>
      <c r="Z22" s="9"/>
      <c r="AA22" s="24" t="s">
        <v>393</v>
      </c>
      <c r="AB22" s="28">
        <v>40750</v>
      </c>
      <c r="AC22" s="1" t="s">
        <v>895</v>
      </c>
      <c r="AE22" s="145">
        <v>40770</v>
      </c>
      <c r="AI22" s="13">
        <v>41030</v>
      </c>
      <c r="AJ22" s="16">
        <v>17</v>
      </c>
      <c r="AK22" s="16">
        <v>27</v>
      </c>
    </row>
    <row r="23" spans="1:37" ht="14.25" customHeight="1" x14ac:dyDescent="0.4">
      <c r="A23">
        <v>17</v>
      </c>
      <c r="B23" s="22">
        <v>0</v>
      </c>
      <c r="C23" s="22">
        <v>0</v>
      </c>
      <c r="D23" s="22">
        <v>0</v>
      </c>
      <c r="E23" s="24">
        <v>40777</v>
      </c>
      <c r="F23" s="24" t="s">
        <v>393</v>
      </c>
      <c r="G23" s="24">
        <v>40780</v>
      </c>
      <c r="H23" s="37">
        <v>99</v>
      </c>
      <c r="I23" s="23">
        <v>40756</v>
      </c>
      <c r="J23" s="37">
        <v>44</v>
      </c>
      <c r="K23" s="24" t="s">
        <v>1367</v>
      </c>
      <c r="L23" s="24">
        <v>40756</v>
      </c>
      <c r="M23" s="24">
        <v>40660</v>
      </c>
      <c r="N23" s="22" t="s">
        <v>585</v>
      </c>
      <c r="O23" s="4">
        <v>9120376</v>
      </c>
      <c r="P23" s="22">
        <v>1020</v>
      </c>
      <c r="Q23" s="22">
        <v>42</v>
      </c>
      <c r="R23" s="22" t="s">
        <v>2497</v>
      </c>
      <c r="S23" s="4" t="s">
        <v>893</v>
      </c>
      <c r="T23" s="4" t="s">
        <v>404</v>
      </c>
      <c r="U23" s="44">
        <v>40738</v>
      </c>
      <c r="V23" s="4" t="s">
        <v>404</v>
      </c>
      <c r="W23" s="9">
        <v>40794</v>
      </c>
      <c r="X23" s="74"/>
      <c r="Y23" s="28"/>
      <c r="Z23" s="9"/>
      <c r="AA23" s="24" t="s">
        <v>393</v>
      </c>
      <c r="AB23" s="28">
        <v>40780</v>
      </c>
      <c r="AC23" s="1" t="s">
        <v>896</v>
      </c>
      <c r="AE23" s="145">
        <v>40801</v>
      </c>
      <c r="AI23" s="13">
        <v>41061</v>
      </c>
    </row>
    <row r="24" spans="1:37" ht="14.25" customHeight="1" x14ac:dyDescent="0.4">
      <c r="A24">
        <v>18</v>
      </c>
      <c r="B24" s="22">
        <v>0</v>
      </c>
      <c r="C24" s="22">
        <v>0</v>
      </c>
      <c r="D24" s="22">
        <v>0</v>
      </c>
      <c r="E24" s="24">
        <v>40771</v>
      </c>
      <c r="F24" s="24" t="s">
        <v>393</v>
      </c>
      <c r="G24" s="24">
        <v>40772</v>
      </c>
      <c r="H24" s="37">
        <v>86</v>
      </c>
      <c r="I24" s="23">
        <v>40756</v>
      </c>
      <c r="J24" s="37">
        <v>31</v>
      </c>
      <c r="K24" s="24" t="s">
        <v>1367</v>
      </c>
      <c r="L24" s="24">
        <v>40756</v>
      </c>
      <c r="M24" s="24">
        <v>40660</v>
      </c>
      <c r="N24" s="22" t="s">
        <v>585</v>
      </c>
      <c r="O24" s="4">
        <v>9120377</v>
      </c>
      <c r="P24" s="22">
        <v>1020</v>
      </c>
      <c r="Q24" s="22">
        <v>42</v>
      </c>
      <c r="R24" s="22" t="s">
        <v>2498</v>
      </c>
      <c r="S24" s="4" t="s">
        <v>654</v>
      </c>
      <c r="T24" s="4" t="s">
        <v>404</v>
      </c>
      <c r="U24" s="42">
        <v>40826</v>
      </c>
      <c r="V24" s="4" t="s">
        <v>404</v>
      </c>
      <c r="W24" s="28">
        <v>40913</v>
      </c>
      <c r="X24" s="74"/>
      <c r="Y24" s="28"/>
      <c r="Z24" s="28"/>
      <c r="AA24" s="24" t="s">
        <v>393</v>
      </c>
      <c r="AB24" s="28">
        <v>40772</v>
      </c>
      <c r="AC24" s="1" t="s">
        <v>895</v>
      </c>
      <c r="AE24" s="145">
        <v>40801</v>
      </c>
    </row>
    <row r="25" spans="1:37" s="69" customFormat="1" ht="14.25" customHeight="1" x14ac:dyDescent="0.4">
      <c r="A25">
        <v>19</v>
      </c>
      <c r="B25" s="22">
        <v>0</v>
      </c>
      <c r="C25" s="22">
        <v>0</v>
      </c>
      <c r="D25" s="22">
        <v>0</v>
      </c>
      <c r="E25" s="24">
        <v>40771</v>
      </c>
      <c r="F25" s="24" t="s">
        <v>393</v>
      </c>
      <c r="G25" s="24">
        <v>40774</v>
      </c>
      <c r="H25" s="37">
        <v>87</v>
      </c>
      <c r="I25" s="23">
        <v>40756</v>
      </c>
      <c r="J25" s="37">
        <v>32</v>
      </c>
      <c r="K25" s="24" t="s">
        <v>1367</v>
      </c>
      <c r="L25" s="24">
        <v>40817</v>
      </c>
      <c r="M25" s="24">
        <v>40660</v>
      </c>
      <c r="N25" s="22" t="s">
        <v>585</v>
      </c>
      <c r="O25" s="4">
        <v>9120386</v>
      </c>
      <c r="P25" s="22">
        <v>720</v>
      </c>
      <c r="Q25" s="22">
        <v>42</v>
      </c>
      <c r="R25" s="22" t="s">
        <v>2499</v>
      </c>
      <c r="S25" s="4" t="s">
        <v>188</v>
      </c>
      <c r="T25" s="4" t="s">
        <v>404</v>
      </c>
      <c r="U25" s="42">
        <v>40869</v>
      </c>
      <c r="V25" s="4" t="s">
        <v>404</v>
      </c>
      <c r="W25" s="28">
        <v>40876</v>
      </c>
      <c r="X25" s="74"/>
      <c r="Y25" s="28"/>
      <c r="Z25" s="28"/>
      <c r="AA25" s="24" t="s">
        <v>393</v>
      </c>
      <c r="AB25" s="28">
        <v>40774</v>
      </c>
      <c r="AC25" s="69" t="s">
        <v>896</v>
      </c>
      <c r="AE25" s="145">
        <v>40801</v>
      </c>
    </row>
    <row r="26" spans="1:37" ht="14.25" customHeight="1" x14ac:dyDescent="0.4">
      <c r="A26">
        <v>20</v>
      </c>
      <c r="B26" s="22">
        <v>0</v>
      </c>
      <c r="C26" s="22">
        <v>0</v>
      </c>
      <c r="D26" s="22">
        <v>0</v>
      </c>
      <c r="E26" s="24">
        <v>40805</v>
      </c>
      <c r="F26" s="24" t="s">
        <v>393</v>
      </c>
      <c r="G26" s="24">
        <v>40808</v>
      </c>
      <c r="H26" s="37">
        <v>154</v>
      </c>
      <c r="I26" s="23">
        <v>40787</v>
      </c>
      <c r="J26" s="37">
        <v>30</v>
      </c>
      <c r="K26" s="24" t="s">
        <v>1367</v>
      </c>
      <c r="L26" s="24">
        <v>40817</v>
      </c>
      <c r="M26" s="24">
        <v>40660</v>
      </c>
      <c r="N26" s="22" t="s">
        <v>585</v>
      </c>
      <c r="O26" s="4">
        <v>9120387</v>
      </c>
      <c r="P26" s="22">
        <v>720</v>
      </c>
      <c r="Q26" s="22">
        <v>42</v>
      </c>
      <c r="R26" s="22" t="s">
        <v>2500</v>
      </c>
      <c r="S26" s="38" t="s">
        <v>1145</v>
      </c>
      <c r="T26" s="4" t="s">
        <v>404</v>
      </c>
      <c r="U26" s="44">
        <v>40834</v>
      </c>
      <c r="V26" s="4" t="s">
        <v>404</v>
      </c>
      <c r="W26" s="9">
        <v>40831</v>
      </c>
      <c r="X26" s="74"/>
      <c r="Y26" s="28"/>
      <c r="Z26" s="9"/>
      <c r="AA26" s="24" t="s">
        <v>393</v>
      </c>
      <c r="AB26" s="28">
        <v>40808</v>
      </c>
      <c r="AC26" s="1" t="s">
        <v>896</v>
      </c>
      <c r="AE26" s="145">
        <v>40831</v>
      </c>
    </row>
    <row r="27" spans="1:37" ht="14.25" customHeight="1" x14ac:dyDescent="0.4">
      <c r="A27">
        <v>21</v>
      </c>
      <c r="B27" s="24">
        <v>40802</v>
      </c>
      <c r="C27" s="24">
        <v>40802</v>
      </c>
      <c r="D27" s="24">
        <v>40802</v>
      </c>
      <c r="E27" s="24">
        <v>40802</v>
      </c>
      <c r="F27" s="24" t="s">
        <v>393</v>
      </c>
      <c r="G27" s="24">
        <v>40808</v>
      </c>
      <c r="H27" s="37">
        <v>153</v>
      </c>
      <c r="I27" s="23">
        <v>40787</v>
      </c>
      <c r="J27" s="37">
        <v>29</v>
      </c>
      <c r="K27" s="24" t="s">
        <v>1367</v>
      </c>
      <c r="L27" s="24">
        <v>40848</v>
      </c>
      <c r="M27" s="24">
        <v>40660</v>
      </c>
      <c r="N27" s="22" t="s">
        <v>585</v>
      </c>
      <c r="O27" s="4">
        <v>9120394</v>
      </c>
      <c r="P27" s="22">
        <v>1020</v>
      </c>
      <c r="Q27" s="22">
        <v>42</v>
      </c>
      <c r="R27" s="22" t="s">
        <v>2501</v>
      </c>
      <c r="S27" s="4" t="s">
        <v>1845</v>
      </c>
      <c r="T27" s="4" t="s">
        <v>404</v>
      </c>
      <c r="U27" s="44">
        <v>40844</v>
      </c>
      <c r="V27" s="4" t="s">
        <v>404</v>
      </c>
      <c r="W27" s="9">
        <v>40851</v>
      </c>
      <c r="X27" s="74">
        <v>0</v>
      </c>
      <c r="Y27" s="28"/>
      <c r="Z27" s="9"/>
      <c r="AA27" s="24" t="s">
        <v>393</v>
      </c>
      <c r="AB27" s="28">
        <v>40808</v>
      </c>
      <c r="AC27" s="1" t="s">
        <v>895</v>
      </c>
      <c r="AE27" s="145">
        <v>40831</v>
      </c>
    </row>
    <row r="28" spans="1:37" ht="14.25" customHeight="1" x14ac:dyDescent="0.4">
      <c r="A28">
        <v>22</v>
      </c>
      <c r="B28" s="24">
        <v>40777</v>
      </c>
      <c r="C28" s="24">
        <v>40777</v>
      </c>
      <c r="D28" s="24">
        <v>40777</v>
      </c>
      <c r="E28" s="24">
        <v>40777</v>
      </c>
      <c r="F28" s="24" t="s">
        <v>393</v>
      </c>
      <c r="G28" s="24">
        <v>40780</v>
      </c>
      <c r="H28" s="37">
        <v>100</v>
      </c>
      <c r="I28" s="23">
        <v>40756</v>
      </c>
      <c r="J28" s="37">
        <v>45</v>
      </c>
      <c r="K28" s="24" t="s">
        <v>1367</v>
      </c>
      <c r="L28" s="24">
        <v>40848</v>
      </c>
      <c r="M28" s="24">
        <v>40660</v>
      </c>
      <c r="N28" s="22" t="s">
        <v>585</v>
      </c>
      <c r="O28" s="4">
        <v>9120395</v>
      </c>
      <c r="P28" s="22">
        <v>1020</v>
      </c>
      <c r="Q28" s="22">
        <v>42</v>
      </c>
      <c r="R28" s="22" t="s">
        <v>2502</v>
      </c>
      <c r="S28" s="38" t="s">
        <v>1146</v>
      </c>
      <c r="T28" s="4" t="s">
        <v>404</v>
      </c>
      <c r="U28" s="42">
        <v>40834</v>
      </c>
      <c r="V28" s="4" t="s">
        <v>404</v>
      </c>
      <c r="W28" s="57">
        <v>40813</v>
      </c>
      <c r="X28" s="74">
        <v>0</v>
      </c>
      <c r="Y28" s="28"/>
      <c r="AA28" s="24" t="s">
        <v>393</v>
      </c>
      <c r="AB28" s="28">
        <v>40780</v>
      </c>
      <c r="AC28" s="1" t="s">
        <v>895</v>
      </c>
      <c r="AE28" s="145">
        <v>40801</v>
      </c>
    </row>
    <row r="29" spans="1:37" ht="14.25" customHeight="1" x14ac:dyDescent="0.4">
      <c r="A29">
        <v>23</v>
      </c>
      <c r="B29" s="22">
        <v>0</v>
      </c>
      <c r="C29" s="22" t="s">
        <v>2102</v>
      </c>
      <c r="D29" s="22">
        <v>0</v>
      </c>
      <c r="E29" s="24">
        <v>40778</v>
      </c>
      <c r="F29" s="24" t="s">
        <v>393</v>
      </c>
      <c r="G29" s="24">
        <v>40780</v>
      </c>
      <c r="H29" s="37">
        <v>101</v>
      </c>
      <c r="I29" s="23">
        <v>40756</v>
      </c>
      <c r="J29" s="37">
        <v>46</v>
      </c>
      <c r="K29" s="24" t="s">
        <v>1367</v>
      </c>
      <c r="L29" s="24">
        <v>40878</v>
      </c>
      <c r="M29" s="24">
        <v>40660</v>
      </c>
      <c r="N29" s="22" t="s">
        <v>585</v>
      </c>
      <c r="O29" s="4">
        <v>9120416</v>
      </c>
      <c r="P29" s="22">
        <v>1020</v>
      </c>
      <c r="Q29" s="22">
        <v>42</v>
      </c>
      <c r="R29" s="22" t="s">
        <v>2503</v>
      </c>
      <c r="S29" s="48" t="s">
        <v>988</v>
      </c>
      <c r="T29" s="4" t="s">
        <v>404</v>
      </c>
      <c r="U29" s="42">
        <v>40857</v>
      </c>
      <c r="V29" s="4" t="s">
        <v>404</v>
      </c>
      <c r="W29" s="43">
        <v>40862</v>
      </c>
      <c r="X29" s="74"/>
      <c r="Y29" s="28"/>
      <c r="Z29" s="28"/>
      <c r="AA29" s="24" t="s">
        <v>393</v>
      </c>
      <c r="AB29" s="28">
        <v>40780</v>
      </c>
      <c r="AC29" s="1" t="s">
        <v>758</v>
      </c>
      <c r="AE29" s="145">
        <v>40801</v>
      </c>
    </row>
    <row r="30" spans="1:37" ht="14.25" customHeight="1" x14ac:dyDescent="0.4">
      <c r="A30">
        <v>24</v>
      </c>
      <c r="B30" s="22">
        <v>0</v>
      </c>
      <c r="C30" s="22" t="s">
        <v>2165</v>
      </c>
      <c r="D30" s="22">
        <v>0</v>
      </c>
      <c r="E30" s="24">
        <v>40778</v>
      </c>
      <c r="F30" s="24" t="s">
        <v>393</v>
      </c>
      <c r="G30" s="24">
        <v>40805</v>
      </c>
      <c r="H30" s="37">
        <v>102</v>
      </c>
      <c r="I30" s="23">
        <v>40756</v>
      </c>
      <c r="J30" s="37">
        <v>47</v>
      </c>
      <c r="K30" s="24" t="s">
        <v>1367</v>
      </c>
      <c r="L30" s="24">
        <v>40878</v>
      </c>
      <c r="M30" s="24">
        <v>40660</v>
      </c>
      <c r="N30" s="22" t="s">
        <v>585</v>
      </c>
      <c r="O30" s="4">
        <v>9120417</v>
      </c>
      <c r="P30" s="22">
        <v>1020</v>
      </c>
      <c r="Q30" s="22">
        <v>42</v>
      </c>
      <c r="R30" s="22" t="s">
        <v>2504</v>
      </c>
      <c r="S30" s="4" t="s">
        <v>1147</v>
      </c>
      <c r="T30" s="4" t="s">
        <v>404</v>
      </c>
      <c r="U30" s="42">
        <v>40833</v>
      </c>
      <c r="V30" s="4" t="s">
        <v>404</v>
      </c>
      <c r="W30" s="57">
        <v>40865</v>
      </c>
      <c r="X30" s="74"/>
      <c r="Y30" s="28"/>
      <c r="Z30" s="9"/>
      <c r="AA30" s="24" t="s">
        <v>393</v>
      </c>
      <c r="AB30" s="28">
        <v>40805</v>
      </c>
      <c r="AC30" s="1" t="s">
        <v>895</v>
      </c>
      <c r="AE30" s="145">
        <v>40801</v>
      </c>
    </row>
    <row r="31" spans="1:37" ht="14.25" customHeight="1" x14ac:dyDescent="0.4">
      <c r="A31">
        <v>25</v>
      </c>
      <c r="B31" s="24">
        <v>40738</v>
      </c>
      <c r="C31" s="24">
        <v>40738</v>
      </c>
      <c r="D31" s="24">
        <v>40738</v>
      </c>
      <c r="E31" s="24">
        <v>40738</v>
      </c>
      <c r="F31" s="24" t="s">
        <v>393</v>
      </c>
      <c r="G31" s="24">
        <v>40742</v>
      </c>
      <c r="H31" s="37">
        <v>21</v>
      </c>
      <c r="I31" s="23">
        <v>40725</v>
      </c>
      <c r="J31" s="37">
        <v>21</v>
      </c>
      <c r="K31" s="24" t="s">
        <v>1367</v>
      </c>
      <c r="L31" s="24">
        <v>40787</v>
      </c>
      <c r="M31" s="24">
        <v>40660</v>
      </c>
      <c r="N31" s="22" t="s">
        <v>585</v>
      </c>
      <c r="O31" s="4">
        <v>9120378</v>
      </c>
      <c r="P31" s="22">
        <v>1020</v>
      </c>
      <c r="Q31" s="22">
        <v>42</v>
      </c>
      <c r="R31" s="22" t="s">
        <v>2505</v>
      </c>
      <c r="S31" s="38" t="s">
        <v>1597</v>
      </c>
      <c r="T31" s="4" t="s">
        <v>404</v>
      </c>
      <c r="U31" s="164">
        <v>40744</v>
      </c>
      <c r="V31" s="4" t="s">
        <v>404</v>
      </c>
      <c r="W31" s="28">
        <v>40790</v>
      </c>
      <c r="Y31" s="28"/>
      <c r="AA31" s="24" t="s">
        <v>393</v>
      </c>
      <c r="AB31" s="28">
        <v>40742</v>
      </c>
      <c r="AC31" s="1" t="s">
        <v>935</v>
      </c>
      <c r="AE31" s="145">
        <v>40770</v>
      </c>
    </row>
    <row r="32" spans="1:37" ht="14.25" customHeight="1" x14ac:dyDescent="0.4">
      <c r="A32">
        <v>26</v>
      </c>
      <c r="B32" s="24">
        <v>40738</v>
      </c>
      <c r="C32" s="24">
        <v>40738</v>
      </c>
      <c r="D32" s="24">
        <v>40738</v>
      </c>
      <c r="E32" s="24">
        <v>40738</v>
      </c>
      <c r="F32" s="24" t="s">
        <v>393</v>
      </c>
      <c r="G32" s="24">
        <v>40750</v>
      </c>
      <c r="H32" s="37">
        <v>22</v>
      </c>
      <c r="I32" s="23">
        <v>40725</v>
      </c>
      <c r="J32" s="37">
        <v>22</v>
      </c>
      <c r="K32" s="24" t="s">
        <v>1367</v>
      </c>
      <c r="L32" s="24">
        <v>40787</v>
      </c>
      <c r="M32" s="24">
        <v>40660</v>
      </c>
      <c r="N32" s="22" t="s">
        <v>585</v>
      </c>
      <c r="O32" s="4">
        <v>9120379</v>
      </c>
      <c r="P32" s="22">
        <v>1020</v>
      </c>
      <c r="Q32" s="22">
        <v>42</v>
      </c>
      <c r="R32" s="22" t="s">
        <v>2506</v>
      </c>
      <c r="S32" s="3" t="s">
        <v>1982</v>
      </c>
      <c r="T32" s="4" t="s">
        <v>404</v>
      </c>
      <c r="U32" s="164">
        <v>40801</v>
      </c>
      <c r="V32" s="4" t="s">
        <v>404</v>
      </c>
      <c r="W32" s="28">
        <v>40870</v>
      </c>
      <c r="Y32" s="28"/>
      <c r="AA32" s="24" t="s">
        <v>393</v>
      </c>
      <c r="AB32" s="28">
        <v>40750</v>
      </c>
      <c r="AC32" s="1" t="s">
        <v>895</v>
      </c>
      <c r="AE32" s="145">
        <v>40770</v>
      </c>
    </row>
    <row r="33" spans="1:31" ht="14.25" customHeight="1" x14ac:dyDescent="0.4">
      <c r="A33">
        <v>27</v>
      </c>
      <c r="B33" s="24">
        <v>40814</v>
      </c>
      <c r="C33" s="24">
        <v>40814</v>
      </c>
      <c r="D33" s="24">
        <v>40814</v>
      </c>
      <c r="E33" s="24">
        <v>40814</v>
      </c>
      <c r="F33" s="24" t="s">
        <v>393</v>
      </c>
      <c r="G33" s="24">
        <v>40815</v>
      </c>
      <c r="H33" s="37">
        <v>176</v>
      </c>
      <c r="I33" s="23">
        <v>40787</v>
      </c>
      <c r="J33" s="37">
        <v>52</v>
      </c>
      <c r="K33" s="24" t="s">
        <v>1367</v>
      </c>
      <c r="L33" s="24">
        <v>40787</v>
      </c>
      <c r="M33" s="24">
        <v>40660</v>
      </c>
      <c r="N33" s="22" t="s">
        <v>585</v>
      </c>
      <c r="O33" s="4">
        <v>9120380</v>
      </c>
      <c r="P33" s="22">
        <v>720</v>
      </c>
      <c r="Q33" s="22">
        <v>42</v>
      </c>
      <c r="R33" s="22" t="s">
        <v>2507</v>
      </c>
      <c r="S33" s="1" t="s">
        <v>989</v>
      </c>
      <c r="T33" s="4" t="s">
        <v>404</v>
      </c>
      <c r="U33" s="44">
        <v>40857</v>
      </c>
      <c r="V33" s="4" t="s">
        <v>404</v>
      </c>
      <c r="W33" s="9">
        <v>41202</v>
      </c>
      <c r="X33" s="74">
        <v>0</v>
      </c>
      <c r="Y33" s="28"/>
      <c r="Z33" s="9"/>
      <c r="AA33" s="24" t="s">
        <v>393</v>
      </c>
      <c r="AB33" s="28">
        <v>40815</v>
      </c>
      <c r="AC33" s="1" t="s">
        <v>894</v>
      </c>
      <c r="AE33" s="145">
        <v>40831</v>
      </c>
    </row>
    <row r="34" spans="1:31" ht="14.25" customHeight="1" x14ac:dyDescent="0.4">
      <c r="A34">
        <v>28</v>
      </c>
      <c r="B34" s="24">
        <v>40814</v>
      </c>
      <c r="C34" s="24">
        <v>40814</v>
      </c>
      <c r="D34" s="24">
        <v>40814</v>
      </c>
      <c r="E34" s="24">
        <v>40814</v>
      </c>
      <c r="F34" s="24" t="s">
        <v>393</v>
      </c>
      <c r="G34" s="24">
        <v>40816</v>
      </c>
      <c r="H34" s="37">
        <v>177</v>
      </c>
      <c r="I34" s="23">
        <v>40787</v>
      </c>
      <c r="J34" s="37">
        <v>53</v>
      </c>
      <c r="K34" s="24" t="s">
        <v>1367</v>
      </c>
      <c r="L34" s="36"/>
      <c r="M34" s="24">
        <v>40660</v>
      </c>
      <c r="N34" s="22" t="s">
        <v>585</v>
      </c>
      <c r="O34" s="4">
        <v>9120381</v>
      </c>
      <c r="P34" s="22">
        <v>720</v>
      </c>
      <c r="Q34" s="22">
        <v>42</v>
      </c>
      <c r="R34" s="22" t="s">
        <v>2508</v>
      </c>
      <c r="S34" s="4" t="s">
        <v>1598</v>
      </c>
      <c r="T34" s="4" t="s">
        <v>404</v>
      </c>
      <c r="U34" s="44">
        <v>40758</v>
      </c>
      <c r="V34" s="4" t="s">
        <v>404</v>
      </c>
      <c r="W34" s="9">
        <v>40836</v>
      </c>
      <c r="Y34" s="28"/>
      <c r="Z34" s="28"/>
      <c r="AA34" s="24" t="s">
        <v>393</v>
      </c>
      <c r="AB34" s="28">
        <v>40816</v>
      </c>
      <c r="AC34" s="1" t="s">
        <v>936</v>
      </c>
      <c r="AE34" s="145">
        <v>40831</v>
      </c>
    </row>
    <row r="35" spans="1:31" ht="14.25" customHeight="1" x14ac:dyDescent="0.4">
      <c r="A35">
        <v>29</v>
      </c>
      <c r="B35" s="24">
        <v>40815</v>
      </c>
      <c r="C35" s="24">
        <v>40815</v>
      </c>
      <c r="D35" s="24">
        <v>40815</v>
      </c>
      <c r="E35" s="24">
        <v>40815</v>
      </c>
      <c r="F35" s="24" t="s">
        <v>393</v>
      </c>
      <c r="G35" s="24">
        <v>40816</v>
      </c>
      <c r="H35" s="37">
        <v>178</v>
      </c>
      <c r="I35" s="23">
        <v>40787</v>
      </c>
      <c r="J35" s="37">
        <v>54</v>
      </c>
      <c r="K35" s="24" t="s">
        <v>1367</v>
      </c>
      <c r="L35" s="24">
        <v>40787</v>
      </c>
      <c r="M35" s="24">
        <v>40660</v>
      </c>
      <c r="N35" s="22" t="s">
        <v>585</v>
      </c>
      <c r="O35" s="4">
        <v>9120382</v>
      </c>
      <c r="P35" s="22">
        <v>1020</v>
      </c>
      <c r="Q35" s="22">
        <v>42</v>
      </c>
      <c r="R35" s="22" t="s">
        <v>2509</v>
      </c>
      <c r="S35" s="4" t="s">
        <v>189</v>
      </c>
      <c r="T35" s="4" t="s">
        <v>404</v>
      </c>
      <c r="U35" s="44">
        <v>40869</v>
      </c>
      <c r="V35" s="4" t="s">
        <v>404</v>
      </c>
      <c r="W35" s="136">
        <v>40869</v>
      </c>
      <c r="Y35" s="28"/>
      <c r="Z35" s="28"/>
      <c r="AA35" s="24" t="s">
        <v>393</v>
      </c>
      <c r="AB35" s="28">
        <v>40816</v>
      </c>
      <c r="AC35" s="1" t="s">
        <v>935</v>
      </c>
      <c r="AE35" s="145">
        <v>40831</v>
      </c>
    </row>
    <row r="36" spans="1:31" ht="14.25" customHeight="1" x14ac:dyDescent="0.4">
      <c r="A36">
        <v>30</v>
      </c>
      <c r="B36" s="24">
        <v>40815</v>
      </c>
      <c r="C36" s="24">
        <v>40815</v>
      </c>
      <c r="D36" s="24">
        <v>40815</v>
      </c>
      <c r="E36" s="24">
        <v>40815</v>
      </c>
      <c r="F36" s="24" t="s">
        <v>393</v>
      </c>
      <c r="G36" s="24">
        <v>40816</v>
      </c>
      <c r="H36" s="37">
        <v>179</v>
      </c>
      <c r="I36" s="23">
        <v>40787</v>
      </c>
      <c r="J36" s="37">
        <v>55</v>
      </c>
      <c r="K36" s="24" t="s">
        <v>1367</v>
      </c>
      <c r="L36" s="24">
        <v>40787</v>
      </c>
      <c r="M36" s="24">
        <v>40660</v>
      </c>
      <c r="N36" s="22" t="s">
        <v>585</v>
      </c>
      <c r="O36" s="4">
        <v>9120383</v>
      </c>
      <c r="P36" s="22">
        <v>1020</v>
      </c>
      <c r="Q36" s="22">
        <v>42</v>
      </c>
      <c r="R36" s="22" t="s">
        <v>2510</v>
      </c>
      <c r="S36" s="1" t="s">
        <v>990</v>
      </c>
      <c r="T36" s="4" t="s">
        <v>404</v>
      </c>
      <c r="U36" s="44">
        <v>40857</v>
      </c>
      <c r="V36" s="4" t="s">
        <v>404</v>
      </c>
      <c r="W36" s="136">
        <v>40870</v>
      </c>
      <c r="X36" s="74"/>
      <c r="Y36" s="28"/>
      <c r="Z36" s="28"/>
      <c r="AA36" s="24" t="s">
        <v>393</v>
      </c>
      <c r="AB36" s="28">
        <v>40816</v>
      </c>
      <c r="AC36" s="1" t="s">
        <v>992</v>
      </c>
      <c r="AE36" s="145">
        <v>40831</v>
      </c>
    </row>
    <row r="37" spans="1:31" ht="14.25" customHeight="1" x14ac:dyDescent="0.4">
      <c r="A37">
        <v>31</v>
      </c>
      <c r="B37" s="22">
        <v>0</v>
      </c>
      <c r="C37" s="22" t="s">
        <v>2102</v>
      </c>
      <c r="D37" s="22">
        <v>0</v>
      </c>
      <c r="E37" s="24">
        <v>40835</v>
      </c>
      <c r="F37" s="24" t="s">
        <v>393</v>
      </c>
      <c r="G37" s="24">
        <v>40836</v>
      </c>
      <c r="H37" s="37">
        <v>227</v>
      </c>
      <c r="I37" s="23">
        <v>40817</v>
      </c>
      <c r="J37" s="37">
        <v>40</v>
      </c>
      <c r="K37" s="24" t="s">
        <v>1367</v>
      </c>
      <c r="L37" s="24">
        <v>40817</v>
      </c>
      <c r="M37" s="24">
        <v>40660</v>
      </c>
      <c r="N37" s="22" t="s">
        <v>585</v>
      </c>
      <c r="O37" s="4">
        <v>9120388</v>
      </c>
      <c r="P37" s="22">
        <v>1020</v>
      </c>
      <c r="Q37" s="22">
        <v>42</v>
      </c>
      <c r="R37" s="22" t="s">
        <v>2511</v>
      </c>
      <c r="S37" s="4" t="s">
        <v>1895</v>
      </c>
      <c r="T37" s="4" t="s">
        <v>404</v>
      </c>
      <c r="U37" s="44">
        <v>40878</v>
      </c>
      <c r="V37" s="4" t="s">
        <v>404</v>
      </c>
      <c r="W37" s="57">
        <v>40892</v>
      </c>
      <c r="X37" s="74"/>
      <c r="Y37" s="28"/>
      <c r="Z37" s="9"/>
      <c r="AA37" s="24" t="s">
        <v>393</v>
      </c>
      <c r="AB37" s="28">
        <v>40836</v>
      </c>
      <c r="AC37" s="1" t="s">
        <v>895</v>
      </c>
      <c r="AE37" s="145">
        <v>40862</v>
      </c>
    </row>
    <row r="38" spans="1:31" ht="14.25" customHeight="1" x14ac:dyDescent="0.4">
      <c r="A38">
        <v>32</v>
      </c>
      <c r="B38" s="22">
        <v>0</v>
      </c>
      <c r="C38" s="22" t="s">
        <v>2102</v>
      </c>
      <c r="D38" s="22">
        <v>0</v>
      </c>
      <c r="E38" s="24">
        <v>40836</v>
      </c>
      <c r="F38" s="24" t="s">
        <v>393</v>
      </c>
      <c r="G38" s="24">
        <v>40847</v>
      </c>
      <c r="H38" s="37">
        <v>228</v>
      </c>
      <c r="I38" s="23">
        <v>40817</v>
      </c>
      <c r="J38" s="37">
        <v>41</v>
      </c>
      <c r="K38" s="24" t="s">
        <v>1367</v>
      </c>
      <c r="L38" s="24">
        <v>40817</v>
      </c>
      <c r="M38" s="24">
        <v>40660</v>
      </c>
      <c r="N38" s="22" t="s">
        <v>585</v>
      </c>
      <c r="O38" s="4">
        <v>9120389</v>
      </c>
      <c r="P38" s="22">
        <v>1020</v>
      </c>
      <c r="Q38" s="22">
        <v>42</v>
      </c>
      <c r="R38" s="22" t="s">
        <v>2512</v>
      </c>
      <c r="S38" s="4" t="s">
        <v>1050</v>
      </c>
      <c r="T38" s="4" t="s">
        <v>404</v>
      </c>
      <c r="U38" s="44">
        <v>40863</v>
      </c>
      <c r="V38" s="4" t="s">
        <v>404</v>
      </c>
      <c r="W38" s="57">
        <v>40865</v>
      </c>
      <c r="X38" s="74"/>
      <c r="Y38" s="28"/>
      <c r="Z38" s="9"/>
      <c r="AA38" s="24" t="s">
        <v>393</v>
      </c>
      <c r="AB38" s="28">
        <v>40847</v>
      </c>
      <c r="AC38" s="1" t="s">
        <v>894</v>
      </c>
      <c r="AE38" s="145">
        <v>40862</v>
      </c>
    </row>
    <row r="39" spans="1:31" ht="14.25" customHeight="1" x14ac:dyDescent="0.4">
      <c r="A39">
        <v>33</v>
      </c>
      <c r="B39" s="22">
        <v>0</v>
      </c>
      <c r="C39" s="22" t="s">
        <v>2165</v>
      </c>
      <c r="D39" s="22">
        <v>0</v>
      </c>
      <c r="E39" s="24">
        <v>40836</v>
      </c>
      <c r="F39" s="24" t="s">
        <v>393</v>
      </c>
      <c r="G39" s="24">
        <v>40847</v>
      </c>
      <c r="H39" s="37">
        <v>229</v>
      </c>
      <c r="I39" s="23">
        <v>40817</v>
      </c>
      <c r="J39" s="37">
        <v>42</v>
      </c>
      <c r="K39" s="24" t="s">
        <v>1367</v>
      </c>
      <c r="L39" s="24">
        <v>40817</v>
      </c>
      <c r="M39" s="24">
        <v>40660</v>
      </c>
      <c r="N39" s="22" t="s">
        <v>585</v>
      </c>
      <c r="O39" s="4">
        <v>9120390</v>
      </c>
      <c r="P39" s="22">
        <v>1020</v>
      </c>
      <c r="Q39" s="22">
        <v>42</v>
      </c>
      <c r="R39" s="22" t="s">
        <v>2513</v>
      </c>
      <c r="S39" s="4" t="s">
        <v>1148</v>
      </c>
      <c r="T39" s="4" t="s">
        <v>404</v>
      </c>
      <c r="U39" s="44">
        <v>40834</v>
      </c>
      <c r="V39" s="4" t="s">
        <v>404</v>
      </c>
      <c r="W39" s="57">
        <v>40865</v>
      </c>
      <c r="X39" s="74"/>
      <c r="Y39" s="28"/>
      <c r="Z39" s="28"/>
      <c r="AA39" s="24" t="s">
        <v>393</v>
      </c>
      <c r="AB39" s="28">
        <v>40847</v>
      </c>
      <c r="AC39" s="1" t="s">
        <v>895</v>
      </c>
      <c r="AE39" s="145">
        <v>40862</v>
      </c>
    </row>
    <row r="40" spans="1:31" ht="14.25" customHeight="1" x14ac:dyDescent="0.4">
      <c r="A40">
        <v>34</v>
      </c>
      <c r="B40" s="22">
        <v>0</v>
      </c>
      <c r="C40" s="22" t="s">
        <v>2165</v>
      </c>
      <c r="D40" s="22">
        <v>0</v>
      </c>
      <c r="E40" s="24">
        <v>40836</v>
      </c>
      <c r="F40" s="24" t="s">
        <v>393</v>
      </c>
      <c r="G40" s="24">
        <v>40847</v>
      </c>
      <c r="H40" s="37">
        <v>230</v>
      </c>
      <c r="I40" s="23">
        <v>40817</v>
      </c>
      <c r="J40" s="37">
        <v>43</v>
      </c>
      <c r="K40" s="24" t="s">
        <v>1367</v>
      </c>
      <c r="L40" s="24">
        <v>40817</v>
      </c>
      <c r="M40" s="24">
        <v>40660</v>
      </c>
      <c r="N40" s="22" t="s">
        <v>585</v>
      </c>
      <c r="O40" s="4">
        <v>9120391</v>
      </c>
      <c r="P40" s="22">
        <v>1020</v>
      </c>
      <c r="Q40" s="22">
        <v>42</v>
      </c>
      <c r="R40" s="22" t="s">
        <v>2514</v>
      </c>
      <c r="S40" s="4" t="s">
        <v>926</v>
      </c>
      <c r="T40" s="4" t="s">
        <v>404</v>
      </c>
      <c r="U40" s="44">
        <v>40809</v>
      </c>
      <c r="V40" s="4" t="s">
        <v>404</v>
      </c>
      <c r="W40" s="57">
        <v>40904</v>
      </c>
      <c r="X40" s="74"/>
      <c r="Y40" s="28"/>
      <c r="Z40" s="28"/>
      <c r="AA40" s="24" t="s">
        <v>393</v>
      </c>
      <c r="AB40" s="28">
        <v>40847</v>
      </c>
      <c r="AC40" s="1" t="s">
        <v>895</v>
      </c>
      <c r="AE40" s="145">
        <v>40862</v>
      </c>
    </row>
    <row r="41" spans="1:31" ht="14.25" customHeight="1" x14ac:dyDescent="0.4">
      <c r="A41">
        <v>35</v>
      </c>
      <c r="B41" s="22">
        <v>0</v>
      </c>
      <c r="C41" s="22">
        <v>0</v>
      </c>
      <c r="D41" s="22">
        <v>0</v>
      </c>
      <c r="E41" s="24">
        <v>40837</v>
      </c>
      <c r="F41" s="24" t="s">
        <v>393</v>
      </c>
      <c r="G41" s="24">
        <v>40840</v>
      </c>
      <c r="H41" s="37">
        <v>231</v>
      </c>
      <c r="I41" s="23">
        <v>40817</v>
      </c>
      <c r="J41" s="37">
        <v>44</v>
      </c>
      <c r="K41" s="24" t="s">
        <v>1367</v>
      </c>
      <c r="L41" s="24">
        <v>40817</v>
      </c>
      <c r="M41" s="24">
        <v>40660</v>
      </c>
      <c r="N41" s="22" t="s">
        <v>585</v>
      </c>
      <c r="O41" s="4">
        <v>9120392</v>
      </c>
      <c r="P41" s="22">
        <v>1020</v>
      </c>
      <c r="Q41" s="22">
        <v>42</v>
      </c>
      <c r="R41" s="22" t="s">
        <v>2515</v>
      </c>
      <c r="S41" s="4" t="s">
        <v>270</v>
      </c>
      <c r="T41" s="4" t="s">
        <v>404</v>
      </c>
      <c r="U41" s="44">
        <v>40870</v>
      </c>
      <c r="V41" s="4" t="s">
        <v>404</v>
      </c>
      <c r="W41" s="57">
        <v>40912</v>
      </c>
      <c r="X41" s="74"/>
      <c r="Y41" s="28"/>
      <c r="Z41" s="9"/>
      <c r="AA41" s="24" t="s">
        <v>393</v>
      </c>
      <c r="AB41" s="28">
        <v>40840</v>
      </c>
      <c r="AC41" s="1" t="s">
        <v>895</v>
      </c>
      <c r="AE41" s="145">
        <v>40862</v>
      </c>
    </row>
    <row r="42" spans="1:31" ht="14.25" customHeight="1" x14ac:dyDescent="0.4">
      <c r="A42">
        <v>36</v>
      </c>
      <c r="B42" s="22">
        <v>0</v>
      </c>
      <c r="C42" s="22">
        <v>0</v>
      </c>
      <c r="D42" s="22">
        <v>0</v>
      </c>
      <c r="E42" s="24">
        <v>40837</v>
      </c>
      <c r="F42" s="24" t="s">
        <v>393</v>
      </c>
      <c r="G42" s="24">
        <v>40847</v>
      </c>
      <c r="H42" s="37">
        <v>232</v>
      </c>
      <c r="I42" s="23">
        <v>40817</v>
      </c>
      <c r="J42" s="37">
        <v>45</v>
      </c>
      <c r="K42" s="24" t="s">
        <v>1367</v>
      </c>
      <c r="L42" s="24">
        <v>40817</v>
      </c>
      <c r="M42" s="24">
        <v>40660</v>
      </c>
      <c r="N42" s="22" t="s">
        <v>585</v>
      </c>
      <c r="O42" s="4">
        <v>9120393</v>
      </c>
      <c r="P42" s="22">
        <v>1020</v>
      </c>
      <c r="Q42" s="22">
        <v>42</v>
      </c>
      <c r="R42" s="22" t="s">
        <v>2516</v>
      </c>
      <c r="S42" s="4" t="s">
        <v>2062</v>
      </c>
      <c r="T42" s="4" t="s">
        <v>404</v>
      </c>
      <c r="U42" s="44">
        <v>40885</v>
      </c>
      <c r="V42" s="4" t="s">
        <v>404</v>
      </c>
      <c r="W42" s="57">
        <v>40905</v>
      </c>
      <c r="X42" s="74"/>
      <c r="Y42" s="28"/>
      <c r="Z42" s="28"/>
      <c r="AA42" s="24" t="s">
        <v>393</v>
      </c>
      <c r="AB42" s="28">
        <v>40847</v>
      </c>
      <c r="AC42" s="1" t="s">
        <v>895</v>
      </c>
      <c r="AE42" s="145">
        <v>40862</v>
      </c>
    </row>
    <row r="43" spans="1:31" ht="14.25" customHeight="1" x14ac:dyDescent="0.4">
      <c r="A43">
        <v>37</v>
      </c>
      <c r="B43" s="22">
        <v>0</v>
      </c>
      <c r="C43" s="22" t="s">
        <v>2165</v>
      </c>
      <c r="D43" s="22">
        <v>0</v>
      </c>
      <c r="E43" s="24">
        <v>40837</v>
      </c>
      <c r="F43" s="24" t="s">
        <v>393</v>
      </c>
      <c r="G43" s="24">
        <v>40847</v>
      </c>
      <c r="H43" s="37">
        <v>233</v>
      </c>
      <c r="I43" s="23">
        <v>40817</v>
      </c>
      <c r="J43" s="37">
        <v>46</v>
      </c>
      <c r="K43" s="24" t="s">
        <v>1367</v>
      </c>
      <c r="L43" s="24">
        <v>40848</v>
      </c>
      <c r="M43" s="24">
        <v>40660</v>
      </c>
      <c r="N43" s="22" t="s">
        <v>585</v>
      </c>
      <c r="O43" s="4">
        <v>9120396</v>
      </c>
      <c r="P43" s="22">
        <v>1020</v>
      </c>
      <c r="Q43" s="22">
        <v>42</v>
      </c>
      <c r="R43" s="22" t="s">
        <v>2517</v>
      </c>
      <c r="S43" s="102" t="s">
        <v>927</v>
      </c>
      <c r="T43" s="4" t="s">
        <v>404</v>
      </c>
      <c r="U43" s="44">
        <v>40809</v>
      </c>
      <c r="V43" s="4" t="s">
        <v>404</v>
      </c>
      <c r="W43" s="9">
        <v>40885</v>
      </c>
      <c r="X43" s="74"/>
      <c r="Y43" s="28"/>
      <c r="Z43" s="28"/>
      <c r="AA43" s="24" t="s">
        <v>393</v>
      </c>
      <c r="AB43" s="28">
        <v>40847</v>
      </c>
      <c r="AC43" s="1" t="s">
        <v>895</v>
      </c>
      <c r="AE43" s="145">
        <v>40862</v>
      </c>
    </row>
    <row r="44" spans="1:31" ht="14.25" customHeight="1" x14ac:dyDescent="0.4">
      <c r="A44">
        <v>38</v>
      </c>
      <c r="B44" s="22">
        <v>0</v>
      </c>
      <c r="C44" s="22" t="s">
        <v>2165</v>
      </c>
      <c r="D44" s="22">
        <v>0</v>
      </c>
      <c r="E44" s="24">
        <v>40840</v>
      </c>
      <c r="F44" s="24" t="s">
        <v>393</v>
      </c>
      <c r="G44" s="24">
        <v>40847</v>
      </c>
      <c r="H44" s="37">
        <v>234</v>
      </c>
      <c r="I44" s="23">
        <v>40817</v>
      </c>
      <c r="J44" s="37">
        <v>47</v>
      </c>
      <c r="K44" s="24" t="s">
        <v>1367</v>
      </c>
      <c r="L44" s="24">
        <v>40878</v>
      </c>
      <c r="M44" s="24">
        <v>40660</v>
      </c>
      <c r="N44" s="22" t="s">
        <v>585</v>
      </c>
      <c r="O44" s="4">
        <v>9120415</v>
      </c>
      <c r="P44" s="22">
        <v>1020</v>
      </c>
      <c r="Q44" s="22">
        <v>42</v>
      </c>
      <c r="R44" s="22" t="s">
        <v>2518</v>
      </c>
      <c r="S44" s="4" t="s">
        <v>190</v>
      </c>
      <c r="T44" s="4" t="s">
        <v>404</v>
      </c>
      <c r="U44" s="44">
        <v>40869</v>
      </c>
      <c r="V44" s="4" t="s">
        <v>404</v>
      </c>
      <c r="W44" s="58">
        <v>40885</v>
      </c>
      <c r="X44" s="84"/>
      <c r="Y44" s="28"/>
      <c r="Z44" s="9"/>
      <c r="AA44" s="24" t="s">
        <v>393</v>
      </c>
      <c r="AB44" s="28">
        <v>40847</v>
      </c>
      <c r="AC44" s="1" t="s">
        <v>758</v>
      </c>
      <c r="AE44" s="145">
        <v>40862</v>
      </c>
    </row>
    <row r="45" spans="1:31" ht="14.25" customHeight="1" x14ac:dyDescent="0.4">
      <c r="A45">
        <v>39</v>
      </c>
      <c r="B45" s="22">
        <v>0</v>
      </c>
      <c r="C45" s="22" t="s">
        <v>2165</v>
      </c>
      <c r="D45" s="22">
        <v>0</v>
      </c>
      <c r="E45" s="24">
        <v>40854</v>
      </c>
      <c r="F45" s="24" t="s">
        <v>393</v>
      </c>
      <c r="G45" s="24">
        <v>40856</v>
      </c>
      <c r="H45" s="37">
        <v>267</v>
      </c>
      <c r="I45" s="23">
        <v>40848</v>
      </c>
      <c r="J45" s="37">
        <v>16</v>
      </c>
      <c r="K45" s="24" t="s">
        <v>1367</v>
      </c>
      <c r="L45" s="24">
        <v>40848</v>
      </c>
      <c r="M45" s="24">
        <v>40660</v>
      </c>
      <c r="N45" s="22" t="s">
        <v>585</v>
      </c>
      <c r="O45" s="4">
        <v>9120397</v>
      </c>
      <c r="P45" s="22">
        <v>1020</v>
      </c>
      <c r="Q45" s="22">
        <v>42</v>
      </c>
      <c r="R45" s="22" t="s">
        <v>2519</v>
      </c>
      <c r="S45" s="4" t="s">
        <v>2063</v>
      </c>
      <c r="T45" s="4" t="s">
        <v>404</v>
      </c>
      <c r="U45" s="44">
        <v>40891</v>
      </c>
      <c r="V45" s="4" t="s">
        <v>404</v>
      </c>
      <c r="W45" s="127">
        <v>40573</v>
      </c>
      <c r="Y45" s="28"/>
      <c r="Z45" s="28"/>
      <c r="AA45" s="24" t="s">
        <v>393</v>
      </c>
      <c r="AB45" s="28">
        <v>40856</v>
      </c>
      <c r="AC45" s="1" t="s">
        <v>895</v>
      </c>
      <c r="AE45" s="145">
        <v>40892</v>
      </c>
    </row>
    <row r="46" spans="1:31" ht="14.25" customHeight="1" x14ac:dyDescent="0.4">
      <c r="A46">
        <v>40</v>
      </c>
      <c r="B46" s="22">
        <v>0</v>
      </c>
      <c r="C46" s="22" t="s">
        <v>2165</v>
      </c>
      <c r="D46" s="22">
        <v>0</v>
      </c>
      <c r="E46" s="24">
        <v>40854</v>
      </c>
      <c r="F46" s="24" t="s">
        <v>393</v>
      </c>
      <c r="G46" s="24">
        <v>40858</v>
      </c>
      <c r="H46" s="37">
        <v>268</v>
      </c>
      <c r="I46" s="23">
        <v>40848</v>
      </c>
      <c r="J46" s="37">
        <v>17</v>
      </c>
      <c r="K46" s="24" t="s">
        <v>1367</v>
      </c>
      <c r="L46" s="24">
        <v>40848</v>
      </c>
      <c r="M46" s="24">
        <v>40660</v>
      </c>
      <c r="N46" s="22" t="s">
        <v>585</v>
      </c>
      <c r="O46" s="4">
        <v>9120398</v>
      </c>
      <c r="P46" s="22">
        <v>1020</v>
      </c>
      <c r="Q46" s="22">
        <v>42</v>
      </c>
      <c r="R46" s="22" t="s">
        <v>2520</v>
      </c>
      <c r="S46" s="4" t="s">
        <v>2064</v>
      </c>
      <c r="T46" s="4" t="s">
        <v>404</v>
      </c>
      <c r="U46" s="44">
        <v>40891</v>
      </c>
      <c r="V46" s="4" t="s">
        <v>404</v>
      </c>
      <c r="W46" s="127">
        <v>40556</v>
      </c>
      <c r="Y46" s="28"/>
      <c r="Z46" s="28"/>
      <c r="AA46" s="24" t="s">
        <v>393</v>
      </c>
      <c r="AB46" s="28">
        <v>40858</v>
      </c>
      <c r="AC46" s="1" t="s">
        <v>895</v>
      </c>
      <c r="AE46" s="145">
        <v>40892</v>
      </c>
    </row>
    <row r="47" spans="1:31" ht="14.25" customHeight="1" x14ac:dyDescent="0.4">
      <c r="A47">
        <v>41</v>
      </c>
      <c r="B47" s="22">
        <v>0</v>
      </c>
      <c r="C47" s="22" t="s">
        <v>2102</v>
      </c>
      <c r="D47" s="22">
        <v>0</v>
      </c>
      <c r="E47" s="24">
        <v>40855</v>
      </c>
      <c r="F47" s="24" t="s">
        <v>393</v>
      </c>
      <c r="G47" s="24">
        <v>40870</v>
      </c>
      <c r="H47" s="37">
        <v>269</v>
      </c>
      <c r="I47" s="23">
        <v>40848</v>
      </c>
      <c r="J47" s="37">
        <v>18</v>
      </c>
      <c r="K47" s="24" t="s">
        <v>1367</v>
      </c>
      <c r="L47" s="24">
        <v>40848</v>
      </c>
      <c r="M47" s="24">
        <v>40660</v>
      </c>
      <c r="N47" s="22" t="s">
        <v>585</v>
      </c>
      <c r="O47" s="4">
        <v>9120399</v>
      </c>
      <c r="P47" s="22">
        <v>1020</v>
      </c>
      <c r="Q47" s="22">
        <v>42</v>
      </c>
      <c r="R47" s="22" t="s">
        <v>2521</v>
      </c>
      <c r="S47" s="4" t="s">
        <v>1437</v>
      </c>
      <c r="T47" s="4" t="s">
        <v>404</v>
      </c>
      <c r="U47" s="44">
        <v>40791</v>
      </c>
      <c r="V47" s="4" t="s">
        <v>404</v>
      </c>
      <c r="W47" s="127">
        <v>40886</v>
      </c>
      <c r="X47" s="74"/>
      <c r="Y47" s="28"/>
      <c r="Z47" s="9"/>
      <c r="AA47" s="24" t="s">
        <v>393</v>
      </c>
      <c r="AB47" s="28">
        <v>40870</v>
      </c>
      <c r="AC47" s="1" t="s">
        <v>895</v>
      </c>
      <c r="AE47" s="145">
        <v>40892</v>
      </c>
    </row>
    <row r="48" spans="1:31" ht="14.25" customHeight="1" x14ac:dyDescent="0.4">
      <c r="A48">
        <v>42</v>
      </c>
      <c r="B48" s="22">
        <v>0</v>
      </c>
      <c r="C48" s="22" t="s">
        <v>2102</v>
      </c>
      <c r="D48" s="22">
        <v>0</v>
      </c>
      <c r="E48" s="24">
        <v>40855</v>
      </c>
      <c r="F48" s="24" t="s">
        <v>393</v>
      </c>
      <c r="G48" s="24">
        <v>40875</v>
      </c>
      <c r="H48" s="37">
        <v>270</v>
      </c>
      <c r="I48" s="23">
        <v>40848</v>
      </c>
      <c r="J48" s="37">
        <v>19</v>
      </c>
      <c r="K48" s="24" t="s">
        <v>1367</v>
      </c>
      <c r="L48" s="24">
        <v>40848</v>
      </c>
      <c r="M48" s="24">
        <v>40660</v>
      </c>
      <c r="N48" s="22" t="s">
        <v>585</v>
      </c>
      <c r="O48" s="4">
        <v>9120400</v>
      </c>
      <c r="P48" s="22">
        <v>1020</v>
      </c>
      <c r="Q48" s="22">
        <v>42</v>
      </c>
      <c r="R48" s="22" t="s">
        <v>2522</v>
      </c>
      <c r="S48" s="4" t="s">
        <v>2065</v>
      </c>
      <c r="T48" s="4" t="s">
        <v>404</v>
      </c>
      <c r="U48" s="44">
        <v>40891</v>
      </c>
      <c r="V48" s="4" t="s">
        <v>404</v>
      </c>
      <c r="W48" s="127">
        <v>40953</v>
      </c>
      <c r="X48" s="74"/>
      <c r="Y48" s="28"/>
      <c r="Z48" s="28"/>
      <c r="AA48" s="24" t="s">
        <v>393</v>
      </c>
      <c r="AB48" s="28">
        <v>40875</v>
      </c>
      <c r="AC48" s="1" t="s">
        <v>2071</v>
      </c>
      <c r="AE48" s="145">
        <v>40892</v>
      </c>
    </row>
    <row r="49" spans="1:35" ht="14.25" customHeight="1" x14ac:dyDescent="0.4">
      <c r="A49">
        <v>43</v>
      </c>
      <c r="B49" s="22">
        <v>0</v>
      </c>
      <c r="C49" s="22" t="s">
        <v>2102</v>
      </c>
      <c r="D49" s="22">
        <v>0</v>
      </c>
      <c r="E49" s="24">
        <v>40855</v>
      </c>
      <c r="F49" s="24" t="s">
        <v>393</v>
      </c>
      <c r="G49" s="24">
        <v>40863</v>
      </c>
      <c r="H49" s="37">
        <v>271</v>
      </c>
      <c r="I49" s="23">
        <v>40848</v>
      </c>
      <c r="J49" s="37">
        <v>20</v>
      </c>
      <c r="K49" s="24" t="s">
        <v>1367</v>
      </c>
      <c r="L49" s="24">
        <v>40848</v>
      </c>
      <c r="M49" s="24">
        <v>40660</v>
      </c>
      <c r="N49" s="22" t="s">
        <v>585</v>
      </c>
      <c r="O49" s="4">
        <v>9120401</v>
      </c>
      <c r="P49" s="22">
        <v>1020</v>
      </c>
      <c r="Q49" s="22">
        <v>42</v>
      </c>
      <c r="R49" s="22" t="s">
        <v>2523</v>
      </c>
      <c r="S49" s="4" t="s">
        <v>1149</v>
      </c>
      <c r="T49" s="4" t="s">
        <v>404</v>
      </c>
      <c r="U49" s="42">
        <v>40829</v>
      </c>
      <c r="V49" s="4" t="s">
        <v>404</v>
      </c>
      <c r="W49" s="128">
        <v>40893</v>
      </c>
      <c r="Y49" s="28"/>
      <c r="Z49" s="28"/>
      <c r="AA49" s="24" t="s">
        <v>393</v>
      </c>
      <c r="AB49" s="28">
        <v>40863</v>
      </c>
      <c r="AC49" s="1" t="s">
        <v>895</v>
      </c>
      <c r="AE49" s="145">
        <v>40892</v>
      </c>
    </row>
    <row r="50" spans="1:35" ht="14.25" customHeight="1" x14ac:dyDescent="0.4">
      <c r="A50">
        <v>44</v>
      </c>
      <c r="B50" s="22">
        <v>0</v>
      </c>
      <c r="C50" s="22">
        <v>0</v>
      </c>
      <c r="D50" s="22">
        <v>0</v>
      </c>
      <c r="E50" s="24">
        <v>40856</v>
      </c>
      <c r="F50" s="24" t="s">
        <v>393</v>
      </c>
      <c r="G50" s="24">
        <v>40861</v>
      </c>
      <c r="H50" s="37">
        <v>272</v>
      </c>
      <c r="I50" s="23">
        <v>40848</v>
      </c>
      <c r="J50" s="37">
        <v>21</v>
      </c>
      <c r="K50" s="24" t="s">
        <v>1367</v>
      </c>
      <c r="L50" s="24">
        <v>40848</v>
      </c>
      <c r="M50" s="24">
        <v>40660</v>
      </c>
      <c r="N50" s="22" t="s">
        <v>585</v>
      </c>
      <c r="O50" s="4">
        <v>9120402</v>
      </c>
      <c r="P50" s="22">
        <v>1020</v>
      </c>
      <c r="Q50" s="22">
        <v>42</v>
      </c>
      <c r="R50" s="22" t="s">
        <v>2524</v>
      </c>
      <c r="S50" s="4" t="s">
        <v>714</v>
      </c>
      <c r="T50" s="4" t="s">
        <v>404</v>
      </c>
      <c r="U50" s="42">
        <v>40857</v>
      </c>
      <c r="V50" s="4" t="s">
        <v>404</v>
      </c>
      <c r="W50" s="128">
        <v>40886</v>
      </c>
      <c r="Y50" s="28"/>
      <c r="Z50" s="28"/>
      <c r="AA50" s="24" t="s">
        <v>393</v>
      </c>
      <c r="AB50" s="28">
        <v>40861</v>
      </c>
      <c r="AC50" s="28" t="s">
        <v>895</v>
      </c>
      <c r="AE50" s="145">
        <v>40892</v>
      </c>
    </row>
    <row r="51" spans="1:35" ht="14.25" customHeight="1" x14ac:dyDescent="0.4">
      <c r="A51">
        <v>45</v>
      </c>
      <c r="B51" s="22">
        <v>0</v>
      </c>
      <c r="C51" s="22">
        <v>0</v>
      </c>
      <c r="D51" s="22">
        <v>0</v>
      </c>
      <c r="E51" s="24">
        <v>40856</v>
      </c>
      <c r="F51" s="24" t="s">
        <v>393</v>
      </c>
      <c r="G51" s="24">
        <v>40861</v>
      </c>
      <c r="H51" s="37">
        <v>273</v>
      </c>
      <c r="I51" s="23">
        <v>40848</v>
      </c>
      <c r="J51" s="37">
        <v>22</v>
      </c>
      <c r="K51" s="24" t="s">
        <v>1367</v>
      </c>
      <c r="L51" s="24">
        <v>40848</v>
      </c>
      <c r="M51" s="24">
        <v>40660</v>
      </c>
      <c r="N51" s="22" t="s">
        <v>585</v>
      </c>
      <c r="O51" s="4">
        <v>9120403</v>
      </c>
      <c r="P51" s="22">
        <v>1020</v>
      </c>
      <c r="Q51" s="22">
        <v>42</v>
      </c>
      <c r="R51" s="22" t="s">
        <v>2525</v>
      </c>
      <c r="S51" s="4" t="s">
        <v>146</v>
      </c>
      <c r="T51" s="4" t="s">
        <v>404</v>
      </c>
      <c r="U51" s="42">
        <v>40892</v>
      </c>
      <c r="V51" s="4" t="s">
        <v>404</v>
      </c>
      <c r="W51" s="128">
        <v>40955</v>
      </c>
      <c r="X51" s="74"/>
      <c r="Y51" s="28"/>
      <c r="Z51" s="28"/>
      <c r="AA51" s="24" t="s">
        <v>393</v>
      </c>
      <c r="AB51" s="28">
        <v>40861</v>
      </c>
      <c r="AC51" s="1" t="s">
        <v>895</v>
      </c>
      <c r="AE51" s="145">
        <v>40892</v>
      </c>
    </row>
    <row r="52" spans="1:35" ht="14.25" customHeight="1" x14ac:dyDescent="0.4">
      <c r="A52">
        <v>46</v>
      </c>
      <c r="B52" s="22">
        <v>0</v>
      </c>
      <c r="C52" s="22" t="s">
        <v>2165</v>
      </c>
      <c r="D52" s="22">
        <v>0</v>
      </c>
      <c r="E52" s="24">
        <v>40864</v>
      </c>
      <c r="F52" s="24" t="s">
        <v>393</v>
      </c>
      <c r="G52" s="24">
        <v>40870</v>
      </c>
      <c r="H52" s="37">
        <v>292</v>
      </c>
      <c r="I52" s="23">
        <v>40848</v>
      </c>
      <c r="J52" s="37">
        <v>41</v>
      </c>
      <c r="K52" s="24" t="s">
        <v>1367</v>
      </c>
      <c r="L52" s="24">
        <v>40878</v>
      </c>
      <c r="M52" s="24">
        <v>40660</v>
      </c>
      <c r="N52" s="22" t="s">
        <v>585</v>
      </c>
      <c r="O52" s="4">
        <v>9120404</v>
      </c>
      <c r="P52" s="22">
        <v>1020</v>
      </c>
      <c r="Q52" s="22">
        <v>42</v>
      </c>
      <c r="R52" s="22" t="s">
        <v>2526</v>
      </c>
      <c r="S52" s="4" t="s">
        <v>1599</v>
      </c>
      <c r="T52" s="4" t="s">
        <v>404</v>
      </c>
      <c r="U52" s="60">
        <v>40759</v>
      </c>
      <c r="V52" s="4" t="s">
        <v>404</v>
      </c>
      <c r="W52" s="44">
        <v>40912</v>
      </c>
      <c r="Y52" s="28"/>
      <c r="Z52" s="28"/>
      <c r="AA52" s="24" t="s">
        <v>393</v>
      </c>
      <c r="AB52" s="28">
        <v>40870</v>
      </c>
      <c r="AC52" s="1" t="s">
        <v>896</v>
      </c>
      <c r="AE52" s="145">
        <v>40892</v>
      </c>
    </row>
    <row r="53" spans="1:35" ht="14.25" customHeight="1" x14ac:dyDescent="0.4">
      <c r="A53">
        <v>47</v>
      </c>
      <c r="B53" s="22">
        <v>0</v>
      </c>
      <c r="C53" s="22" t="s">
        <v>2165</v>
      </c>
      <c r="D53" s="22">
        <v>0</v>
      </c>
      <c r="E53" s="24">
        <v>40904</v>
      </c>
      <c r="F53" s="24" t="s">
        <v>393</v>
      </c>
      <c r="G53" s="24">
        <v>40926</v>
      </c>
      <c r="H53" s="37">
        <v>364</v>
      </c>
      <c r="I53" s="23">
        <v>40878</v>
      </c>
      <c r="J53" s="37">
        <v>54</v>
      </c>
      <c r="K53" s="24" t="s">
        <v>1367</v>
      </c>
      <c r="L53" s="24">
        <v>40878</v>
      </c>
      <c r="M53" s="24">
        <v>40660</v>
      </c>
      <c r="N53" s="22" t="s">
        <v>585</v>
      </c>
      <c r="O53" s="4">
        <v>9120405</v>
      </c>
      <c r="P53" s="22">
        <v>1020</v>
      </c>
      <c r="Q53" s="22">
        <v>50</v>
      </c>
      <c r="R53" s="22" t="s">
        <v>2527</v>
      </c>
      <c r="S53" s="102" t="s">
        <v>1856</v>
      </c>
      <c r="T53" s="4" t="s">
        <v>404</v>
      </c>
      <c r="U53" s="44">
        <v>40821</v>
      </c>
      <c r="V53" s="4" t="s">
        <v>404</v>
      </c>
      <c r="W53" s="9">
        <v>40954</v>
      </c>
      <c r="Y53" s="28"/>
      <c r="Z53" s="9"/>
      <c r="AA53" s="24" t="s">
        <v>393</v>
      </c>
      <c r="AB53" s="28">
        <v>40926</v>
      </c>
      <c r="AC53" s="1" t="s">
        <v>894</v>
      </c>
      <c r="AE53" s="145">
        <v>40923</v>
      </c>
    </row>
    <row r="54" spans="1:35" ht="14.25" customHeight="1" x14ac:dyDescent="0.4">
      <c r="A54">
        <v>48</v>
      </c>
      <c r="B54" s="22">
        <v>0</v>
      </c>
      <c r="C54" s="22" t="s">
        <v>2165</v>
      </c>
      <c r="D54" s="22">
        <v>0</v>
      </c>
      <c r="E54" s="24">
        <v>40861</v>
      </c>
      <c r="F54" s="24" t="s">
        <v>393</v>
      </c>
      <c r="G54" s="24">
        <v>40864</v>
      </c>
      <c r="H54" s="37">
        <v>283</v>
      </c>
      <c r="I54" s="23">
        <v>40848</v>
      </c>
      <c r="J54" s="37">
        <v>32</v>
      </c>
      <c r="K54" s="24" t="s">
        <v>1367</v>
      </c>
      <c r="L54" s="24">
        <v>40878</v>
      </c>
      <c r="M54" s="24">
        <v>40660</v>
      </c>
      <c r="N54" s="22" t="s">
        <v>585</v>
      </c>
      <c r="O54" s="4">
        <v>9120406</v>
      </c>
      <c r="P54" s="22">
        <v>1020</v>
      </c>
      <c r="Q54" s="22">
        <v>42</v>
      </c>
      <c r="R54" s="22" t="s">
        <v>2528</v>
      </c>
      <c r="S54" s="4" t="s">
        <v>2077</v>
      </c>
      <c r="T54" s="4" t="s">
        <v>404</v>
      </c>
      <c r="U54" s="44">
        <v>40826</v>
      </c>
      <c r="V54" s="4" t="s">
        <v>404</v>
      </c>
      <c r="W54" s="57">
        <v>40939</v>
      </c>
      <c r="X54" s="74"/>
      <c r="Y54" s="28"/>
      <c r="Z54" s="9"/>
      <c r="AA54" s="24" t="s">
        <v>393</v>
      </c>
      <c r="AB54" s="28">
        <v>40864</v>
      </c>
      <c r="AC54" s="1" t="s">
        <v>894</v>
      </c>
      <c r="AE54" s="145">
        <v>40892</v>
      </c>
    </row>
    <row r="55" spans="1:35" ht="14.25" customHeight="1" x14ac:dyDescent="0.4">
      <c r="A55">
        <v>49</v>
      </c>
      <c r="B55" s="24">
        <v>40865</v>
      </c>
      <c r="C55" s="24">
        <v>40865</v>
      </c>
      <c r="D55" s="24">
        <v>40865</v>
      </c>
      <c r="E55" s="24">
        <v>40865</v>
      </c>
      <c r="F55" s="24" t="s">
        <v>393</v>
      </c>
      <c r="G55" s="24">
        <v>40869</v>
      </c>
      <c r="H55" s="37">
        <v>293</v>
      </c>
      <c r="I55" s="23">
        <v>40848</v>
      </c>
      <c r="J55" s="37">
        <v>42</v>
      </c>
      <c r="K55" s="24" t="s">
        <v>1367</v>
      </c>
      <c r="L55" s="24">
        <v>40878</v>
      </c>
      <c r="M55" s="24">
        <v>40660</v>
      </c>
      <c r="N55" s="22" t="s">
        <v>585</v>
      </c>
      <c r="O55" s="4">
        <v>9120407</v>
      </c>
      <c r="P55" s="22">
        <v>1020</v>
      </c>
      <c r="Q55" s="22">
        <v>42</v>
      </c>
      <c r="R55" s="22" t="s">
        <v>2529</v>
      </c>
      <c r="S55" s="4" t="s">
        <v>2026</v>
      </c>
      <c r="T55" s="4" t="s">
        <v>404</v>
      </c>
      <c r="U55" s="44">
        <v>40904</v>
      </c>
      <c r="V55" s="4" t="s">
        <v>404</v>
      </c>
      <c r="W55" s="44">
        <v>40939</v>
      </c>
      <c r="X55" s="74"/>
      <c r="Y55" s="28"/>
      <c r="Z55" s="28"/>
      <c r="AA55" s="24" t="s">
        <v>393</v>
      </c>
      <c r="AB55" s="28">
        <v>40869</v>
      </c>
      <c r="AC55" s="1" t="s">
        <v>895</v>
      </c>
      <c r="AE55" s="145">
        <v>40892</v>
      </c>
    </row>
    <row r="56" spans="1:35" ht="14.25" customHeight="1" x14ac:dyDescent="0.4">
      <c r="A56">
        <v>50</v>
      </c>
      <c r="B56" s="22">
        <v>0</v>
      </c>
      <c r="C56" s="22" t="s">
        <v>2165</v>
      </c>
      <c r="D56" s="22">
        <v>0</v>
      </c>
      <c r="E56" s="24">
        <v>40882</v>
      </c>
      <c r="F56" s="24" t="s">
        <v>393</v>
      </c>
      <c r="G56" s="24">
        <v>40886</v>
      </c>
      <c r="H56" s="37">
        <v>320</v>
      </c>
      <c r="I56" s="23">
        <v>40878</v>
      </c>
      <c r="J56" s="37">
        <v>10</v>
      </c>
      <c r="K56" s="24" t="s">
        <v>1367</v>
      </c>
      <c r="L56" s="24">
        <v>40878</v>
      </c>
      <c r="M56" s="24">
        <v>40660</v>
      </c>
      <c r="N56" s="22" t="s">
        <v>585</v>
      </c>
      <c r="O56" s="4">
        <v>9120408</v>
      </c>
      <c r="P56" s="22">
        <v>1020</v>
      </c>
      <c r="Q56" s="22">
        <v>42</v>
      </c>
      <c r="R56" s="22" t="s">
        <v>2530</v>
      </c>
      <c r="S56" s="76" t="s">
        <v>772</v>
      </c>
      <c r="T56" s="4" t="s">
        <v>404</v>
      </c>
      <c r="U56" s="44">
        <v>40826</v>
      </c>
      <c r="V56" s="4" t="s">
        <v>404</v>
      </c>
      <c r="W56" s="44">
        <v>40965</v>
      </c>
      <c r="X56" s="74"/>
      <c r="Y56" s="28"/>
      <c r="Z56" s="9"/>
      <c r="AA56" s="24" t="s">
        <v>393</v>
      </c>
      <c r="AB56" s="28">
        <v>40886</v>
      </c>
      <c r="AC56" s="1" t="s">
        <v>895</v>
      </c>
      <c r="AE56" s="145">
        <v>40923</v>
      </c>
    </row>
    <row r="57" spans="1:35" ht="14.25" customHeight="1" x14ac:dyDescent="0.4">
      <c r="A57">
        <v>51</v>
      </c>
      <c r="B57" s="22">
        <v>0</v>
      </c>
      <c r="C57" s="22" t="s">
        <v>2165</v>
      </c>
      <c r="D57" s="22">
        <v>0</v>
      </c>
      <c r="E57" s="24">
        <v>40882</v>
      </c>
      <c r="F57" s="24" t="s">
        <v>393</v>
      </c>
      <c r="G57" s="24">
        <v>40891</v>
      </c>
      <c r="H57" s="37">
        <v>321</v>
      </c>
      <c r="I57" s="23">
        <v>40878</v>
      </c>
      <c r="J57" s="37">
        <v>11</v>
      </c>
      <c r="K57" s="24" t="s">
        <v>1367</v>
      </c>
      <c r="L57" s="24">
        <v>40878</v>
      </c>
      <c r="M57" s="24">
        <v>40660</v>
      </c>
      <c r="N57" s="22" t="s">
        <v>585</v>
      </c>
      <c r="O57" s="4">
        <v>9120409</v>
      </c>
      <c r="P57" s="22">
        <v>1020</v>
      </c>
      <c r="Q57" s="22">
        <v>42</v>
      </c>
      <c r="R57" s="22" t="s">
        <v>2531</v>
      </c>
      <c r="S57" s="4" t="s">
        <v>991</v>
      </c>
      <c r="T57" s="4" t="s">
        <v>404</v>
      </c>
      <c r="U57" s="44">
        <v>40826</v>
      </c>
      <c r="V57" s="4" t="s">
        <v>404</v>
      </c>
      <c r="W57" s="9">
        <v>40926</v>
      </c>
      <c r="X57" s="74"/>
      <c r="Y57" s="28"/>
      <c r="Z57" s="9"/>
      <c r="AA57" s="24" t="s">
        <v>393</v>
      </c>
      <c r="AB57" s="28">
        <v>40891</v>
      </c>
      <c r="AC57" s="1" t="s">
        <v>758</v>
      </c>
      <c r="AE57" s="145">
        <v>40923</v>
      </c>
    </row>
    <row r="58" spans="1:35" ht="14.25" customHeight="1" x14ac:dyDescent="0.4">
      <c r="A58">
        <v>52</v>
      </c>
      <c r="B58" s="22">
        <v>0</v>
      </c>
      <c r="C58" s="22">
        <v>0</v>
      </c>
      <c r="D58" s="22">
        <v>0</v>
      </c>
      <c r="E58" s="24">
        <v>40882</v>
      </c>
      <c r="F58" s="24" t="s">
        <v>393</v>
      </c>
      <c r="G58" s="24">
        <v>40889</v>
      </c>
      <c r="H58" s="37">
        <v>322</v>
      </c>
      <c r="I58" s="23">
        <v>40878</v>
      </c>
      <c r="J58" s="37">
        <v>12</v>
      </c>
      <c r="K58" s="24" t="s">
        <v>1367</v>
      </c>
      <c r="L58" s="24">
        <v>40878</v>
      </c>
      <c r="M58" s="24">
        <v>40660</v>
      </c>
      <c r="N58" s="22" t="s">
        <v>585</v>
      </c>
      <c r="O58" s="4">
        <v>9120410</v>
      </c>
      <c r="P58" s="22">
        <v>1020</v>
      </c>
      <c r="Q58" s="22">
        <v>42</v>
      </c>
      <c r="R58" s="22" t="s">
        <v>2532</v>
      </c>
      <c r="S58" s="4" t="s">
        <v>99</v>
      </c>
      <c r="T58" s="4" t="s">
        <v>404</v>
      </c>
      <c r="U58" s="44">
        <v>40954</v>
      </c>
      <c r="V58" s="4" t="s">
        <v>404</v>
      </c>
      <c r="W58" s="9">
        <v>40970</v>
      </c>
      <c r="X58" s="74"/>
      <c r="Y58" s="28"/>
      <c r="Z58" s="9"/>
      <c r="AA58" s="24" t="s">
        <v>393</v>
      </c>
      <c r="AB58" s="28">
        <v>40889</v>
      </c>
      <c r="AC58" s="1" t="s">
        <v>895</v>
      </c>
      <c r="AE58" s="145">
        <v>40923</v>
      </c>
    </row>
    <row r="59" spans="1:35" ht="14.25" customHeight="1" x14ac:dyDescent="0.4">
      <c r="A59">
        <v>53</v>
      </c>
      <c r="B59" s="22">
        <v>0</v>
      </c>
      <c r="C59" s="22" t="s">
        <v>2102</v>
      </c>
      <c r="D59" s="22" t="s">
        <v>23</v>
      </c>
      <c r="E59" s="24">
        <v>40883</v>
      </c>
      <c r="F59" s="24" t="s">
        <v>393</v>
      </c>
      <c r="G59" s="24">
        <v>40889</v>
      </c>
      <c r="H59" s="37">
        <v>323</v>
      </c>
      <c r="I59" s="23">
        <v>40878</v>
      </c>
      <c r="J59" s="37">
        <v>13</v>
      </c>
      <c r="K59" s="24" t="s">
        <v>1367</v>
      </c>
      <c r="L59" s="24">
        <v>40878</v>
      </c>
      <c r="M59" s="24">
        <v>40660</v>
      </c>
      <c r="N59" s="22" t="s">
        <v>585</v>
      </c>
      <c r="O59" s="4">
        <v>9120411</v>
      </c>
      <c r="P59" s="22">
        <v>1020</v>
      </c>
      <c r="Q59" s="22">
        <v>42</v>
      </c>
      <c r="R59" s="22" t="s">
        <v>2533</v>
      </c>
      <c r="S59" s="4" t="s">
        <v>1535</v>
      </c>
      <c r="T59" s="4" t="s">
        <v>404</v>
      </c>
      <c r="U59" s="44">
        <v>40791</v>
      </c>
      <c r="V59" s="4" t="s">
        <v>404</v>
      </c>
      <c r="W59" s="9">
        <v>40923</v>
      </c>
      <c r="X59" s="74"/>
      <c r="Y59" s="28"/>
      <c r="Z59" s="28"/>
      <c r="AA59" s="24" t="s">
        <v>393</v>
      </c>
      <c r="AB59" s="28">
        <v>40889</v>
      </c>
      <c r="AC59" s="1" t="s">
        <v>895</v>
      </c>
      <c r="AE59" s="145">
        <v>40923</v>
      </c>
      <c r="AI59" s="1">
        <v>28</v>
      </c>
    </row>
    <row r="60" spans="1:35" ht="14.25" customHeight="1" x14ac:dyDescent="0.4">
      <c r="A60">
        <v>54</v>
      </c>
      <c r="B60" s="22">
        <v>0</v>
      </c>
      <c r="C60" s="22" t="s">
        <v>2165</v>
      </c>
      <c r="D60" s="22">
        <v>0</v>
      </c>
      <c r="E60" s="24">
        <v>40883</v>
      </c>
      <c r="F60" s="24" t="s">
        <v>393</v>
      </c>
      <c r="G60" s="24">
        <v>40889</v>
      </c>
      <c r="H60" s="37">
        <v>324</v>
      </c>
      <c r="I60" s="23">
        <v>40878</v>
      </c>
      <c r="J60" s="37">
        <v>14</v>
      </c>
      <c r="K60" s="24" t="s">
        <v>1367</v>
      </c>
      <c r="L60" s="24">
        <v>40878</v>
      </c>
      <c r="M60" s="24">
        <v>40660</v>
      </c>
      <c r="N60" s="22" t="s">
        <v>585</v>
      </c>
      <c r="O60" s="4">
        <v>9120412</v>
      </c>
      <c r="P60" s="22">
        <v>1020</v>
      </c>
      <c r="Q60" s="22">
        <v>42</v>
      </c>
      <c r="R60" s="22" t="s">
        <v>2534</v>
      </c>
      <c r="S60" s="4" t="s">
        <v>2027</v>
      </c>
      <c r="T60" s="4" t="s">
        <v>404</v>
      </c>
      <c r="U60" s="44">
        <v>40904</v>
      </c>
      <c r="V60" s="4" t="s">
        <v>404</v>
      </c>
      <c r="W60" s="57">
        <v>40947</v>
      </c>
      <c r="X60" s="74"/>
      <c r="Y60" s="28"/>
      <c r="Z60" s="28"/>
      <c r="AA60" s="24" t="s">
        <v>393</v>
      </c>
      <c r="AB60" s="28">
        <v>40889</v>
      </c>
      <c r="AC60" s="1" t="s">
        <v>936</v>
      </c>
      <c r="AE60" s="145">
        <v>40923</v>
      </c>
      <c r="AI60" s="1">
        <v>15</v>
      </c>
    </row>
    <row r="61" spans="1:35" ht="14.25" customHeight="1" x14ac:dyDescent="0.4">
      <c r="A61">
        <v>55</v>
      </c>
      <c r="B61" s="22">
        <v>0</v>
      </c>
      <c r="C61" s="22" t="s">
        <v>2165</v>
      </c>
      <c r="D61" s="22">
        <v>0</v>
      </c>
      <c r="E61" s="24">
        <v>40883</v>
      </c>
      <c r="F61" s="24" t="s">
        <v>393</v>
      </c>
      <c r="G61" s="24">
        <v>40889</v>
      </c>
      <c r="H61" s="37">
        <v>325</v>
      </c>
      <c r="I61" s="23">
        <v>40878</v>
      </c>
      <c r="J61" s="37">
        <v>15</v>
      </c>
      <c r="K61" s="24" t="s">
        <v>1367</v>
      </c>
      <c r="L61" s="24">
        <v>40878</v>
      </c>
      <c r="M61" s="24">
        <v>40660</v>
      </c>
      <c r="N61" s="22" t="s">
        <v>585</v>
      </c>
      <c r="O61" s="4">
        <v>9120413</v>
      </c>
      <c r="P61" s="22">
        <v>1020</v>
      </c>
      <c r="Q61" s="22">
        <v>42</v>
      </c>
      <c r="R61" s="22" t="s">
        <v>2535</v>
      </c>
      <c r="S61" s="4" t="s">
        <v>100</v>
      </c>
      <c r="T61" s="4" t="s">
        <v>404</v>
      </c>
      <c r="U61" s="44">
        <v>40920</v>
      </c>
      <c r="V61" s="4" t="s">
        <v>404</v>
      </c>
      <c r="W61" s="57">
        <v>40969</v>
      </c>
      <c r="X61" s="74"/>
      <c r="Y61" s="28"/>
      <c r="Z61" s="28"/>
      <c r="AA61" s="24" t="s">
        <v>393</v>
      </c>
      <c r="AB61" s="28">
        <v>40889</v>
      </c>
      <c r="AC61" s="28" t="s">
        <v>894</v>
      </c>
      <c r="AE61" s="145">
        <v>40923</v>
      </c>
    </row>
    <row r="62" spans="1:35" ht="14.25" customHeight="1" x14ac:dyDescent="0.4">
      <c r="A62">
        <v>56</v>
      </c>
      <c r="B62" s="22">
        <v>0</v>
      </c>
      <c r="C62" s="22" t="s">
        <v>2165</v>
      </c>
      <c r="D62" s="22">
        <v>0</v>
      </c>
      <c r="E62" s="24">
        <v>40942</v>
      </c>
      <c r="F62" s="24" t="s">
        <v>393</v>
      </c>
      <c r="G62" s="24">
        <v>40954</v>
      </c>
      <c r="H62" s="37">
        <v>442</v>
      </c>
      <c r="I62" s="23">
        <v>40940</v>
      </c>
      <c r="J62" s="37">
        <v>12</v>
      </c>
      <c r="K62" s="24" t="s">
        <v>1367</v>
      </c>
      <c r="L62" s="24">
        <v>40878</v>
      </c>
      <c r="M62" s="24">
        <v>40660</v>
      </c>
      <c r="N62" s="22" t="s">
        <v>585</v>
      </c>
      <c r="O62" s="4">
        <v>9120414</v>
      </c>
      <c r="P62" s="22">
        <v>1020</v>
      </c>
      <c r="Q62" s="22">
        <v>50</v>
      </c>
      <c r="R62" s="22" t="s">
        <v>2536</v>
      </c>
      <c r="S62" s="4" t="s">
        <v>274</v>
      </c>
      <c r="T62" s="4" t="s">
        <v>404</v>
      </c>
      <c r="U62" s="44">
        <v>40879</v>
      </c>
      <c r="V62" s="4" t="s">
        <v>404</v>
      </c>
      <c r="W62" s="57">
        <v>40969</v>
      </c>
      <c r="X62" s="74"/>
      <c r="Y62" s="28"/>
      <c r="Z62" s="28"/>
      <c r="AA62" s="24" t="s">
        <v>393</v>
      </c>
      <c r="AB62" s="28">
        <v>40954</v>
      </c>
      <c r="AC62" s="28" t="s">
        <v>895</v>
      </c>
      <c r="AE62" s="145">
        <v>40983</v>
      </c>
    </row>
    <row r="63" spans="1:35" ht="14.25" customHeight="1" x14ac:dyDescent="0.4">
      <c r="A63">
        <v>57</v>
      </c>
      <c r="B63" s="24">
        <v>40906</v>
      </c>
      <c r="C63" s="24">
        <v>40906</v>
      </c>
      <c r="D63" s="24">
        <v>40906</v>
      </c>
      <c r="E63" s="24">
        <v>40906</v>
      </c>
      <c r="F63" s="24" t="s">
        <v>393</v>
      </c>
      <c r="G63" s="24">
        <v>40918</v>
      </c>
      <c r="H63" s="37">
        <v>368</v>
      </c>
      <c r="I63" s="23">
        <v>40909</v>
      </c>
      <c r="J63" s="37">
        <v>1</v>
      </c>
      <c r="K63" s="24" t="s">
        <v>1367</v>
      </c>
      <c r="L63" s="24">
        <v>40909</v>
      </c>
      <c r="M63" s="24">
        <v>40660</v>
      </c>
      <c r="N63" s="22" t="s">
        <v>585</v>
      </c>
      <c r="O63" s="4">
        <v>9120418</v>
      </c>
      <c r="P63" s="22">
        <v>720</v>
      </c>
      <c r="Q63" s="22">
        <v>42</v>
      </c>
      <c r="R63" s="22" t="s">
        <v>2537</v>
      </c>
      <c r="S63" s="47" t="s">
        <v>1600</v>
      </c>
      <c r="T63" s="4" t="s">
        <v>404</v>
      </c>
      <c r="U63" s="165">
        <v>40760</v>
      </c>
      <c r="V63" s="4" t="s">
        <v>404</v>
      </c>
      <c r="W63" s="43">
        <v>40931</v>
      </c>
      <c r="X63" s="74"/>
      <c r="Y63" s="28"/>
      <c r="Z63" s="28"/>
      <c r="AA63" s="24" t="s">
        <v>393</v>
      </c>
      <c r="AB63" s="28">
        <v>40918</v>
      </c>
      <c r="AC63" s="28" t="s">
        <v>897</v>
      </c>
      <c r="AE63" s="145">
        <v>40954</v>
      </c>
    </row>
    <row r="64" spans="1:35" ht="14.25" customHeight="1" x14ac:dyDescent="0.4">
      <c r="A64">
        <v>58</v>
      </c>
      <c r="B64" s="24">
        <v>40906</v>
      </c>
      <c r="C64" s="24">
        <v>40906</v>
      </c>
      <c r="D64" s="24">
        <v>40906</v>
      </c>
      <c r="E64" s="24">
        <v>40906</v>
      </c>
      <c r="F64" s="24" t="s">
        <v>393</v>
      </c>
      <c r="G64" s="24">
        <v>40926</v>
      </c>
      <c r="H64" s="37">
        <v>369</v>
      </c>
      <c r="I64" s="23">
        <v>40909</v>
      </c>
      <c r="J64" s="37">
        <v>2</v>
      </c>
      <c r="K64" s="24" t="s">
        <v>1367</v>
      </c>
      <c r="L64" s="24">
        <v>40909</v>
      </c>
      <c r="M64" s="24">
        <v>40660</v>
      </c>
      <c r="N64" s="22" t="s">
        <v>585</v>
      </c>
      <c r="O64" s="4">
        <v>9120419</v>
      </c>
      <c r="P64" s="22">
        <v>1220</v>
      </c>
      <c r="Q64" s="22">
        <v>50</v>
      </c>
      <c r="R64" s="22" t="s">
        <v>2538</v>
      </c>
      <c r="S64" s="4" t="s">
        <v>1150</v>
      </c>
      <c r="T64" s="4" t="s">
        <v>404</v>
      </c>
      <c r="U64" s="44">
        <v>40837</v>
      </c>
      <c r="V64" s="4" t="s">
        <v>404</v>
      </c>
      <c r="W64" s="144">
        <v>40954</v>
      </c>
      <c r="X64" s="74">
        <v>0</v>
      </c>
      <c r="Y64" s="28"/>
      <c r="Z64" s="9"/>
      <c r="AA64" s="24" t="s">
        <v>393</v>
      </c>
      <c r="AB64" s="28">
        <v>40926</v>
      </c>
      <c r="AC64" s="1" t="s">
        <v>895</v>
      </c>
      <c r="AE64" s="145">
        <v>40954</v>
      </c>
    </row>
    <row r="65" spans="1:31" ht="14.25" customHeight="1" x14ac:dyDescent="0.4">
      <c r="A65">
        <v>59</v>
      </c>
      <c r="B65" s="24">
        <v>40906</v>
      </c>
      <c r="C65" s="24">
        <v>40906</v>
      </c>
      <c r="D65" s="24">
        <v>40906</v>
      </c>
      <c r="E65" s="24">
        <v>40906</v>
      </c>
      <c r="F65" s="24" t="s">
        <v>393</v>
      </c>
      <c r="G65" s="24">
        <v>40921</v>
      </c>
      <c r="H65" s="37">
        <v>370</v>
      </c>
      <c r="I65" s="23">
        <v>40909</v>
      </c>
      <c r="J65" s="37">
        <v>3</v>
      </c>
      <c r="K65" s="24" t="s">
        <v>1367</v>
      </c>
      <c r="L65" s="24">
        <v>40909</v>
      </c>
      <c r="M65" s="24">
        <v>40660</v>
      </c>
      <c r="N65" s="22" t="s">
        <v>585</v>
      </c>
      <c r="O65" s="4">
        <v>9120420</v>
      </c>
      <c r="P65" s="22">
        <v>720</v>
      </c>
      <c r="Q65" s="22">
        <v>42</v>
      </c>
      <c r="R65" s="22" t="s">
        <v>2539</v>
      </c>
      <c r="S65" s="4" t="s">
        <v>1897</v>
      </c>
      <c r="T65" s="4" t="s">
        <v>404</v>
      </c>
      <c r="U65" s="44">
        <v>40767</v>
      </c>
      <c r="V65" s="4" t="s">
        <v>404</v>
      </c>
      <c r="W65" s="9">
        <v>40978</v>
      </c>
      <c r="X65" s="74">
        <v>0</v>
      </c>
      <c r="Y65" s="28"/>
      <c r="Z65" s="9"/>
      <c r="AA65" s="24" t="s">
        <v>393</v>
      </c>
      <c r="AB65" s="28">
        <v>40921</v>
      </c>
      <c r="AC65" s="1" t="s">
        <v>895</v>
      </c>
      <c r="AE65" s="145">
        <v>40954</v>
      </c>
    </row>
    <row r="66" spans="1:31" ht="14.25" customHeight="1" x14ac:dyDescent="0.4">
      <c r="A66">
        <v>60</v>
      </c>
      <c r="B66" s="24">
        <v>40945</v>
      </c>
      <c r="C66" s="24">
        <v>40945</v>
      </c>
      <c r="D66" s="24">
        <v>40945</v>
      </c>
      <c r="E66" s="24">
        <v>40945</v>
      </c>
      <c r="F66" s="24" t="s">
        <v>393</v>
      </c>
      <c r="G66" s="24">
        <v>40948</v>
      </c>
      <c r="H66" s="37">
        <v>443</v>
      </c>
      <c r="I66" s="23">
        <v>40940</v>
      </c>
      <c r="J66" s="37">
        <v>13</v>
      </c>
      <c r="K66" s="24" t="s">
        <v>1367</v>
      </c>
      <c r="L66" s="24">
        <v>40909</v>
      </c>
      <c r="M66" s="24">
        <v>40660</v>
      </c>
      <c r="N66" s="22" t="s">
        <v>585</v>
      </c>
      <c r="O66" s="4">
        <v>9120421</v>
      </c>
      <c r="P66" s="22">
        <v>1020</v>
      </c>
      <c r="Q66" s="22">
        <v>50</v>
      </c>
      <c r="R66" s="22" t="s">
        <v>2540</v>
      </c>
      <c r="S66" s="4" t="s">
        <v>1846</v>
      </c>
      <c r="T66" s="4" t="s">
        <v>404</v>
      </c>
      <c r="U66" s="44">
        <v>40843</v>
      </c>
      <c r="V66" s="4" t="s">
        <v>404</v>
      </c>
      <c r="W66" s="28">
        <v>40961</v>
      </c>
      <c r="X66" s="74">
        <v>0</v>
      </c>
      <c r="Y66" s="28"/>
      <c r="Z66" s="9"/>
      <c r="AA66" s="24" t="s">
        <v>393</v>
      </c>
      <c r="AB66" s="28">
        <v>40948</v>
      </c>
      <c r="AC66" s="1" t="s">
        <v>895</v>
      </c>
      <c r="AE66" s="145">
        <v>40983</v>
      </c>
    </row>
    <row r="67" spans="1:31" ht="14.25" customHeight="1" x14ac:dyDescent="0.4">
      <c r="A67">
        <v>61</v>
      </c>
      <c r="B67" s="24">
        <v>40905</v>
      </c>
      <c r="C67" s="24">
        <v>40905</v>
      </c>
      <c r="D67" s="24">
        <v>40905</v>
      </c>
      <c r="E67" s="24">
        <v>40905</v>
      </c>
      <c r="F67" s="24" t="s">
        <v>393</v>
      </c>
      <c r="G67" s="24">
        <v>40906</v>
      </c>
      <c r="H67" s="37">
        <v>367</v>
      </c>
      <c r="I67" s="23">
        <v>40878</v>
      </c>
      <c r="J67" s="37">
        <v>57</v>
      </c>
      <c r="K67" s="24" t="s">
        <v>1367</v>
      </c>
      <c r="L67" s="24">
        <v>40909</v>
      </c>
      <c r="M67" s="24">
        <v>40660</v>
      </c>
      <c r="N67" s="22" t="s">
        <v>585</v>
      </c>
      <c r="O67" s="4">
        <v>9120422</v>
      </c>
      <c r="P67" s="22">
        <v>720</v>
      </c>
      <c r="Q67" s="22">
        <v>42</v>
      </c>
      <c r="R67" s="22" t="s">
        <v>2541</v>
      </c>
      <c r="S67" s="4" t="s">
        <v>275</v>
      </c>
      <c r="T67" s="4" t="s">
        <v>404</v>
      </c>
      <c r="U67" s="44">
        <v>40869</v>
      </c>
      <c r="V67" s="4" t="s">
        <v>404</v>
      </c>
      <c r="W67" s="9">
        <v>40970</v>
      </c>
      <c r="X67" s="74">
        <v>0</v>
      </c>
      <c r="Y67" s="28"/>
      <c r="Z67" s="9"/>
      <c r="AA67" s="24" t="s">
        <v>393</v>
      </c>
      <c r="AB67" s="28">
        <v>40906</v>
      </c>
      <c r="AC67" s="1" t="s">
        <v>758</v>
      </c>
      <c r="AE67" s="145">
        <v>40923</v>
      </c>
    </row>
    <row r="68" spans="1:31" ht="14.25" customHeight="1" x14ac:dyDescent="0.4">
      <c r="A68">
        <v>62</v>
      </c>
      <c r="B68" s="24">
        <v>40919</v>
      </c>
      <c r="C68" s="24">
        <v>40919</v>
      </c>
      <c r="D68" s="24">
        <v>40919</v>
      </c>
      <c r="E68" s="24">
        <v>40919</v>
      </c>
      <c r="F68" s="24" t="s">
        <v>393</v>
      </c>
      <c r="G68" s="24">
        <v>40927</v>
      </c>
      <c r="H68" s="37">
        <v>390</v>
      </c>
      <c r="I68" s="23">
        <v>40909</v>
      </c>
      <c r="J68" s="37">
        <v>23</v>
      </c>
      <c r="K68" s="24" t="s">
        <v>1367</v>
      </c>
      <c r="L68" s="24">
        <v>40909</v>
      </c>
      <c r="M68" s="24">
        <v>40660</v>
      </c>
      <c r="N68" s="22" t="s">
        <v>585</v>
      </c>
      <c r="O68" s="4">
        <v>9120423</v>
      </c>
      <c r="P68" s="22">
        <v>720</v>
      </c>
      <c r="Q68" s="22">
        <v>42</v>
      </c>
      <c r="R68" s="22" t="s">
        <v>2542</v>
      </c>
      <c r="S68" s="4" t="s">
        <v>2066</v>
      </c>
      <c r="T68" s="4" t="s">
        <v>404</v>
      </c>
      <c r="U68" s="44">
        <v>40885</v>
      </c>
      <c r="V68" s="4" t="s">
        <v>404</v>
      </c>
      <c r="W68" s="28">
        <v>40959</v>
      </c>
      <c r="X68" s="74">
        <v>0</v>
      </c>
      <c r="Y68" s="28"/>
      <c r="Z68" s="9"/>
      <c r="AA68" s="24" t="s">
        <v>393</v>
      </c>
      <c r="AB68" s="28">
        <v>40927</v>
      </c>
      <c r="AC68" s="1" t="s">
        <v>936</v>
      </c>
      <c r="AE68" s="145">
        <v>40954</v>
      </c>
    </row>
    <row r="69" spans="1:31" ht="14.25" customHeight="1" x14ac:dyDescent="0.4">
      <c r="A69">
        <v>63</v>
      </c>
      <c r="B69" s="24">
        <v>40926</v>
      </c>
      <c r="C69" s="24">
        <v>40926</v>
      </c>
      <c r="D69" s="24">
        <v>40926</v>
      </c>
      <c r="E69" s="24">
        <v>40926</v>
      </c>
      <c r="F69" s="24" t="s">
        <v>393</v>
      </c>
      <c r="G69" s="24">
        <v>40939</v>
      </c>
      <c r="H69" s="37">
        <v>404</v>
      </c>
      <c r="I69" s="23">
        <v>40909</v>
      </c>
      <c r="J69" s="37">
        <v>37</v>
      </c>
      <c r="K69" s="24" t="s">
        <v>1367</v>
      </c>
      <c r="L69" s="24">
        <v>40940</v>
      </c>
      <c r="M69" s="24">
        <v>40660</v>
      </c>
      <c r="N69" s="22" t="s">
        <v>585</v>
      </c>
      <c r="O69" s="4">
        <v>9120424</v>
      </c>
      <c r="P69" s="22">
        <v>720</v>
      </c>
      <c r="Q69" s="22">
        <v>42</v>
      </c>
      <c r="R69" s="22" t="s">
        <v>2543</v>
      </c>
      <c r="S69" s="4" t="s">
        <v>2067</v>
      </c>
      <c r="T69" s="4" t="s">
        <v>404</v>
      </c>
      <c r="U69" s="44">
        <v>40885</v>
      </c>
      <c r="V69" s="4" t="s">
        <v>404</v>
      </c>
      <c r="W69" s="9">
        <v>40927</v>
      </c>
      <c r="X69" s="74">
        <v>0</v>
      </c>
      <c r="Y69" s="28"/>
      <c r="Z69" s="9"/>
      <c r="AA69" s="24" t="s">
        <v>393</v>
      </c>
      <c r="AB69" s="28">
        <v>40939</v>
      </c>
      <c r="AC69" s="1" t="s">
        <v>936</v>
      </c>
      <c r="AE69" s="145">
        <v>40954</v>
      </c>
    </row>
    <row r="70" spans="1:31" ht="14.25" customHeight="1" x14ac:dyDescent="0.4">
      <c r="A70">
        <v>64</v>
      </c>
      <c r="B70" s="22">
        <v>0</v>
      </c>
      <c r="C70" s="22" t="s">
        <v>2102</v>
      </c>
      <c r="D70" s="22">
        <v>0</v>
      </c>
      <c r="E70" s="24">
        <v>40926</v>
      </c>
      <c r="F70" s="24" t="s">
        <v>393</v>
      </c>
      <c r="G70" s="24">
        <v>40931</v>
      </c>
      <c r="H70" s="37">
        <v>405</v>
      </c>
      <c r="I70" s="23">
        <v>40909</v>
      </c>
      <c r="J70" s="37">
        <v>38</v>
      </c>
      <c r="K70" s="24" t="s">
        <v>1367</v>
      </c>
      <c r="L70" s="24">
        <v>40940</v>
      </c>
      <c r="M70" s="24">
        <v>40660</v>
      </c>
      <c r="N70" s="22" t="s">
        <v>585</v>
      </c>
      <c r="O70" s="4">
        <v>9120425</v>
      </c>
      <c r="P70" s="22">
        <v>720</v>
      </c>
      <c r="Q70" s="22">
        <v>42</v>
      </c>
      <c r="R70" s="22" t="s">
        <v>2544</v>
      </c>
      <c r="S70" s="76" t="s">
        <v>2068</v>
      </c>
      <c r="T70" s="4" t="s">
        <v>404</v>
      </c>
      <c r="U70" s="42">
        <v>40885</v>
      </c>
      <c r="V70" s="4" t="s">
        <v>404</v>
      </c>
      <c r="W70" s="9">
        <v>40964</v>
      </c>
      <c r="X70" s="74"/>
      <c r="Y70" s="28"/>
      <c r="Z70" s="9"/>
      <c r="AA70" s="24" t="s">
        <v>393</v>
      </c>
      <c r="AB70" s="28">
        <v>40931</v>
      </c>
      <c r="AC70" s="1" t="s">
        <v>936</v>
      </c>
      <c r="AE70" s="145">
        <v>40954</v>
      </c>
    </row>
    <row r="71" spans="1:31" ht="14.25" customHeight="1" x14ac:dyDescent="0.4">
      <c r="A71">
        <v>65</v>
      </c>
      <c r="B71" s="24">
        <v>40926</v>
      </c>
      <c r="C71" s="24">
        <v>40926</v>
      </c>
      <c r="D71" s="24">
        <v>40926</v>
      </c>
      <c r="E71" s="24">
        <v>40926</v>
      </c>
      <c r="F71" s="24" t="s">
        <v>393</v>
      </c>
      <c r="G71" s="24">
        <v>40932</v>
      </c>
      <c r="H71" s="37">
        <v>406</v>
      </c>
      <c r="I71" s="23">
        <v>40909</v>
      </c>
      <c r="J71" s="37">
        <v>39</v>
      </c>
      <c r="K71" s="24" t="s">
        <v>1367</v>
      </c>
      <c r="L71" s="24">
        <v>40940</v>
      </c>
      <c r="M71" s="24">
        <v>40660</v>
      </c>
      <c r="N71" s="22" t="s">
        <v>585</v>
      </c>
      <c r="O71" s="4">
        <v>9120426</v>
      </c>
      <c r="P71" s="22">
        <v>720</v>
      </c>
      <c r="Q71" s="22">
        <v>42</v>
      </c>
      <c r="R71" s="22" t="s">
        <v>2545</v>
      </c>
      <c r="S71" s="4" t="s">
        <v>147</v>
      </c>
      <c r="T71" s="4" t="s">
        <v>404</v>
      </c>
      <c r="U71" s="44">
        <v>40892</v>
      </c>
      <c r="V71" s="4" t="s">
        <v>404</v>
      </c>
      <c r="W71" s="28">
        <v>40982</v>
      </c>
      <c r="X71" s="74">
        <v>0</v>
      </c>
      <c r="Y71" s="28"/>
      <c r="Z71" s="9"/>
      <c r="AA71" s="24" t="s">
        <v>393</v>
      </c>
      <c r="AB71" s="28">
        <v>40932</v>
      </c>
      <c r="AC71" s="1" t="s">
        <v>992</v>
      </c>
      <c r="AE71" s="145">
        <v>40954</v>
      </c>
    </row>
    <row r="72" spans="1:31" ht="14.25" customHeight="1" x14ac:dyDescent="0.4">
      <c r="A72">
        <v>66</v>
      </c>
      <c r="B72" s="24">
        <v>40934</v>
      </c>
      <c r="C72" s="24">
        <v>40934</v>
      </c>
      <c r="D72" s="24">
        <v>40934</v>
      </c>
      <c r="E72" s="24">
        <v>40934</v>
      </c>
      <c r="F72" s="24" t="s">
        <v>393</v>
      </c>
      <c r="G72" s="24">
        <v>40939</v>
      </c>
      <c r="H72" s="37">
        <v>421</v>
      </c>
      <c r="I72" s="23">
        <v>40909</v>
      </c>
      <c r="J72" s="37">
        <v>54</v>
      </c>
      <c r="K72" s="24" t="s">
        <v>1367</v>
      </c>
      <c r="L72" s="24">
        <v>40940</v>
      </c>
      <c r="M72" s="24">
        <v>40660</v>
      </c>
      <c r="N72" s="22" t="s">
        <v>585</v>
      </c>
      <c r="O72" s="4">
        <v>9120427</v>
      </c>
      <c r="P72" s="22">
        <v>720</v>
      </c>
      <c r="Q72" s="22">
        <v>42</v>
      </c>
      <c r="R72" s="22" t="s">
        <v>2546</v>
      </c>
      <c r="S72" s="4" t="s">
        <v>1447</v>
      </c>
      <c r="T72" s="4" t="s">
        <v>404</v>
      </c>
      <c r="U72" s="44">
        <v>40892</v>
      </c>
      <c r="V72" s="4" t="s">
        <v>404</v>
      </c>
      <c r="W72" s="9">
        <v>40964</v>
      </c>
      <c r="X72" s="74">
        <v>0</v>
      </c>
      <c r="Y72" s="28"/>
      <c r="Z72" s="9"/>
      <c r="AA72" s="24" t="s">
        <v>393</v>
      </c>
      <c r="AB72" s="28">
        <v>40939</v>
      </c>
      <c r="AC72" s="1" t="s">
        <v>895</v>
      </c>
      <c r="AE72" s="145">
        <v>40954</v>
      </c>
    </row>
    <row r="73" spans="1:31" ht="14.25" customHeight="1" x14ac:dyDescent="0.4">
      <c r="A73">
        <v>67</v>
      </c>
      <c r="B73" s="24">
        <v>40934</v>
      </c>
      <c r="C73" s="24">
        <v>40934</v>
      </c>
      <c r="D73" s="24">
        <v>40934</v>
      </c>
      <c r="E73" s="24">
        <v>40934</v>
      </c>
      <c r="F73" s="24" t="s">
        <v>393</v>
      </c>
      <c r="G73" s="24">
        <v>40935</v>
      </c>
      <c r="H73" s="37">
        <v>422</v>
      </c>
      <c r="I73" s="23">
        <v>40909</v>
      </c>
      <c r="J73" s="37">
        <v>55</v>
      </c>
      <c r="K73" s="24" t="s">
        <v>1367</v>
      </c>
      <c r="L73" s="24">
        <v>40940</v>
      </c>
      <c r="M73" s="24">
        <v>40660</v>
      </c>
      <c r="N73" s="22" t="s">
        <v>585</v>
      </c>
      <c r="O73" s="4">
        <v>9120428</v>
      </c>
      <c r="P73" s="22">
        <v>720</v>
      </c>
      <c r="Q73" s="22">
        <v>42</v>
      </c>
      <c r="R73" s="22" t="s">
        <v>2547</v>
      </c>
      <c r="S73" s="4" t="s">
        <v>2069</v>
      </c>
      <c r="T73" s="4" t="s">
        <v>404</v>
      </c>
      <c r="U73" s="44">
        <v>40891</v>
      </c>
      <c r="V73" s="4" t="s">
        <v>404</v>
      </c>
      <c r="W73" s="43">
        <v>40964</v>
      </c>
      <c r="Y73" s="28"/>
      <c r="AA73" s="24" t="s">
        <v>393</v>
      </c>
      <c r="AB73" s="28">
        <v>40935</v>
      </c>
      <c r="AC73" s="1" t="s">
        <v>895</v>
      </c>
      <c r="AE73" s="145">
        <v>40954</v>
      </c>
    </row>
    <row r="74" spans="1:31" ht="14.25" customHeight="1" x14ac:dyDescent="0.4">
      <c r="A74">
        <v>68</v>
      </c>
      <c r="B74" s="24">
        <v>40934</v>
      </c>
      <c r="C74" s="24">
        <v>40934</v>
      </c>
      <c r="D74" s="24">
        <v>40934</v>
      </c>
      <c r="E74" s="24">
        <v>40934</v>
      </c>
      <c r="F74" s="24" t="s">
        <v>393</v>
      </c>
      <c r="G74" s="24">
        <v>40938</v>
      </c>
      <c r="H74" s="37">
        <v>423</v>
      </c>
      <c r="I74" s="23">
        <v>40909</v>
      </c>
      <c r="J74" s="37">
        <v>56</v>
      </c>
      <c r="K74" s="24" t="s">
        <v>1367</v>
      </c>
      <c r="L74" s="24">
        <v>40940</v>
      </c>
      <c r="M74" s="24">
        <v>40660</v>
      </c>
      <c r="N74" s="22" t="s">
        <v>585</v>
      </c>
      <c r="O74" s="4">
        <v>9120429</v>
      </c>
      <c r="P74" s="22">
        <v>720</v>
      </c>
      <c r="Q74" s="22">
        <v>42</v>
      </c>
      <c r="R74" s="22" t="s">
        <v>2548</v>
      </c>
      <c r="S74" s="4" t="s">
        <v>2028</v>
      </c>
      <c r="T74" s="4" t="s">
        <v>404</v>
      </c>
      <c r="U74" s="44">
        <v>40906</v>
      </c>
      <c r="V74" s="4" t="s">
        <v>404</v>
      </c>
      <c r="W74" s="9">
        <v>40968</v>
      </c>
      <c r="X74" s="74"/>
      <c r="Y74" s="28"/>
      <c r="Z74" s="9"/>
      <c r="AA74" s="24" t="s">
        <v>393</v>
      </c>
      <c r="AB74" s="28">
        <v>40938</v>
      </c>
      <c r="AC74" s="1" t="s">
        <v>895</v>
      </c>
      <c r="AE74" s="145">
        <v>40954</v>
      </c>
    </row>
    <row r="75" spans="1:31" ht="14.25" customHeight="1" x14ac:dyDescent="0.4">
      <c r="A75">
        <v>69</v>
      </c>
      <c r="B75" s="22">
        <v>0</v>
      </c>
      <c r="C75" s="22">
        <v>0</v>
      </c>
      <c r="D75" s="22">
        <v>0</v>
      </c>
      <c r="E75" s="24">
        <v>40967</v>
      </c>
      <c r="F75" s="24" t="s">
        <v>393</v>
      </c>
      <c r="G75" s="24">
        <v>40968</v>
      </c>
      <c r="H75" s="37">
        <v>487</v>
      </c>
      <c r="I75" s="23">
        <v>40940</v>
      </c>
      <c r="J75" s="37">
        <v>57</v>
      </c>
      <c r="K75" s="24" t="s">
        <v>1367</v>
      </c>
      <c r="L75" s="24">
        <v>40969</v>
      </c>
      <c r="M75" s="24">
        <v>40660</v>
      </c>
      <c r="N75" s="22" t="s">
        <v>585</v>
      </c>
      <c r="O75" s="4">
        <v>9120430</v>
      </c>
      <c r="P75" s="22">
        <v>720</v>
      </c>
      <c r="Q75" s="22">
        <v>42</v>
      </c>
      <c r="R75" s="22" t="s">
        <v>2549</v>
      </c>
      <c r="S75" s="1" t="s">
        <v>1267</v>
      </c>
      <c r="T75" s="4" t="s">
        <v>404</v>
      </c>
      <c r="U75" s="44">
        <v>40922</v>
      </c>
      <c r="V75" s="4" t="s">
        <v>404</v>
      </c>
      <c r="W75" s="9">
        <v>40991</v>
      </c>
      <c r="X75" s="74"/>
      <c r="Y75" s="28"/>
      <c r="Z75" s="9"/>
      <c r="AA75" s="24" t="s">
        <v>393</v>
      </c>
      <c r="AB75" s="28">
        <v>40968</v>
      </c>
      <c r="AC75" s="1" t="s">
        <v>1268</v>
      </c>
      <c r="AE75" s="145">
        <v>40983</v>
      </c>
    </row>
    <row r="76" spans="1:31" ht="14.25" customHeight="1" x14ac:dyDescent="0.4">
      <c r="A76">
        <v>70</v>
      </c>
      <c r="B76" s="24">
        <v>40967</v>
      </c>
      <c r="C76" s="24">
        <v>40967</v>
      </c>
      <c r="D76" s="24">
        <v>40967</v>
      </c>
      <c r="E76" s="24">
        <v>40967</v>
      </c>
      <c r="F76" s="24" t="s">
        <v>393</v>
      </c>
      <c r="G76" s="24">
        <v>40968</v>
      </c>
      <c r="H76" s="37">
        <v>488</v>
      </c>
      <c r="I76" s="23">
        <v>40940</v>
      </c>
      <c r="J76" s="37">
        <v>58</v>
      </c>
      <c r="K76" s="24" t="s">
        <v>1367</v>
      </c>
      <c r="L76" s="24">
        <v>40969</v>
      </c>
      <c r="M76" s="24">
        <v>40660</v>
      </c>
      <c r="N76" s="22" t="s">
        <v>585</v>
      </c>
      <c r="O76" s="4">
        <v>9120431</v>
      </c>
      <c r="P76" s="22">
        <v>720</v>
      </c>
      <c r="Q76" s="22">
        <v>42</v>
      </c>
      <c r="R76" s="22" t="s">
        <v>2550</v>
      </c>
      <c r="S76" s="4" t="s">
        <v>2038</v>
      </c>
      <c r="T76" s="4" t="s">
        <v>404</v>
      </c>
      <c r="U76" s="44">
        <v>40906</v>
      </c>
      <c r="V76" s="4" t="s">
        <v>404</v>
      </c>
      <c r="W76" s="9">
        <v>40980</v>
      </c>
      <c r="X76" s="74">
        <v>0</v>
      </c>
      <c r="Y76" s="28"/>
      <c r="Z76" s="9"/>
      <c r="AA76" s="24" t="s">
        <v>393</v>
      </c>
      <c r="AB76" s="28">
        <v>40968</v>
      </c>
      <c r="AC76" s="1" t="s">
        <v>758</v>
      </c>
      <c r="AE76" s="145">
        <v>40983</v>
      </c>
    </row>
    <row r="77" spans="1:31" ht="14.25" customHeight="1" x14ac:dyDescent="0.4">
      <c r="A77">
        <v>71</v>
      </c>
      <c r="B77" s="24">
        <v>40967</v>
      </c>
      <c r="C77" s="24">
        <v>40967</v>
      </c>
      <c r="D77" s="24">
        <v>40967</v>
      </c>
      <c r="E77" s="24">
        <v>40967</v>
      </c>
      <c r="F77" s="24" t="s">
        <v>393</v>
      </c>
      <c r="G77" s="24">
        <v>40968</v>
      </c>
      <c r="H77" s="37">
        <v>489</v>
      </c>
      <c r="I77" s="23">
        <v>40940</v>
      </c>
      <c r="J77" s="37">
        <v>59</v>
      </c>
      <c r="K77" s="24" t="s">
        <v>1367</v>
      </c>
      <c r="L77" s="24">
        <v>40969</v>
      </c>
      <c r="M77" s="24">
        <v>40660</v>
      </c>
      <c r="N77" s="22" t="s">
        <v>585</v>
      </c>
      <c r="O77" s="4">
        <v>9120432</v>
      </c>
      <c r="P77" s="22">
        <v>720</v>
      </c>
      <c r="Q77" s="22">
        <v>42</v>
      </c>
      <c r="R77" s="22" t="s">
        <v>2551</v>
      </c>
      <c r="S77" s="38" t="s">
        <v>1417</v>
      </c>
      <c r="T77" s="4" t="s">
        <v>404</v>
      </c>
      <c r="U77" s="44">
        <v>40906</v>
      </c>
      <c r="V77" s="4" t="s">
        <v>404</v>
      </c>
      <c r="W77" s="57">
        <v>40982</v>
      </c>
      <c r="X77" s="74"/>
      <c r="Y77" s="28"/>
      <c r="AA77" s="24" t="s">
        <v>393</v>
      </c>
      <c r="AB77" s="28">
        <v>40968</v>
      </c>
      <c r="AC77" s="1" t="s">
        <v>895</v>
      </c>
      <c r="AE77" s="145">
        <v>40983</v>
      </c>
    </row>
    <row r="78" spans="1:31" ht="14.25" customHeight="1" x14ac:dyDescent="0.4">
      <c r="A78">
        <v>72</v>
      </c>
      <c r="B78" s="24">
        <v>40976</v>
      </c>
      <c r="C78" s="24">
        <v>40976</v>
      </c>
      <c r="D78" s="24">
        <v>40976</v>
      </c>
      <c r="E78" s="24">
        <v>40976</v>
      </c>
      <c r="F78" s="24" t="s">
        <v>393</v>
      </c>
      <c r="G78" s="24">
        <v>40982</v>
      </c>
      <c r="H78" s="37">
        <v>510</v>
      </c>
      <c r="I78" s="23">
        <v>40969</v>
      </c>
      <c r="J78" s="37">
        <v>17</v>
      </c>
      <c r="K78" s="24" t="s">
        <v>1367</v>
      </c>
      <c r="L78" s="24">
        <v>40969</v>
      </c>
      <c r="M78" s="24">
        <v>40660</v>
      </c>
      <c r="N78" s="22" t="s">
        <v>585</v>
      </c>
      <c r="O78" s="4">
        <v>9120433</v>
      </c>
      <c r="P78" s="22">
        <v>720</v>
      </c>
      <c r="Q78" s="22">
        <v>42</v>
      </c>
      <c r="R78" s="22" t="s">
        <v>2552</v>
      </c>
      <c r="S78" s="4" t="s">
        <v>101</v>
      </c>
      <c r="T78" s="4" t="s">
        <v>404</v>
      </c>
      <c r="U78" s="44">
        <v>40949</v>
      </c>
      <c r="V78" s="4" t="s">
        <v>404</v>
      </c>
      <c r="W78" s="9">
        <v>41030</v>
      </c>
      <c r="X78" s="74"/>
      <c r="Y78" s="28"/>
      <c r="Z78" s="9"/>
      <c r="AA78" s="24" t="s">
        <v>393</v>
      </c>
      <c r="AB78" s="28">
        <v>40982</v>
      </c>
      <c r="AC78" s="1" t="s">
        <v>110</v>
      </c>
      <c r="AE78" s="145">
        <v>41014</v>
      </c>
    </row>
    <row r="79" spans="1:31" ht="14.25" customHeight="1" x14ac:dyDescent="0.4">
      <c r="A79">
        <v>73</v>
      </c>
      <c r="B79" s="24">
        <v>40856</v>
      </c>
      <c r="C79" s="24">
        <v>40856</v>
      </c>
      <c r="D79" s="24">
        <v>40856</v>
      </c>
      <c r="E79" s="24">
        <v>40856</v>
      </c>
      <c r="F79" s="24" t="s">
        <v>393</v>
      </c>
      <c r="G79" s="24">
        <v>40877</v>
      </c>
      <c r="H79" s="37">
        <v>274</v>
      </c>
      <c r="I79" s="23">
        <v>40848</v>
      </c>
      <c r="J79" s="37">
        <v>23</v>
      </c>
      <c r="K79" s="24" t="s">
        <v>1367</v>
      </c>
      <c r="L79" s="24">
        <v>40878</v>
      </c>
      <c r="M79" s="24">
        <v>40772</v>
      </c>
      <c r="N79" s="22" t="s">
        <v>585</v>
      </c>
      <c r="O79" s="4">
        <v>9120453</v>
      </c>
      <c r="P79" s="22">
        <v>1020</v>
      </c>
      <c r="Q79" s="22">
        <v>42</v>
      </c>
      <c r="R79" s="22" t="s">
        <v>2553</v>
      </c>
      <c r="S79" s="3" t="s">
        <v>2070</v>
      </c>
      <c r="T79" s="4" t="s">
        <v>404</v>
      </c>
      <c r="U79" s="164">
        <v>40886</v>
      </c>
      <c r="V79" s="4" t="s">
        <v>404</v>
      </c>
      <c r="W79" s="43">
        <v>40939</v>
      </c>
      <c r="Y79" s="28"/>
      <c r="AA79" s="24" t="s">
        <v>393</v>
      </c>
      <c r="AB79" s="28">
        <v>40877</v>
      </c>
      <c r="AC79" s="1" t="s">
        <v>895</v>
      </c>
      <c r="AE79" s="145">
        <v>40892</v>
      </c>
    </row>
    <row r="80" spans="1:31" ht="14.25" customHeight="1" x14ac:dyDescent="0.4">
      <c r="A80">
        <v>74</v>
      </c>
      <c r="B80" s="24">
        <v>40857</v>
      </c>
      <c r="C80" s="24">
        <v>40857</v>
      </c>
      <c r="D80" s="24">
        <v>40857</v>
      </c>
      <c r="E80" s="24">
        <v>40857</v>
      </c>
      <c r="F80" s="24" t="s">
        <v>393</v>
      </c>
      <c r="G80" s="24">
        <v>40861</v>
      </c>
      <c r="H80" s="37">
        <v>275</v>
      </c>
      <c r="I80" s="23">
        <v>40848</v>
      </c>
      <c r="J80" s="37">
        <v>24</v>
      </c>
      <c r="K80" s="24" t="s">
        <v>1367</v>
      </c>
      <c r="L80" s="24">
        <v>40878</v>
      </c>
      <c r="M80" s="24">
        <v>40772</v>
      </c>
      <c r="N80" s="22" t="s">
        <v>585</v>
      </c>
      <c r="O80" s="4">
        <v>9120454</v>
      </c>
      <c r="P80" s="22">
        <v>1020</v>
      </c>
      <c r="Q80" s="22">
        <v>42</v>
      </c>
      <c r="R80" s="22" t="s">
        <v>2554</v>
      </c>
      <c r="S80" s="38" t="s">
        <v>148</v>
      </c>
      <c r="T80" s="4" t="s">
        <v>404</v>
      </c>
      <c r="U80" s="164">
        <v>40892</v>
      </c>
      <c r="V80" s="4" t="s">
        <v>404</v>
      </c>
      <c r="W80" s="43">
        <v>40923</v>
      </c>
      <c r="Y80" s="28"/>
      <c r="AA80" s="24" t="s">
        <v>393</v>
      </c>
      <c r="AB80" s="28">
        <v>40861</v>
      </c>
      <c r="AC80" s="1" t="s">
        <v>895</v>
      </c>
      <c r="AE80" s="145">
        <v>40892</v>
      </c>
    </row>
    <row r="81" spans="1:31" ht="14.25" customHeight="1" x14ac:dyDescent="0.4">
      <c r="A81">
        <v>75</v>
      </c>
      <c r="B81" s="24">
        <v>40857</v>
      </c>
      <c r="C81" s="24">
        <v>40857</v>
      </c>
      <c r="D81" s="24">
        <v>40857</v>
      </c>
      <c r="E81" s="24">
        <v>40857</v>
      </c>
      <c r="F81" s="24" t="s">
        <v>393</v>
      </c>
      <c r="G81" s="24">
        <v>40861</v>
      </c>
      <c r="H81" s="37">
        <v>276</v>
      </c>
      <c r="I81" s="23">
        <v>40848</v>
      </c>
      <c r="J81" s="37">
        <v>25</v>
      </c>
      <c r="K81" s="24" t="s">
        <v>1367</v>
      </c>
      <c r="L81" s="24">
        <v>40878</v>
      </c>
      <c r="M81" s="24">
        <v>40772</v>
      </c>
      <c r="N81" s="22" t="s">
        <v>585</v>
      </c>
      <c r="O81" s="4">
        <v>9120455</v>
      </c>
      <c r="P81" s="22">
        <v>1020</v>
      </c>
      <c r="Q81" s="22">
        <v>42</v>
      </c>
      <c r="R81" s="22" t="s">
        <v>2555</v>
      </c>
      <c r="S81" s="38" t="s">
        <v>1370</v>
      </c>
      <c r="T81" s="4" t="s">
        <v>404</v>
      </c>
      <c r="U81" s="164">
        <v>40899</v>
      </c>
      <c r="V81" s="4" t="s">
        <v>404</v>
      </c>
      <c r="W81" s="43">
        <v>40939</v>
      </c>
      <c r="Y81" s="28"/>
      <c r="AA81" s="24" t="s">
        <v>393</v>
      </c>
      <c r="AB81" s="28">
        <v>40861</v>
      </c>
      <c r="AC81" s="1" t="s">
        <v>936</v>
      </c>
      <c r="AE81" s="145">
        <v>40892</v>
      </c>
    </row>
    <row r="82" spans="1:31" ht="14.25" customHeight="1" x14ac:dyDescent="0.4">
      <c r="A82">
        <v>76</v>
      </c>
      <c r="B82" s="24">
        <v>40857</v>
      </c>
      <c r="C82" s="24">
        <v>40857</v>
      </c>
      <c r="D82" s="24">
        <v>40857</v>
      </c>
      <c r="E82" s="24">
        <v>40857</v>
      </c>
      <c r="F82" s="24" t="s">
        <v>393</v>
      </c>
      <c r="G82" s="24">
        <v>40861</v>
      </c>
      <c r="H82" s="37">
        <v>277</v>
      </c>
      <c r="I82" s="23">
        <v>40848</v>
      </c>
      <c r="J82" s="37">
        <v>26</v>
      </c>
      <c r="K82" s="24" t="s">
        <v>1367</v>
      </c>
      <c r="L82" s="24">
        <v>40878</v>
      </c>
      <c r="M82" s="24">
        <v>40772</v>
      </c>
      <c r="N82" s="22" t="s">
        <v>585</v>
      </c>
      <c r="O82" s="4">
        <v>9120456</v>
      </c>
      <c r="P82" s="22">
        <v>1020</v>
      </c>
      <c r="Q82" s="22">
        <v>42</v>
      </c>
      <c r="R82" s="22" t="s">
        <v>2556</v>
      </c>
      <c r="S82" s="38" t="s">
        <v>149</v>
      </c>
      <c r="T82" s="4" t="s">
        <v>404</v>
      </c>
      <c r="U82" s="164">
        <v>40899</v>
      </c>
      <c r="V82" s="4" t="s">
        <v>404</v>
      </c>
      <c r="W82" s="43">
        <v>40954</v>
      </c>
      <c r="Y82" s="28"/>
      <c r="AA82" s="24" t="s">
        <v>393</v>
      </c>
      <c r="AB82" s="28">
        <v>40861</v>
      </c>
      <c r="AC82" s="1" t="s">
        <v>936</v>
      </c>
      <c r="AE82" s="145">
        <v>40892</v>
      </c>
    </row>
    <row r="83" spans="1:31" ht="14.25" customHeight="1" x14ac:dyDescent="0.4">
      <c r="A83">
        <v>77</v>
      </c>
      <c r="B83" s="24">
        <v>40858</v>
      </c>
      <c r="C83" s="24">
        <v>40858</v>
      </c>
      <c r="D83" s="24">
        <v>40858</v>
      </c>
      <c r="E83" s="24">
        <v>40858</v>
      </c>
      <c r="F83" s="24" t="s">
        <v>393</v>
      </c>
      <c r="G83" s="24">
        <v>40864</v>
      </c>
      <c r="H83" s="37">
        <v>278</v>
      </c>
      <c r="I83" s="23">
        <v>40848</v>
      </c>
      <c r="J83" s="37">
        <v>27</v>
      </c>
      <c r="K83" s="24" t="s">
        <v>1367</v>
      </c>
      <c r="L83" s="24">
        <v>40878</v>
      </c>
      <c r="M83" s="24">
        <v>40772</v>
      </c>
      <c r="N83" s="22" t="s">
        <v>585</v>
      </c>
      <c r="O83" s="4">
        <v>9120457</v>
      </c>
      <c r="P83" s="22">
        <v>1020</v>
      </c>
      <c r="Q83" s="22">
        <v>42</v>
      </c>
      <c r="R83" s="22" t="s">
        <v>2557</v>
      </c>
      <c r="S83" s="3" t="s">
        <v>1536</v>
      </c>
      <c r="T83" s="4" t="s">
        <v>404</v>
      </c>
      <c r="U83" s="164">
        <v>40791</v>
      </c>
      <c r="V83" s="4" t="s">
        <v>404</v>
      </c>
      <c r="W83" s="43">
        <v>40877</v>
      </c>
      <c r="Y83" s="28"/>
      <c r="AA83" s="24" t="s">
        <v>393</v>
      </c>
      <c r="AB83" s="28">
        <v>40864</v>
      </c>
      <c r="AC83" s="1" t="s">
        <v>2071</v>
      </c>
      <c r="AE83" s="145">
        <v>40892</v>
      </c>
    </row>
    <row r="84" spans="1:31" ht="14.25" customHeight="1" x14ac:dyDescent="0.4">
      <c r="A84">
        <v>78</v>
      </c>
      <c r="B84" s="24">
        <v>40858</v>
      </c>
      <c r="C84" s="24">
        <v>40858</v>
      </c>
      <c r="D84" s="24">
        <v>40858</v>
      </c>
      <c r="E84" s="24">
        <v>40858</v>
      </c>
      <c r="F84" s="24" t="s">
        <v>393</v>
      </c>
      <c r="G84" s="24">
        <v>40875</v>
      </c>
      <c r="H84" s="37">
        <v>279</v>
      </c>
      <c r="I84" s="23">
        <v>40848</v>
      </c>
      <c r="J84" s="37">
        <v>28</v>
      </c>
      <c r="K84" s="24" t="s">
        <v>1367</v>
      </c>
      <c r="L84" s="24">
        <v>40878</v>
      </c>
      <c r="M84" s="24">
        <v>40772</v>
      </c>
      <c r="N84" s="22" t="s">
        <v>585</v>
      </c>
      <c r="O84" s="4">
        <v>9120458</v>
      </c>
      <c r="P84" s="22">
        <v>1020</v>
      </c>
      <c r="Q84" s="22">
        <v>42</v>
      </c>
      <c r="R84" s="22" t="s">
        <v>2558</v>
      </c>
      <c r="S84" s="38" t="s">
        <v>1278</v>
      </c>
      <c r="T84" s="4" t="s">
        <v>404</v>
      </c>
      <c r="U84" s="164">
        <v>40942</v>
      </c>
      <c r="V84" s="4" t="s">
        <v>404</v>
      </c>
      <c r="W84" s="43">
        <v>40984</v>
      </c>
      <c r="Y84" s="28"/>
      <c r="AA84" s="24" t="s">
        <v>393</v>
      </c>
      <c r="AB84" s="28">
        <v>40875</v>
      </c>
      <c r="AC84" s="1" t="s">
        <v>895</v>
      </c>
      <c r="AE84" s="145">
        <v>40892</v>
      </c>
    </row>
    <row r="85" spans="1:31" ht="14.25" customHeight="1" x14ac:dyDescent="0.4">
      <c r="A85">
        <v>79</v>
      </c>
      <c r="B85" s="24">
        <v>40927</v>
      </c>
      <c r="C85" s="24">
        <v>40927</v>
      </c>
      <c r="D85" s="24">
        <v>40927</v>
      </c>
      <c r="E85" s="24">
        <v>40927</v>
      </c>
      <c r="F85" s="24" t="s">
        <v>393</v>
      </c>
      <c r="G85" s="24">
        <v>40931</v>
      </c>
      <c r="H85" s="23">
        <v>407</v>
      </c>
      <c r="I85" s="23">
        <v>40909</v>
      </c>
      <c r="J85" s="37">
        <v>40</v>
      </c>
      <c r="K85" s="24" t="s">
        <v>1367</v>
      </c>
      <c r="L85" s="24">
        <v>40940</v>
      </c>
      <c r="M85" s="24">
        <v>40862</v>
      </c>
      <c r="N85" s="22" t="s">
        <v>585</v>
      </c>
      <c r="O85" s="4">
        <v>9120513</v>
      </c>
      <c r="P85" s="22">
        <v>1020</v>
      </c>
      <c r="Q85" s="22">
        <v>42</v>
      </c>
      <c r="R85" s="22" t="s">
        <v>2559</v>
      </c>
      <c r="S85" s="132" t="s">
        <v>150</v>
      </c>
      <c r="T85" s="4" t="s">
        <v>404</v>
      </c>
      <c r="U85" s="164">
        <v>40891</v>
      </c>
      <c r="V85" s="4" t="s">
        <v>404</v>
      </c>
      <c r="W85" s="43">
        <v>40955</v>
      </c>
      <c r="Y85" s="28"/>
      <c r="AA85" s="24" t="s">
        <v>393</v>
      </c>
      <c r="AB85" s="28">
        <v>40931</v>
      </c>
      <c r="AC85" s="1" t="s">
        <v>936</v>
      </c>
      <c r="AE85" s="145">
        <v>40954</v>
      </c>
    </row>
    <row r="86" spans="1:31" ht="14.25" customHeight="1" x14ac:dyDescent="0.4">
      <c r="A86">
        <v>80</v>
      </c>
      <c r="B86" s="24">
        <v>40927</v>
      </c>
      <c r="C86" s="24">
        <v>40927</v>
      </c>
      <c r="D86" s="24">
        <v>40927</v>
      </c>
      <c r="E86" s="24">
        <v>40927</v>
      </c>
      <c r="F86" s="24" t="s">
        <v>393</v>
      </c>
      <c r="G86" s="24">
        <v>40935</v>
      </c>
      <c r="H86" s="23">
        <v>408</v>
      </c>
      <c r="I86" s="23">
        <v>40909</v>
      </c>
      <c r="J86" s="37">
        <v>41</v>
      </c>
      <c r="K86" s="24" t="s">
        <v>1367</v>
      </c>
      <c r="L86" s="24">
        <v>40940</v>
      </c>
      <c r="M86" s="24">
        <v>40862</v>
      </c>
      <c r="N86" s="22" t="s">
        <v>585</v>
      </c>
      <c r="O86" s="4">
        <v>9120514</v>
      </c>
      <c r="P86" s="22">
        <v>1020</v>
      </c>
      <c r="Q86" s="22">
        <v>42</v>
      </c>
      <c r="R86" s="22" t="s">
        <v>2560</v>
      </c>
      <c r="S86" s="132" t="s">
        <v>2039</v>
      </c>
      <c r="T86" s="4" t="s">
        <v>404</v>
      </c>
      <c r="U86" s="164">
        <v>40907</v>
      </c>
      <c r="V86" s="4" t="s">
        <v>404</v>
      </c>
      <c r="W86" s="43">
        <v>40955</v>
      </c>
      <c r="Y86" s="28"/>
      <c r="AA86" s="24" t="s">
        <v>393</v>
      </c>
      <c r="AB86" s="28">
        <v>40935</v>
      </c>
      <c r="AC86" s="1" t="s">
        <v>897</v>
      </c>
      <c r="AE86" s="145">
        <v>40954</v>
      </c>
    </row>
    <row r="87" spans="1:31" ht="14.25" customHeight="1" x14ac:dyDescent="0.4">
      <c r="A87">
        <v>81</v>
      </c>
      <c r="B87" s="24">
        <v>40927</v>
      </c>
      <c r="C87" s="24">
        <v>40927</v>
      </c>
      <c r="D87" s="24">
        <v>40927</v>
      </c>
      <c r="E87" s="24">
        <v>40927</v>
      </c>
      <c r="F87" s="24" t="s">
        <v>393</v>
      </c>
      <c r="G87" s="24">
        <v>40933</v>
      </c>
      <c r="H87" s="23">
        <v>409</v>
      </c>
      <c r="I87" s="23">
        <v>40909</v>
      </c>
      <c r="J87" s="37">
        <v>42</v>
      </c>
      <c r="K87" s="24" t="s">
        <v>1367</v>
      </c>
      <c r="L87" s="24">
        <v>40940</v>
      </c>
      <c r="M87" s="24">
        <v>40862</v>
      </c>
      <c r="N87" s="22" t="s">
        <v>585</v>
      </c>
      <c r="O87" s="4">
        <v>9120515</v>
      </c>
      <c r="P87" s="22">
        <v>1020</v>
      </c>
      <c r="Q87" s="22">
        <v>42</v>
      </c>
      <c r="R87" s="22" t="s">
        <v>2561</v>
      </c>
      <c r="S87" s="132" t="s">
        <v>102</v>
      </c>
      <c r="T87" s="4" t="s">
        <v>404</v>
      </c>
      <c r="U87" s="164">
        <v>40956</v>
      </c>
      <c r="V87" s="4" t="s">
        <v>404</v>
      </c>
      <c r="W87" s="43">
        <v>40998</v>
      </c>
      <c r="Y87" s="28"/>
      <c r="AA87" s="24" t="s">
        <v>393</v>
      </c>
      <c r="AB87" s="28">
        <v>40933</v>
      </c>
      <c r="AC87" s="1" t="s">
        <v>111</v>
      </c>
      <c r="AE87" s="145">
        <v>40954</v>
      </c>
    </row>
    <row r="88" spans="1:31" ht="14.25" customHeight="1" x14ac:dyDescent="0.4">
      <c r="A88">
        <v>82</v>
      </c>
      <c r="B88" s="24">
        <v>40931</v>
      </c>
      <c r="C88" s="24">
        <v>40931</v>
      </c>
      <c r="D88" s="24">
        <v>40931</v>
      </c>
      <c r="E88" s="24">
        <v>40931</v>
      </c>
      <c r="F88" s="24" t="s">
        <v>393</v>
      </c>
      <c r="G88" s="24">
        <v>40932</v>
      </c>
      <c r="H88" s="23">
        <v>414</v>
      </c>
      <c r="I88" s="23">
        <v>40909</v>
      </c>
      <c r="J88" s="37">
        <v>47</v>
      </c>
      <c r="K88" s="24" t="s">
        <v>1367</v>
      </c>
      <c r="L88" s="24">
        <v>40940</v>
      </c>
      <c r="M88" s="24">
        <v>40862</v>
      </c>
      <c r="N88" s="22" t="s">
        <v>585</v>
      </c>
      <c r="O88" s="4">
        <v>9120516</v>
      </c>
      <c r="P88" s="22">
        <v>1020</v>
      </c>
      <c r="Q88" s="22">
        <v>42</v>
      </c>
      <c r="R88" s="22" t="s">
        <v>2562</v>
      </c>
      <c r="S88" s="132" t="s">
        <v>1280</v>
      </c>
      <c r="T88" s="4" t="s">
        <v>404</v>
      </c>
      <c r="U88" s="164">
        <v>40928</v>
      </c>
      <c r="V88" s="4" t="s">
        <v>404</v>
      </c>
      <c r="W88" s="43">
        <v>40978</v>
      </c>
      <c r="Y88" s="28"/>
      <c r="AA88" s="24" t="s">
        <v>393</v>
      </c>
      <c r="AB88" s="28">
        <v>40932</v>
      </c>
      <c r="AC88" s="1" t="s">
        <v>112</v>
      </c>
    </row>
    <row r="89" spans="1:31" ht="14.25" customHeight="1" x14ac:dyDescent="0.4">
      <c r="A89">
        <v>83</v>
      </c>
      <c r="B89" s="24">
        <v>40931</v>
      </c>
      <c r="C89" s="24">
        <v>40931</v>
      </c>
      <c r="D89" s="24">
        <v>40931</v>
      </c>
      <c r="E89" s="24">
        <v>40931</v>
      </c>
      <c r="F89" s="24" t="s">
        <v>393</v>
      </c>
      <c r="G89" s="24">
        <v>40939</v>
      </c>
      <c r="H89" s="23">
        <v>415</v>
      </c>
      <c r="I89" s="23">
        <v>40909</v>
      </c>
      <c r="J89" s="37">
        <v>48</v>
      </c>
      <c r="K89" s="24" t="s">
        <v>1367</v>
      </c>
      <c r="L89" s="24">
        <v>40940</v>
      </c>
      <c r="M89" s="24">
        <v>40862</v>
      </c>
      <c r="N89" s="22" t="s">
        <v>585</v>
      </c>
      <c r="O89" s="4">
        <v>9120517</v>
      </c>
      <c r="P89" s="22">
        <v>1020</v>
      </c>
      <c r="Q89" s="22">
        <v>42</v>
      </c>
      <c r="R89" s="22" t="s">
        <v>2563</v>
      </c>
      <c r="S89" s="3" t="s">
        <v>1279</v>
      </c>
      <c r="T89" s="4" t="s">
        <v>404</v>
      </c>
      <c r="U89" s="164">
        <v>40939</v>
      </c>
      <c r="V89" s="4" t="s">
        <v>404</v>
      </c>
      <c r="W89" s="43">
        <v>40970</v>
      </c>
      <c r="Y89" s="28"/>
      <c r="AA89" s="24" t="s">
        <v>393</v>
      </c>
      <c r="AB89" s="28">
        <v>40939</v>
      </c>
      <c r="AC89" s="1" t="s">
        <v>896</v>
      </c>
    </row>
    <row r="90" spans="1:31" ht="14.25" customHeight="1" x14ac:dyDescent="0.4">
      <c r="A90">
        <v>84</v>
      </c>
      <c r="B90" s="24">
        <v>40932</v>
      </c>
      <c r="C90" s="24">
        <v>40932</v>
      </c>
      <c r="D90" s="24">
        <v>40932</v>
      </c>
      <c r="E90" s="24">
        <v>40932</v>
      </c>
      <c r="F90" s="24" t="s">
        <v>393</v>
      </c>
      <c r="G90" s="24">
        <v>40938</v>
      </c>
      <c r="H90" s="23">
        <v>416</v>
      </c>
      <c r="I90" s="23">
        <v>40909</v>
      </c>
      <c r="J90" s="37">
        <v>49</v>
      </c>
      <c r="K90" s="24" t="s">
        <v>1367</v>
      </c>
      <c r="L90" s="24">
        <v>40940</v>
      </c>
      <c r="M90" s="24">
        <v>40862</v>
      </c>
      <c r="N90" s="22" t="s">
        <v>585</v>
      </c>
      <c r="O90" s="4">
        <v>9120518</v>
      </c>
      <c r="P90" s="22">
        <v>1020</v>
      </c>
      <c r="Q90" s="22">
        <v>42</v>
      </c>
      <c r="R90" s="22" t="s">
        <v>2564</v>
      </c>
      <c r="S90" s="3" t="s">
        <v>103</v>
      </c>
      <c r="T90" s="4" t="s">
        <v>404</v>
      </c>
      <c r="U90" s="164">
        <v>40940</v>
      </c>
      <c r="V90" s="4" t="s">
        <v>404</v>
      </c>
      <c r="W90" s="43">
        <v>40976</v>
      </c>
      <c r="Y90" s="28"/>
      <c r="AA90" s="24" t="s">
        <v>393</v>
      </c>
      <c r="AB90" s="28">
        <v>40938</v>
      </c>
      <c r="AC90" s="1" t="s">
        <v>895</v>
      </c>
    </row>
    <row r="91" spans="1:31" ht="14.25" customHeight="1" x14ac:dyDescent="0.4">
      <c r="A91">
        <v>85</v>
      </c>
      <c r="B91" s="24">
        <v>40980</v>
      </c>
      <c r="C91" s="24">
        <v>40980</v>
      </c>
      <c r="D91" s="24">
        <v>40980</v>
      </c>
      <c r="E91" s="24">
        <v>40980</v>
      </c>
      <c r="F91" s="24" t="s">
        <v>393</v>
      </c>
      <c r="G91" s="24">
        <v>40982</v>
      </c>
      <c r="H91" s="23">
        <v>511</v>
      </c>
      <c r="I91" s="23">
        <v>40969</v>
      </c>
      <c r="J91" s="37">
        <v>18</v>
      </c>
      <c r="K91" s="24" t="s">
        <v>1367</v>
      </c>
      <c r="L91" s="24">
        <v>0</v>
      </c>
      <c r="M91" s="24">
        <v>40899</v>
      </c>
      <c r="N91" s="22" t="s">
        <v>585</v>
      </c>
      <c r="O91" s="4">
        <v>9120530</v>
      </c>
      <c r="P91" s="22">
        <v>720</v>
      </c>
      <c r="Q91" s="22">
        <v>42</v>
      </c>
      <c r="R91" s="22" t="s">
        <v>2565</v>
      </c>
      <c r="S91" s="3" t="s">
        <v>104</v>
      </c>
      <c r="T91" s="4" t="s">
        <v>404</v>
      </c>
      <c r="U91" s="164">
        <v>40954</v>
      </c>
      <c r="V91" s="4" t="s">
        <v>404</v>
      </c>
      <c r="W91" s="43">
        <v>41005</v>
      </c>
      <c r="Y91" s="28"/>
      <c r="AA91" s="24" t="s">
        <v>393</v>
      </c>
      <c r="AB91" s="28">
        <v>40982</v>
      </c>
      <c r="AC91" s="1" t="s">
        <v>111</v>
      </c>
    </row>
    <row r="92" spans="1:31" ht="14.25" customHeight="1" x14ac:dyDescent="0.4">
      <c r="A92">
        <v>86</v>
      </c>
      <c r="B92" s="24">
        <v>40983</v>
      </c>
      <c r="C92" s="24">
        <v>40983</v>
      </c>
      <c r="D92" s="24">
        <v>40983</v>
      </c>
      <c r="E92" s="24">
        <v>40983</v>
      </c>
      <c r="F92" s="24" t="s">
        <v>393</v>
      </c>
      <c r="G92" s="24">
        <v>40988</v>
      </c>
      <c r="H92" s="23">
        <v>516</v>
      </c>
      <c r="I92" s="23">
        <v>40969</v>
      </c>
      <c r="J92" s="37">
        <v>23</v>
      </c>
      <c r="K92" s="24" t="s">
        <v>1367</v>
      </c>
      <c r="L92" s="24">
        <v>0</v>
      </c>
      <c r="M92" s="24">
        <v>40899</v>
      </c>
      <c r="N92" s="22" t="s">
        <v>585</v>
      </c>
      <c r="O92" s="4">
        <v>9120531</v>
      </c>
      <c r="P92" s="22">
        <v>720</v>
      </c>
      <c r="Q92" s="22">
        <v>42</v>
      </c>
      <c r="R92" s="22" t="s">
        <v>2566</v>
      </c>
      <c r="S92" s="3" t="s">
        <v>105</v>
      </c>
      <c r="T92" s="4" t="s">
        <v>404</v>
      </c>
      <c r="U92" s="164">
        <v>40954</v>
      </c>
      <c r="V92" s="4" t="s">
        <v>404</v>
      </c>
      <c r="W92" s="43">
        <v>41025</v>
      </c>
      <c r="Y92" s="28"/>
      <c r="AA92" s="24" t="s">
        <v>393</v>
      </c>
      <c r="AB92" s="28">
        <v>40988</v>
      </c>
      <c r="AC92" s="1" t="s">
        <v>113</v>
      </c>
    </row>
    <row r="93" spans="1:31" ht="14.25" customHeight="1" x14ac:dyDescent="0.4">
      <c r="A93">
        <v>87</v>
      </c>
      <c r="B93" s="24">
        <v>40932</v>
      </c>
      <c r="C93" s="24">
        <v>40932</v>
      </c>
      <c r="D93" s="24">
        <v>40932</v>
      </c>
      <c r="E93" s="24">
        <v>40932</v>
      </c>
      <c r="F93" s="24" t="s">
        <v>393</v>
      </c>
      <c r="G93" s="24">
        <v>40938</v>
      </c>
      <c r="H93" s="23">
        <v>418</v>
      </c>
      <c r="I93" s="23">
        <v>40909</v>
      </c>
      <c r="J93" s="37">
        <v>51</v>
      </c>
      <c r="K93" s="24" t="s">
        <v>1367</v>
      </c>
      <c r="L93" s="24">
        <v>40969</v>
      </c>
      <c r="M93" s="24">
        <v>40905</v>
      </c>
      <c r="N93" s="22" t="s">
        <v>585</v>
      </c>
      <c r="O93" s="4">
        <v>9120532</v>
      </c>
      <c r="P93" s="22">
        <v>1020</v>
      </c>
      <c r="Q93" s="22">
        <v>42</v>
      </c>
      <c r="R93" s="22" t="s">
        <v>2567</v>
      </c>
      <c r="S93" s="3" t="s">
        <v>106</v>
      </c>
      <c r="T93" s="4" t="s">
        <v>404</v>
      </c>
      <c r="U93" s="164">
        <v>40954</v>
      </c>
      <c r="V93" s="4" t="s">
        <v>404</v>
      </c>
      <c r="W93" s="43">
        <v>41001</v>
      </c>
      <c r="Y93" s="28"/>
      <c r="AA93" s="24" t="s">
        <v>393</v>
      </c>
      <c r="AB93" s="28">
        <v>40938</v>
      </c>
      <c r="AC93" s="1" t="s">
        <v>114</v>
      </c>
    </row>
    <row r="94" spans="1:31" ht="14.25" customHeight="1" x14ac:dyDescent="0.4">
      <c r="A94">
        <v>88</v>
      </c>
      <c r="B94" s="24">
        <v>40933</v>
      </c>
      <c r="C94" s="24">
        <v>40933</v>
      </c>
      <c r="D94" s="24">
        <v>40933</v>
      </c>
      <c r="E94" s="24">
        <v>40933</v>
      </c>
      <c r="F94" s="24" t="s">
        <v>393</v>
      </c>
      <c r="G94" s="24">
        <v>40935</v>
      </c>
      <c r="H94" s="23">
        <v>419</v>
      </c>
      <c r="I94" s="23">
        <v>40909</v>
      </c>
      <c r="J94" s="37">
        <v>52</v>
      </c>
      <c r="K94" s="24" t="s">
        <v>1367</v>
      </c>
      <c r="L94" s="24">
        <v>40969</v>
      </c>
      <c r="M94" s="24">
        <v>40905</v>
      </c>
      <c r="N94" s="22" t="s">
        <v>585</v>
      </c>
      <c r="O94" s="4">
        <v>9120533</v>
      </c>
      <c r="P94" s="22">
        <v>1020</v>
      </c>
      <c r="Q94" s="22">
        <v>42</v>
      </c>
      <c r="R94" s="22" t="s">
        <v>2568</v>
      </c>
      <c r="S94" s="3" t="s">
        <v>1038</v>
      </c>
      <c r="T94" s="4" t="s">
        <v>404</v>
      </c>
      <c r="U94" s="164">
        <v>40968</v>
      </c>
      <c r="V94" s="4" t="s">
        <v>404</v>
      </c>
      <c r="W94" s="43">
        <v>40999</v>
      </c>
      <c r="Y94" s="28"/>
      <c r="AA94" s="24" t="s">
        <v>393</v>
      </c>
      <c r="AB94" s="28">
        <v>40935</v>
      </c>
      <c r="AC94" s="1" t="s">
        <v>758</v>
      </c>
    </row>
    <row r="95" spans="1:31" ht="14.25" customHeight="1" x14ac:dyDescent="0.4">
      <c r="A95">
        <v>89</v>
      </c>
      <c r="B95" s="24">
        <v>40933</v>
      </c>
      <c r="C95" s="24">
        <v>40933</v>
      </c>
      <c r="D95" s="24">
        <v>40933</v>
      </c>
      <c r="E95" s="24">
        <v>40933</v>
      </c>
      <c r="F95" s="24" t="s">
        <v>393</v>
      </c>
      <c r="G95" s="24">
        <v>40939</v>
      </c>
      <c r="H95" s="23">
        <v>420</v>
      </c>
      <c r="I95" s="23">
        <v>40909</v>
      </c>
      <c r="J95" s="37">
        <v>53</v>
      </c>
      <c r="K95" s="24" t="s">
        <v>1367</v>
      </c>
      <c r="L95" s="24">
        <v>40969</v>
      </c>
      <c r="M95" s="24">
        <v>40905</v>
      </c>
      <c r="N95" s="22" t="s">
        <v>585</v>
      </c>
      <c r="O95" s="4">
        <v>9120534</v>
      </c>
      <c r="P95" s="22">
        <v>1020</v>
      </c>
      <c r="Q95" s="22">
        <v>42</v>
      </c>
      <c r="R95" s="22" t="s">
        <v>2569</v>
      </c>
      <c r="S95" s="3" t="s">
        <v>1277</v>
      </c>
      <c r="T95" s="4" t="s">
        <v>404</v>
      </c>
      <c r="U95" s="164">
        <v>40942</v>
      </c>
      <c r="V95" s="4" t="s">
        <v>404</v>
      </c>
      <c r="W95" s="43">
        <v>40983</v>
      </c>
      <c r="Y95" s="28"/>
      <c r="AA95" s="24" t="s">
        <v>393</v>
      </c>
      <c r="AB95" s="28">
        <v>40939</v>
      </c>
      <c r="AC95" s="1" t="s">
        <v>895</v>
      </c>
    </row>
    <row r="96" spans="1:31" ht="14.25" customHeight="1" x14ac:dyDescent="0.4">
      <c r="A96">
        <v>90</v>
      </c>
      <c r="B96" s="24">
        <v>40976</v>
      </c>
      <c r="C96" s="24">
        <v>40976</v>
      </c>
      <c r="D96" s="24">
        <v>40976</v>
      </c>
      <c r="E96" s="24">
        <v>40976</v>
      </c>
      <c r="F96" s="24" t="s">
        <v>393</v>
      </c>
      <c r="G96" s="24">
        <v>40982</v>
      </c>
      <c r="H96" s="23">
        <v>509</v>
      </c>
      <c r="I96" s="23">
        <v>40969</v>
      </c>
      <c r="J96" s="37">
        <v>16</v>
      </c>
      <c r="K96" s="24" t="s">
        <v>1367</v>
      </c>
      <c r="L96" s="24">
        <v>40969</v>
      </c>
      <c r="M96" s="24">
        <v>40905</v>
      </c>
      <c r="N96" s="22" t="s">
        <v>585</v>
      </c>
      <c r="O96" s="4">
        <v>9120535</v>
      </c>
      <c r="P96" s="22">
        <v>720</v>
      </c>
      <c r="Q96" s="22">
        <v>42</v>
      </c>
      <c r="R96" s="22" t="s">
        <v>2570</v>
      </c>
      <c r="S96" s="3" t="s">
        <v>107</v>
      </c>
      <c r="T96" s="4" t="s">
        <v>404</v>
      </c>
      <c r="U96" s="164">
        <v>40954</v>
      </c>
      <c r="V96" s="4" t="s">
        <v>404</v>
      </c>
      <c r="W96" s="43">
        <v>41012</v>
      </c>
      <c r="Y96" s="28"/>
      <c r="AA96" s="24" t="s">
        <v>393</v>
      </c>
      <c r="AB96" s="28">
        <v>40982</v>
      </c>
      <c r="AC96" s="1" t="s">
        <v>112</v>
      </c>
    </row>
    <row r="97" spans="1:29" ht="14.25" customHeight="1" x14ac:dyDescent="0.4">
      <c r="A97">
        <v>91</v>
      </c>
      <c r="B97" s="24">
        <v>41015</v>
      </c>
      <c r="C97" s="24">
        <v>41015</v>
      </c>
      <c r="D97" s="24">
        <v>41015</v>
      </c>
      <c r="E97" s="24">
        <v>41015</v>
      </c>
      <c r="F97" s="24" t="s">
        <v>393</v>
      </c>
      <c r="G97" s="24">
        <v>41025</v>
      </c>
      <c r="H97" s="23">
        <v>552</v>
      </c>
      <c r="I97" s="23">
        <v>41000</v>
      </c>
      <c r="J97" s="37">
        <v>18</v>
      </c>
      <c r="K97" s="24" t="s">
        <v>1367</v>
      </c>
      <c r="L97" s="24">
        <v>0</v>
      </c>
      <c r="M97" s="24">
        <v>40905</v>
      </c>
      <c r="N97" s="22" t="s">
        <v>585</v>
      </c>
      <c r="O97" s="4">
        <v>9120536</v>
      </c>
      <c r="P97" s="22">
        <v>720</v>
      </c>
      <c r="Q97" s="22">
        <v>42</v>
      </c>
      <c r="R97" s="22" t="s">
        <v>2571</v>
      </c>
      <c r="S97" s="3" t="s">
        <v>1406</v>
      </c>
      <c r="T97" s="4" t="s">
        <v>404</v>
      </c>
      <c r="U97" s="164">
        <v>41145</v>
      </c>
      <c r="V97" s="4"/>
      <c r="Y97" s="28"/>
      <c r="AA97" s="24" t="s">
        <v>393</v>
      </c>
      <c r="AB97" s="28">
        <v>41025</v>
      </c>
    </row>
    <row r="98" spans="1:29" ht="14.25" customHeight="1" x14ac:dyDescent="0.4">
      <c r="A98">
        <v>92</v>
      </c>
      <c r="B98" s="24">
        <v>40841</v>
      </c>
      <c r="C98" s="24">
        <v>40841</v>
      </c>
      <c r="D98" s="24">
        <v>40841</v>
      </c>
      <c r="E98" s="24">
        <v>40841</v>
      </c>
      <c r="F98" s="24" t="s">
        <v>393</v>
      </c>
      <c r="G98" s="24">
        <v>40843</v>
      </c>
      <c r="H98" s="37">
        <v>239</v>
      </c>
      <c r="I98" s="23">
        <v>40817</v>
      </c>
      <c r="J98" s="37">
        <v>52</v>
      </c>
      <c r="K98" s="24" t="s">
        <v>1367</v>
      </c>
      <c r="L98" s="24">
        <v>40817</v>
      </c>
      <c r="M98" s="24">
        <v>40661</v>
      </c>
      <c r="N98" s="22" t="s">
        <v>585</v>
      </c>
      <c r="O98" s="81">
        <v>9120253</v>
      </c>
      <c r="P98" s="22">
        <v>1020</v>
      </c>
      <c r="Q98" s="22">
        <v>50</v>
      </c>
      <c r="R98" s="22" t="s">
        <v>2572</v>
      </c>
      <c r="S98" s="1" t="s">
        <v>108</v>
      </c>
      <c r="T98" s="4" t="s">
        <v>404</v>
      </c>
      <c r="U98" s="94">
        <v>40949</v>
      </c>
      <c r="V98" s="4" t="s">
        <v>404</v>
      </c>
      <c r="W98" s="92">
        <v>40991</v>
      </c>
      <c r="X98" s="74"/>
      <c r="Y98" s="28"/>
      <c r="Z98" s="9"/>
      <c r="AA98" s="24" t="s">
        <v>393</v>
      </c>
      <c r="AB98" s="28">
        <v>40843</v>
      </c>
      <c r="AC98" s="1" t="s">
        <v>111</v>
      </c>
    </row>
    <row r="99" spans="1:29" ht="14.25" customHeight="1" x14ac:dyDescent="0.4">
      <c r="A99">
        <v>93</v>
      </c>
      <c r="B99" s="22">
        <v>0</v>
      </c>
      <c r="C99" s="22" t="s">
        <v>2165</v>
      </c>
      <c r="D99" s="22">
        <v>0</v>
      </c>
      <c r="E99" s="24">
        <v>41018</v>
      </c>
      <c r="F99" s="24" t="s">
        <v>393</v>
      </c>
      <c r="G99" s="24">
        <v>41052</v>
      </c>
      <c r="H99" s="37">
        <v>557</v>
      </c>
      <c r="I99" s="23">
        <v>41000</v>
      </c>
      <c r="J99" s="37">
        <v>16</v>
      </c>
      <c r="K99" s="24" t="s">
        <v>1367</v>
      </c>
      <c r="L99" s="24">
        <v>0</v>
      </c>
      <c r="M99" s="24">
        <v>40953</v>
      </c>
      <c r="N99" s="22" t="s">
        <v>585</v>
      </c>
      <c r="O99" s="4">
        <v>9120556</v>
      </c>
      <c r="P99" s="22">
        <v>720</v>
      </c>
      <c r="Q99" s="22">
        <v>42</v>
      </c>
      <c r="R99" s="22" t="s">
        <v>2573</v>
      </c>
      <c r="S99" s="3" t="s">
        <v>262</v>
      </c>
      <c r="T99" s="3" t="s">
        <v>404</v>
      </c>
      <c r="U99" s="164">
        <v>41111</v>
      </c>
      <c r="Y99" s="28"/>
      <c r="AA99" s="24" t="s">
        <v>393</v>
      </c>
      <c r="AB99" s="28">
        <v>41052</v>
      </c>
    </row>
    <row r="100" spans="1:29" ht="14.25" customHeight="1" x14ac:dyDescent="0.4">
      <c r="A100">
        <v>94</v>
      </c>
      <c r="B100" s="22">
        <v>0</v>
      </c>
      <c r="C100" s="22" t="s">
        <v>2165</v>
      </c>
      <c r="D100" s="22">
        <v>0</v>
      </c>
      <c r="E100" s="24">
        <v>40988</v>
      </c>
      <c r="F100" s="24" t="s">
        <v>393</v>
      </c>
      <c r="G100" s="24">
        <v>40996</v>
      </c>
      <c r="H100" s="37">
        <v>520</v>
      </c>
      <c r="I100" s="23">
        <v>40969</v>
      </c>
      <c r="J100" s="37">
        <v>27</v>
      </c>
      <c r="K100" s="24" t="s">
        <v>1367</v>
      </c>
      <c r="L100" s="24">
        <v>0</v>
      </c>
      <c r="M100" s="24">
        <v>40954</v>
      </c>
      <c r="N100" s="22" t="s">
        <v>585</v>
      </c>
      <c r="O100" s="4">
        <v>9120557</v>
      </c>
      <c r="P100" s="22">
        <v>1020</v>
      </c>
      <c r="Q100" s="22">
        <v>42</v>
      </c>
      <c r="R100" s="22" t="s">
        <v>2574</v>
      </c>
      <c r="S100" s="3" t="s">
        <v>1820</v>
      </c>
      <c r="T100" s="4" t="s">
        <v>404</v>
      </c>
      <c r="U100" s="164">
        <v>41003</v>
      </c>
      <c r="V100" s="1" t="s">
        <v>404</v>
      </c>
      <c r="W100" s="43">
        <v>41039</v>
      </c>
      <c r="Y100" s="28"/>
      <c r="AA100" s="24" t="s">
        <v>393</v>
      </c>
      <c r="AB100" s="28">
        <v>40996</v>
      </c>
      <c r="AC100" s="1" t="s">
        <v>111</v>
      </c>
    </row>
    <row r="101" spans="1:29" ht="14.25" customHeight="1" x14ac:dyDescent="0.4">
      <c r="A101">
        <v>95</v>
      </c>
      <c r="B101" s="22">
        <v>0</v>
      </c>
      <c r="C101" s="22" t="s">
        <v>2165</v>
      </c>
      <c r="D101" s="22">
        <v>0</v>
      </c>
      <c r="E101" s="24">
        <v>40988</v>
      </c>
      <c r="F101" s="24" t="s">
        <v>393</v>
      </c>
      <c r="G101" s="24">
        <v>40996</v>
      </c>
      <c r="H101" s="37">
        <v>521</v>
      </c>
      <c r="I101" s="23">
        <v>40969</v>
      </c>
      <c r="J101" s="37">
        <v>28</v>
      </c>
      <c r="K101" s="24" t="s">
        <v>1367</v>
      </c>
      <c r="L101" s="24">
        <v>0</v>
      </c>
      <c r="M101" s="24">
        <v>40954</v>
      </c>
      <c r="N101" s="22" t="s">
        <v>585</v>
      </c>
      <c r="O101" s="4">
        <v>9120558</v>
      </c>
      <c r="P101" s="22">
        <v>1020</v>
      </c>
      <c r="Q101" s="22">
        <v>42</v>
      </c>
      <c r="R101" s="22" t="s">
        <v>2575</v>
      </c>
      <c r="S101" s="3" t="s">
        <v>449</v>
      </c>
      <c r="T101" s="3" t="s">
        <v>404</v>
      </c>
      <c r="U101" s="164">
        <v>40982</v>
      </c>
      <c r="V101" s="1" t="s">
        <v>404</v>
      </c>
      <c r="W101" s="43">
        <v>41016</v>
      </c>
      <c r="Y101" s="28"/>
      <c r="AA101" s="24" t="s">
        <v>393</v>
      </c>
      <c r="AB101" s="28">
        <v>40996</v>
      </c>
      <c r="AC101" s="1" t="s">
        <v>896</v>
      </c>
    </row>
    <row r="102" spans="1:29" ht="14.25" customHeight="1" x14ac:dyDescent="0.4">
      <c r="A102">
        <v>96</v>
      </c>
      <c r="B102" s="22">
        <v>0</v>
      </c>
      <c r="C102" s="22">
        <v>0</v>
      </c>
      <c r="D102" s="22">
        <v>0</v>
      </c>
      <c r="E102" s="24">
        <v>41018</v>
      </c>
      <c r="F102" s="24" t="s">
        <v>393</v>
      </c>
      <c r="G102" s="24">
        <v>41025</v>
      </c>
      <c r="H102" s="37">
        <v>558</v>
      </c>
      <c r="I102" s="23">
        <v>41000</v>
      </c>
      <c r="J102" s="37">
        <v>17</v>
      </c>
      <c r="K102" s="24" t="s">
        <v>1367</v>
      </c>
      <c r="L102" s="24">
        <v>0</v>
      </c>
      <c r="M102" s="24">
        <v>40956</v>
      </c>
      <c r="N102" s="22" t="s">
        <v>585</v>
      </c>
      <c r="O102" s="4">
        <v>9120560</v>
      </c>
      <c r="P102" s="22">
        <v>720</v>
      </c>
      <c r="Q102" s="22">
        <v>42</v>
      </c>
      <c r="R102" s="22" t="s">
        <v>2576</v>
      </c>
      <c r="S102" s="3" t="s">
        <v>1285</v>
      </c>
      <c r="T102" s="3" t="s">
        <v>404</v>
      </c>
      <c r="U102" s="164">
        <v>41074</v>
      </c>
      <c r="Y102" s="28"/>
      <c r="AA102" s="24" t="s">
        <v>393</v>
      </c>
      <c r="AB102" s="28">
        <v>41025</v>
      </c>
      <c r="AC102" s="1" t="s">
        <v>1288</v>
      </c>
    </row>
    <row r="103" spans="1:29" ht="14.25" customHeight="1" x14ac:dyDescent="0.4">
      <c r="A103">
        <v>97</v>
      </c>
      <c r="B103" s="22">
        <v>0</v>
      </c>
      <c r="C103" s="22">
        <v>0</v>
      </c>
      <c r="D103" s="22">
        <v>0</v>
      </c>
      <c r="E103" s="24">
        <v>41018</v>
      </c>
      <c r="F103" s="24" t="s">
        <v>393</v>
      </c>
      <c r="G103" s="24">
        <v>41025</v>
      </c>
      <c r="H103" s="37">
        <v>559</v>
      </c>
      <c r="I103" s="23">
        <v>41000</v>
      </c>
      <c r="J103" s="37">
        <v>18</v>
      </c>
      <c r="K103" s="24" t="s">
        <v>1367</v>
      </c>
      <c r="L103" s="24">
        <v>0</v>
      </c>
      <c r="M103" s="24">
        <v>40956</v>
      </c>
      <c r="N103" s="22" t="s">
        <v>585</v>
      </c>
      <c r="O103" s="4">
        <v>9120561</v>
      </c>
      <c r="P103" s="22">
        <v>720</v>
      </c>
      <c r="Q103" s="22">
        <v>42</v>
      </c>
      <c r="R103" s="22" t="s">
        <v>2577</v>
      </c>
      <c r="S103" s="3" t="s">
        <v>1225</v>
      </c>
      <c r="T103" s="3" t="s">
        <v>404</v>
      </c>
      <c r="U103" s="164">
        <v>41090</v>
      </c>
      <c r="Y103" s="28"/>
      <c r="AA103" s="24" t="s">
        <v>393</v>
      </c>
      <c r="AB103" s="28">
        <v>41025</v>
      </c>
    </row>
    <row r="104" spans="1:29" ht="14.25" customHeight="1" x14ac:dyDescent="0.4">
      <c r="A104">
        <v>98</v>
      </c>
      <c r="B104" s="22">
        <v>0</v>
      </c>
      <c r="C104" s="22">
        <v>0</v>
      </c>
      <c r="D104" s="22">
        <v>0</v>
      </c>
      <c r="E104" s="24">
        <v>41011</v>
      </c>
      <c r="F104" s="24" t="s">
        <v>393</v>
      </c>
      <c r="G104" s="24">
        <v>41016</v>
      </c>
      <c r="H104" s="37">
        <v>547</v>
      </c>
      <c r="I104" s="23">
        <v>41000</v>
      </c>
      <c r="J104" s="37">
        <v>7</v>
      </c>
      <c r="K104" s="24" t="s">
        <v>1367</v>
      </c>
      <c r="L104" s="24">
        <v>0</v>
      </c>
      <c r="M104" s="24">
        <v>40969</v>
      </c>
      <c r="N104" s="22" t="s">
        <v>585</v>
      </c>
      <c r="O104" s="4">
        <v>9120569</v>
      </c>
      <c r="P104" s="22">
        <v>1020</v>
      </c>
      <c r="Q104" s="22">
        <v>42</v>
      </c>
      <c r="R104" s="22" t="s">
        <v>2578</v>
      </c>
      <c r="S104" s="3" t="s">
        <v>614</v>
      </c>
      <c r="T104" s="3" t="s">
        <v>404</v>
      </c>
      <c r="U104" s="164">
        <v>41008</v>
      </c>
      <c r="Y104" s="28"/>
      <c r="AA104" s="24" t="s">
        <v>393</v>
      </c>
      <c r="AB104" s="28">
        <v>41016</v>
      </c>
      <c r="AC104" s="1" t="s">
        <v>111</v>
      </c>
    </row>
    <row r="105" spans="1:29" ht="14.25" customHeight="1" x14ac:dyDescent="0.4">
      <c r="A105">
        <v>99</v>
      </c>
      <c r="B105" s="22">
        <v>0</v>
      </c>
      <c r="C105" s="22">
        <v>0</v>
      </c>
      <c r="D105" s="22">
        <v>0</v>
      </c>
      <c r="E105" s="24">
        <v>41011</v>
      </c>
      <c r="F105" s="24" t="s">
        <v>393</v>
      </c>
      <c r="G105" s="24">
        <v>41017</v>
      </c>
      <c r="H105" s="37">
        <v>548</v>
      </c>
      <c r="I105" s="23">
        <v>41000</v>
      </c>
      <c r="J105" s="37">
        <v>8</v>
      </c>
      <c r="K105" s="24" t="s">
        <v>1367</v>
      </c>
      <c r="L105" s="24">
        <v>0</v>
      </c>
      <c r="M105" s="24">
        <v>40969</v>
      </c>
      <c r="N105" s="22" t="s">
        <v>585</v>
      </c>
      <c r="O105" s="4">
        <v>9120570</v>
      </c>
      <c r="P105" s="22">
        <v>1020</v>
      </c>
      <c r="Q105" s="22">
        <v>42</v>
      </c>
      <c r="R105" s="22" t="s">
        <v>2579</v>
      </c>
      <c r="S105" s="3" t="s">
        <v>1821</v>
      </c>
      <c r="T105" s="3" t="s">
        <v>404</v>
      </c>
      <c r="U105" s="164">
        <v>41003</v>
      </c>
      <c r="Y105" s="28"/>
      <c r="AA105" s="24" t="s">
        <v>393</v>
      </c>
      <c r="AB105" s="28">
        <v>41017</v>
      </c>
      <c r="AC105" s="1" t="s">
        <v>894</v>
      </c>
    </row>
    <row r="106" spans="1:29" ht="14.25" customHeight="1" x14ac:dyDescent="0.4">
      <c r="A106">
        <v>575</v>
      </c>
      <c r="B106" s="22">
        <v>0</v>
      </c>
      <c r="C106" s="22" t="s">
        <v>2165</v>
      </c>
      <c r="D106" s="22">
        <v>0</v>
      </c>
      <c r="E106" s="24">
        <v>41030</v>
      </c>
      <c r="F106" s="24" t="s">
        <v>393</v>
      </c>
      <c r="G106" s="24">
        <v>41044</v>
      </c>
      <c r="H106" s="37">
        <v>568</v>
      </c>
      <c r="I106" s="23">
        <v>41000</v>
      </c>
      <c r="J106" s="37">
        <v>27</v>
      </c>
      <c r="K106" s="24" t="s">
        <v>1367</v>
      </c>
      <c r="L106" s="24">
        <v>0</v>
      </c>
      <c r="M106" s="24">
        <v>40984</v>
      </c>
      <c r="N106" s="22" t="s">
        <v>585</v>
      </c>
      <c r="O106" s="4">
        <v>9120575</v>
      </c>
      <c r="P106" s="22">
        <v>1020</v>
      </c>
      <c r="Q106" s="22">
        <v>42</v>
      </c>
      <c r="R106" s="22" t="s">
        <v>2580</v>
      </c>
      <c r="S106" s="3" t="s">
        <v>615</v>
      </c>
      <c r="T106" s="3" t="s">
        <v>404</v>
      </c>
      <c r="U106" s="164">
        <v>41009</v>
      </c>
      <c r="AA106" s="24" t="s">
        <v>393</v>
      </c>
      <c r="AB106" s="28">
        <v>41044</v>
      </c>
      <c r="AC106" s="1" t="s">
        <v>617</v>
      </c>
    </row>
    <row r="107" spans="1:29" ht="14.25" customHeight="1" x14ac:dyDescent="0.4">
      <c r="A107">
        <v>576</v>
      </c>
      <c r="B107" s="22">
        <v>0</v>
      </c>
      <c r="C107" s="22">
        <v>0</v>
      </c>
      <c r="D107" s="22">
        <v>0</v>
      </c>
      <c r="E107" s="24">
        <v>41030</v>
      </c>
      <c r="F107" s="24" t="s">
        <v>393</v>
      </c>
      <c r="G107" s="24">
        <v>41033</v>
      </c>
      <c r="H107" s="37">
        <v>569</v>
      </c>
      <c r="I107" s="23">
        <v>41000</v>
      </c>
      <c r="J107" s="37">
        <v>28</v>
      </c>
      <c r="K107" s="24" t="s">
        <v>1367</v>
      </c>
      <c r="L107" s="24">
        <v>0</v>
      </c>
      <c r="M107" s="24">
        <v>40984</v>
      </c>
      <c r="N107" s="22" t="s">
        <v>585</v>
      </c>
      <c r="O107" s="4">
        <v>9120576</v>
      </c>
      <c r="P107" s="22">
        <v>1020</v>
      </c>
      <c r="Q107" s="22">
        <v>42</v>
      </c>
      <c r="R107" s="22" t="s">
        <v>2581</v>
      </c>
      <c r="S107" s="3" t="s">
        <v>1990</v>
      </c>
      <c r="T107" s="3" t="s">
        <v>404</v>
      </c>
      <c r="U107" s="164">
        <v>41009</v>
      </c>
      <c r="AA107" s="24" t="s">
        <v>393</v>
      </c>
      <c r="AB107" s="28">
        <v>41033</v>
      </c>
      <c r="AC107" s="1" t="s">
        <v>936</v>
      </c>
    </row>
    <row r="108" spans="1:29" ht="14.25" customHeight="1" x14ac:dyDescent="0.4">
      <c r="A108">
        <v>578</v>
      </c>
      <c r="B108" s="22">
        <v>0</v>
      </c>
      <c r="C108" s="22" t="s">
        <v>2165</v>
      </c>
      <c r="D108" s="22">
        <v>0</v>
      </c>
      <c r="E108" s="24">
        <v>41031</v>
      </c>
      <c r="F108" s="24" t="s">
        <v>393</v>
      </c>
      <c r="G108" s="24">
        <v>41044</v>
      </c>
      <c r="H108" s="37">
        <v>570</v>
      </c>
      <c r="I108" s="23">
        <v>41030</v>
      </c>
      <c r="J108" s="37">
        <v>1</v>
      </c>
      <c r="K108" s="24" t="s">
        <v>1367</v>
      </c>
      <c r="L108" s="24">
        <v>0</v>
      </c>
      <c r="M108" s="24">
        <v>41009</v>
      </c>
      <c r="N108" s="22" t="s">
        <v>585</v>
      </c>
      <c r="O108" s="4">
        <v>9120578</v>
      </c>
      <c r="P108" s="22">
        <v>1020</v>
      </c>
      <c r="Q108" s="22">
        <v>42</v>
      </c>
      <c r="R108" s="22" t="s">
        <v>2582</v>
      </c>
      <c r="S108" s="3" t="s">
        <v>616</v>
      </c>
      <c r="T108" s="3" t="s">
        <v>404</v>
      </c>
      <c r="U108" s="164">
        <v>41009</v>
      </c>
      <c r="AA108" s="24" t="s">
        <v>393</v>
      </c>
      <c r="AB108" s="28">
        <v>41044</v>
      </c>
      <c r="AC108" s="1" t="s">
        <v>894</v>
      </c>
    </row>
    <row r="109" spans="1:29" ht="14.25" customHeight="1" x14ac:dyDescent="0.4">
      <c r="A109">
        <v>579</v>
      </c>
      <c r="B109" s="22">
        <v>0</v>
      </c>
      <c r="C109" s="22">
        <v>0</v>
      </c>
      <c r="D109" s="22">
        <v>0</v>
      </c>
      <c r="E109" s="24">
        <v>41031</v>
      </c>
      <c r="F109" s="24" t="s">
        <v>393</v>
      </c>
      <c r="G109" s="24">
        <v>41061</v>
      </c>
      <c r="H109" s="37">
        <v>571</v>
      </c>
      <c r="I109" s="23">
        <v>41030</v>
      </c>
      <c r="J109" s="37">
        <v>2</v>
      </c>
      <c r="K109" s="24" t="s">
        <v>1367</v>
      </c>
      <c r="L109" s="24">
        <v>0</v>
      </c>
      <c r="M109" s="24">
        <v>41009</v>
      </c>
      <c r="N109" s="22" t="s">
        <v>585</v>
      </c>
      <c r="O109" s="4">
        <v>9120579</v>
      </c>
      <c r="P109" s="22">
        <v>1020</v>
      </c>
      <c r="Q109" s="22">
        <v>42</v>
      </c>
      <c r="R109" s="22" t="s">
        <v>2583</v>
      </c>
      <c r="T109" s="3" t="s">
        <v>404</v>
      </c>
      <c r="U109" s="164">
        <v>41080</v>
      </c>
      <c r="AA109" s="24" t="s">
        <v>393</v>
      </c>
      <c r="AB109" s="28">
        <v>41061</v>
      </c>
    </row>
    <row r="110" spans="1:29" ht="14.25" customHeight="1" x14ac:dyDescent="0.4">
      <c r="A110">
        <v>580</v>
      </c>
      <c r="B110" s="22">
        <v>0</v>
      </c>
      <c r="C110" s="22">
        <v>0</v>
      </c>
      <c r="D110" s="22">
        <v>0</v>
      </c>
      <c r="E110" s="24">
        <v>41031</v>
      </c>
      <c r="F110" s="24" t="s">
        <v>393</v>
      </c>
      <c r="G110" s="24">
        <v>41043</v>
      </c>
      <c r="H110" s="37">
        <v>572</v>
      </c>
      <c r="I110" s="23">
        <v>41030</v>
      </c>
      <c r="J110" s="37">
        <v>3</v>
      </c>
      <c r="K110" s="24" t="s">
        <v>1367</v>
      </c>
      <c r="L110" s="24">
        <v>0</v>
      </c>
      <c r="M110" s="24">
        <v>41009</v>
      </c>
      <c r="N110" s="22" t="s">
        <v>585</v>
      </c>
      <c r="O110" s="4">
        <v>9120580</v>
      </c>
      <c r="P110" s="22">
        <v>1020</v>
      </c>
      <c r="Q110" s="22">
        <v>42</v>
      </c>
      <c r="R110" s="22" t="s">
        <v>2584</v>
      </c>
      <c r="S110" s="3" t="s">
        <v>88</v>
      </c>
      <c r="T110" s="3" t="s">
        <v>404</v>
      </c>
      <c r="U110" s="164">
        <v>41030</v>
      </c>
      <c r="AA110" s="24" t="s">
        <v>393</v>
      </c>
      <c r="AB110" s="28">
        <v>41043</v>
      </c>
      <c r="AC110" s="1" t="s">
        <v>894</v>
      </c>
    </row>
    <row r="111" spans="1:29" ht="14.25" customHeight="1" x14ac:dyDescent="0.4">
      <c r="A111">
        <v>581</v>
      </c>
      <c r="B111" s="22">
        <v>0</v>
      </c>
      <c r="C111" s="22">
        <v>0</v>
      </c>
      <c r="D111" s="22">
        <v>0</v>
      </c>
      <c r="E111" s="24">
        <v>41032</v>
      </c>
      <c r="F111" s="24" t="s">
        <v>393</v>
      </c>
      <c r="G111" s="24">
        <v>41039</v>
      </c>
      <c r="H111" s="37">
        <v>573</v>
      </c>
      <c r="I111" s="23">
        <v>41030</v>
      </c>
      <c r="J111" s="37">
        <v>4</v>
      </c>
      <c r="K111" s="24" t="s">
        <v>1367</v>
      </c>
      <c r="L111" s="24">
        <v>0</v>
      </c>
      <c r="M111" s="24">
        <v>41009</v>
      </c>
      <c r="N111" s="22" t="s">
        <v>585</v>
      </c>
      <c r="O111" s="4">
        <v>9120581</v>
      </c>
      <c r="P111" s="22">
        <v>1020</v>
      </c>
      <c r="Q111" s="22">
        <v>42</v>
      </c>
      <c r="R111" s="22" t="s">
        <v>2585</v>
      </c>
      <c r="T111" s="3" t="s">
        <v>404</v>
      </c>
      <c r="U111" s="164">
        <v>41080</v>
      </c>
      <c r="AA111" s="24" t="s">
        <v>393</v>
      </c>
      <c r="AB111" s="28">
        <v>41039</v>
      </c>
    </row>
    <row r="112" spans="1:29" ht="14.25" customHeight="1" x14ac:dyDescent="0.4">
      <c r="A112">
        <v>586</v>
      </c>
      <c r="B112" s="22">
        <v>0</v>
      </c>
      <c r="C112" s="22" t="s">
        <v>2165</v>
      </c>
      <c r="D112" s="22">
        <v>0</v>
      </c>
      <c r="E112" s="24">
        <v>41037</v>
      </c>
      <c r="F112" s="24" t="s">
        <v>393</v>
      </c>
      <c r="G112" s="24">
        <v>41059</v>
      </c>
      <c r="H112" s="37">
        <v>578</v>
      </c>
      <c r="I112" s="23">
        <v>41030</v>
      </c>
      <c r="J112" s="37">
        <v>9</v>
      </c>
      <c r="K112" s="24" t="s">
        <v>1367</v>
      </c>
      <c r="L112" s="24">
        <v>0</v>
      </c>
      <c r="M112" s="24">
        <v>41031</v>
      </c>
      <c r="N112" s="22" t="s">
        <v>585</v>
      </c>
      <c r="O112" s="4">
        <v>9120586</v>
      </c>
      <c r="P112" s="22">
        <v>1020</v>
      </c>
      <c r="Q112" s="22">
        <v>42</v>
      </c>
      <c r="R112" s="22" t="s">
        <v>2586</v>
      </c>
      <c r="S112" s="3" t="s">
        <v>1286</v>
      </c>
      <c r="T112" s="3" t="s">
        <v>404</v>
      </c>
      <c r="U112" s="164">
        <v>41074</v>
      </c>
      <c r="AA112" s="24" t="s">
        <v>393</v>
      </c>
      <c r="AB112" s="28">
        <v>41059</v>
      </c>
      <c r="AC112" s="1" t="s">
        <v>895</v>
      </c>
    </row>
    <row r="113" spans="1:29" ht="14.25" customHeight="1" x14ac:dyDescent="0.4">
      <c r="A113">
        <v>587</v>
      </c>
      <c r="B113" s="22">
        <v>0</v>
      </c>
      <c r="C113" s="22">
        <v>0</v>
      </c>
      <c r="D113" s="22">
        <v>0</v>
      </c>
      <c r="E113" s="24">
        <v>41038</v>
      </c>
      <c r="F113" s="24" t="s">
        <v>393</v>
      </c>
      <c r="G113" s="24">
        <v>41059</v>
      </c>
      <c r="H113" s="37">
        <v>579</v>
      </c>
      <c r="I113" s="23">
        <v>41030</v>
      </c>
      <c r="J113" s="37">
        <v>10</v>
      </c>
      <c r="K113" s="24" t="s">
        <v>1367</v>
      </c>
      <c r="L113" s="24">
        <v>0</v>
      </c>
      <c r="M113" s="24">
        <v>41031</v>
      </c>
      <c r="N113" s="22" t="s">
        <v>585</v>
      </c>
      <c r="O113" s="4">
        <v>9120587</v>
      </c>
      <c r="P113" s="22">
        <v>1020</v>
      </c>
      <c r="Q113" s="22">
        <v>42</v>
      </c>
      <c r="R113" s="22" t="s">
        <v>2587</v>
      </c>
      <c r="S113" s="3" t="s">
        <v>585</v>
      </c>
      <c r="T113" s="3" t="s">
        <v>404</v>
      </c>
      <c r="U113" s="164">
        <v>41068</v>
      </c>
      <c r="AA113" s="24" t="s">
        <v>393</v>
      </c>
      <c r="AB113" s="28">
        <v>41059</v>
      </c>
      <c r="AC113" s="1" t="s">
        <v>758</v>
      </c>
    </row>
    <row r="114" spans="1:29" ht="14.25" customHeight="1" x14ac:dyDescent="0.4">
      <c r="A114">
        <v>588</v>
      </c>
      <c r="B114" s="22">
        <v>0</v>
      </c>
      <c r="C114" s="22">
        <v>0</v>
      </c>
      <c r="D114" s="22">
        <v>0</v>
      </c>
      <c r="E114" s="24">
        <v>41038</v>
      </c>
      <c r="F114" s="24" t="s">
        <v>393</v>
      </c>
      <c r="G114" s="24">
        <v>41058</v>
      </c>
      <c r="H114" s="37">
        <v>580</v>
      </c>
      <c r="I114" s="23">
        <v>41030</v>
      </c>
      <c r="J114" s="37">
        <v>11</v>
      </c>
      <c r="K114" s="24" t="s">
        <v>1367</v>
      </c>
      <c r="L114" s="24">
        <v>0</v>
      </c>
      <c r="M114" s="24">
        <v>41031</v>
      </c>
      <c r="N114" s="22" t="s">
        <v>585</v>
      </c>
      <c r="O114" s="4">
        <v>9120588</v>
      </c>
      <c r="P114" s="22">
        <v>1020</v>
      </c>
      <c r="Q114" s="22">
        <v>42</v>
      </c>
      <c r="R114" s="22" t="s">
        <v>2588</v>
      </c>
      <c r="T114" s="3" t="s">
        <v>404</v>
      </c>
      <c r="U114" s="164">
        <v>41080</v>
      </c>
      <c r="AA114" s="24" t="s">
        <v>393</v>
      </c>
      <c r="AB114" s="28">
        <v>41058</v>
      </c>
    </row>
    <row r="115" spans="1:29" ht="14.25" customHeight="1" x14ac:dyDescent="0.4">
      <c r="A115">
        <v>589</v>
      </c>
      <c r="B115" s="22">
        <v>0</v>
      </c>
      <c r="C115" s="22">
        <v>0</v>
      </c>
      <c r="D115" s="22">
        <v>0</v>
      </c>
      <c r="E115" s="24">
        <v>41038</v>
      </c>
      <c r="F115" s="24" t="s">
        <v>393</v>
      </c>
      <c r="G115" s="24">
        <v>41058</v>
      </c>
      <c r="H115" s="37">
        <v>581</v>
      </c>
      <c r="I115" s="23">
        <v>41030</v>
      </c>
      <c r="J115" s="37">
        <v>12</v>
      </c>
      <c r="K115" s="24" t="s">
        <v>1367</v>
      </c>
      <c r="L115" s="24">
        <v>0</v>
      </c>
      <c r="M115" s="24">
        <v>41031</v>
      </c>
      <c r="N115" s="22" t="s">
        <v>585</v>
      </c>
      <c r="O115" s="4">
        <v>9120589</v>
      </c>
      <c r="P115" s="22">
        <v>1020</v>
      </c>
      <c r="Q115" s="22">
        <v>42</v>
      </c>
      <c r="R115" s="22" t="s">
        <v>2589</v>
      </c>
      <c r="S115" s="3" t="s">
        <v>1287</v>
      </c>
      <c r="T115" s="3" t="s">
        <v>404</v>
      </c>
      <c r="U115" s="164">
        <v>41074</v>
      </c>
      <c r="AA115" s="24" t="s">
        <v>393</v>
      </c>
      <c r="AB115" s="28">
        <v>41058</v>
      </c>
      <c r="AC115" s="1" t="s">
        <v>1289</v>
      </c>
    </row>
    <row r="116" spans="1:29" ht="14.25" customHeight="1" x14ac:dyDescent="0.4">
      <c r="A116">
        <v>590</v>
      </c>
      <c r="B116" s="22">
        <v>0</v>
      </c>
      <c r="C116" s="22" t="s">
        <v>2165</v>
      </c>
      <c r="D116" s="22">
        <v>0</v>
      </c>
      <c r="E116" s="24">
        <v>41039</v>
      </c>
      <c r="F116" s="24" t="s">
        <v>393</v>
      </c>
      <c r="G116" s="24">
        <v>41058</v>
      </c>
      <c r="H116" s="37">
        <v>582</v>
      </c>
      <c r="I116" s="23">
        <v>41030</v>
      </c>
      <c r="J116" s="37">
        <v>13</v>
      </c>
      <c r="K116" s="24" t="s">
        <v>1367</v>
      </c>
      <c r="L116" s="24">
        <v>0</v>
      </c>
      <c r="M116" s="24">
        <v>41031</v>
      </c>
      <c r="N116" s="22" t="s">
        <v>585</v>
      </c>
      <c r="O116" s="4">
        <v>9120590</v>
      </c>
      <c r="P116" s="22">
        <v>1020</v>
      </c>
      <c r="Q116" s="22">
        <v>42</v>
      </c>
      <c r="R116" s="22" t="s">
        <v>2590</v>
      </c>
      <c r="T116" s="3" t="s">
        <v>404</v>
      </c>
      <c r="U116" s="164">
        <v>41079</v>
      </c>
      <c r="AA116" s="24" t="s">
        <v>393</v>
      </c>
      <c r="AB116" s="28">
        <v>41058</v>
      </c>
    </row>
    <row r="117" spans="1:29" ht="14.25" customHeight="1" x14ac:dyDescent="0.4">
      <c r="A117">
        <v>487</v>
      </c>
      <c r="B117" s="22">
        <v>0</v>
      </c>
      <c r="C117" s="22" t="s">
        <v>2165</v>
      </c>
      <c r="D117" s="22">
        <v>0</v>
      </c>
      <c r="E117" s="24">
        <v>40914</v>
      </c>
      <c r="F117" s="24" t="s">
        <v>393</v>
      </c>
      <c r="G117" s="24">
        <v>40939</v>
      </c>
      <c r="H117" s="37">
        <v>381</v>
      </c>
      <c r="I117" s="23">
        <v>40909</v>
      </c>
      <c r="J117" s="37">
        <v>14</v>
      </c>
      <c r="K117" s="24" t="s">
        <v>1367</v>
      </c>
      <c r="L117" s="24">
        <v>40848</v>
      </c>
      <c r="M117" s="24">
        <v>40661</v>
      </c>
      <c r="N117" s="22" t="s">
        <v>585</v>
      </c>
      <c r="O117" s="81">
        <v>9120257</v>
      </c>
      <c r="P117" s="22">
        <v>1020</v>
      </c>
      <c r="Q117" s="22">
        <v>42</v>
      </c>
      <c r="R117" s="22" t="s">
        <v>226</v>
      </c>
      <c r="S117" s="47" t="s">
        <v>249</v>
      </c>
      <c r="T117" s="4" t="s">
        <v>404</v>
      </c>
      <c r="U117" s="165">
        <v>41086</v>
      </c>
      <c r="V117" s="4"/>
      <c r="W117" s="47"/>
      <c r="X117" s="86"/>
      <c r="Y117" s="28" t="e">
        <v>#REF!</v>
      </c>
      <c r="Z117" s="28"/>
      <c r="AA117" s="24" t="s">
        <v>393</v>
      </c>
      <c r="AB117" s="28">
        <v>40939</v>
      </c>
    </row>
    <row r="118" spans="1:29" ht="14.25" customHeight="1" x14ac:dyDescent="0.4">
      <c r="A118">
        <v>100</v>
      </c>
      <c r="B118" s="22">
        <v>0</v>
      </c>
      <c r="C118" s="22" t="s">
        <v>2102</v>
      </c>
      <c r="D118" s="22">
        <v>0</v>
      </c>
      <c r="E118" s="24">
        <v>40750</v>
      </c>
      <c r="F118" s="24" t="s">
        <v>393</v>
      </c>
      <c r="G118" s="24">
        <v>40757</v>
      </c>
      <c r="H118" s="37">
        <v>45</v>
      </c>
      <c r="I118" s="23">
        <v>40725</v>
      </c>
      <c r="J118" s="37">
        <v>45</v>
      </c>
      <c r="K118" s="24" t="s">
        <v>1367</v>
      </c>
      <c r="L118" s="24">
        <v>0</v>
      </c>
      <c r="M118" s="24">
        <v>40669</v>
      </c>
      <c r="N118" s="22" t="s">
        <v>628</v>
      </c>
      <c r="O118" s="4">
        <v>9120271</v>
      </c>
      <c r="P118" s="22">
        <v>1020</v>
      </c>
      <c r="Q118" s="22">
        <v>50</v>
      </c>
      <c r="R118" s="22">
        <v>0</v>
      </c>
      <c r="S118" s="4" t="s">
        <v>1367</v>
      </c>
      <c r="T118" s="4" t="s">
        <v>404</v>
      </c>
      <c r="U118" s="164">
        <v>40921</v>
      </c>
      <c r="V118" s="4" t="s">
        <v>404</v>
      </c>
      <c r="W118" s="9">
        <v>40944</v>
      </c>
      <c r="X118" s="74"/>
      <c r="Y118" s="28" t="e">
        <v>#REF!</v>
      </c>
      <c r="Z118" s="28"/>
      <c r="AA118" s="24" t="s">
        <v>393</v>
      </c>
      <c r="AB118" s="28">
        <v>40757</v>
      </c>
    </row>
    <row r="119" spans="1:29" ht="14.25" customHeight="1" x14ac:dyDescent="0.4">
      <c r="A119">
        <v>101</v>
      </c>
      <c r="B119" s="22">
        <v>0</v>
      </c>
      <c r="C119" s="22">
        <v>0</v>
      </c>
      <c r="D119" s="22">
        <v>0</v>
      </c>
      <c r="E119" s="24">
        <v>40751</v>
      </c>
      <c r="F119" s="24" t="s">
        <v>393</v>
      </c>
      <c r="G119" s="24">
        <v>40753</v>
      </c>
      <c r="H119" s="37">
        <v>46</v>
      </c>
      <c r="I119" s="23">
        <v>40725</v>
      </c>
      <c r="J119" s="37">
        <v>46</v>
      </c>
      <c r="K119" s="24" t="s">
        <v>1367</v>
      </c>
      <c r="L119" s="24">
        <v>0</v>
      </c>
      <c r="M119" s="24">
        <v>40669</v>
      </c>
      <c r="N119" s="22" t="s">
        <v>628</v>
      </c>
      <c r="O119" s="4">
        <v>9120272</v>
      </c>
      <c r="P119" s="22">
        <v>1020</v>
      </c>
      <c r="Q119" s="22">
        <v>50</v>
      </c>
      <c r="R119" s="22">
        <v>0</v>
      </c>
      <c r="S119" s="4"/>
      <c r="T119" s="4" t="s">
        <v>404</v>
      </c>
      <c r="U119" s="164">
        <v>40991</v>
      </c>
      <c r="V119" s="4"/>
      <c r="W119" s="9"/>
      <c r="X119" s="74"/>
      <c r="Y119" s="28" t="e">
        <v>#REF!</v>
      </c>
      <c r="Z119" s="9"/>
      <c r="AA119" s="24" t="s">
        <v>393</v>
      </c>
      <c r="AB119" s="28">
        <v>40753</v>
      </c>
    </row>
    <row r="120" spans="1:29" ht="14.25" customHeight="1" x14ac:dyDescent="0.4">
      <c r="A120">
        <v>102</v>
      </c>
      <c r="B120" s="22">
        <v>0</v>
      </c>
      <c r="C120" s="22">
        <v>0</v>
      </c>
      <c r="D120" s="22">
        <v>0</v>
      </c>
      <c r="E120" s="24">
        <v>40807</v>
      </c>
      <c r="F120" s="24" t="s">
        <v>393</v>
      </c>
      <c r="G120" s="24">
        <v>40814</v>
      </c>
      <c r="H120" s="37">
        <v>162</v>
      </c>
      <c r="I120" s="23">
        <v>40787</v>
      </c>
      <c r="J120" s="37">
        <v>38</v>
      </c>
      <c r="K120" s="24" t="s">
        <v>1367</v>
      </c>
      <c r="L120" s="24">
        <v>0</v>
      </c>
      <c r="M120" s="24">
        <v>40669</v>
      </c>
      <c r="N120" s="22" t="s">
        <v>628</v>
      </c>
      <c r="O120" s="4">
        <v>9120273</v>
      </c>
      <c r="P120" s="22">
        <v>1020</v>
      </c>
      <c r="Q120" s="22">
        <v>50</v>
      </c>
      <c r="R120" s="22">
        <v>0</v>
      </c>
      <c r="S120" s="1" t="s">
        <v>109</v>
      </c>
      <c r="T120" s="4" t="s">
        <v>404</v>
      </c>
      <c r="U120" s="164">
        <v>40954</v>
      </c>
      <c r="V120" s="4" t="s">
        <v>404</v>
      </c>
      <c r="W120" s="9">
        <v>40969</v>
      </c>
      <c r="X120" s="74"/>
      <c r="Y120" s="28" t="e">
        <v>#REF!</v>
      </c>
      <c r="Z120" s="28"/>
      <c r="AA120" s="24" t="s">
        <v>393</v>
      </c>
      <c r="AB120" s="28">
        <v>40814</v>
      </c>
    </row>
    <row r="121" spans="1:29" ht="14.25" customHeight="1" x14ac:dyDescent="0.4">
      <c r="A121">
        <v>103</v>
      </c>
      <c r="B121" s="22">
        <v>0</v>
      </c>
      <c r="C121" s="22">
        <v>0</v>
      </c>
      <c r="D121" s="22">
        <v>0</v>
      </c>
      <c r="E121" s="24">
        <v>40808</v>
      </c>
      <c r="F121" s="24" t="s">
        <v>393</v>
      </c>
      <c r="G121" s="24">
        <v>40814</v>
      </c>
      <c r="H121" s="37">
        <v>163</v>
      </c>
      <c r="I121" s="23">
        <v>40787</v>
      </c>
      <c r="J121" s="37">
        <v>39</v>
      </c>
      <c r="K121" s="24" t="s">
        <v>1367</v>
      </c>
      <c r="L121" s="24">
        <v>0</v>
      </c>
      <c r="M121" s="24">
        <v>40669</v>
      </c>
      <c r="N121" s="22" t="s">
        <v>628</v>
      </c>
      <c r="O121" s="4">
        <v>9120274</v>
      </c>
      <c r="P121" s="22">
        <v>1020</v>
      </c>
      <c r="Q121" s="22">
        <v>50</v>
      </c>
      <c r="R121" s="22">
        <v>0</v>
      </c>
      <c r="S121" s="4"/>
      <c r="T121" s="4" t="s">
        <v>404</v>
      </c>
      <c r="U121" s="60">
        <v>41000</v>
      </c>
      <c r="V121" s="4"/>
      <c r="W121" s="9"/>
      <c r="X121" s="74"/>
      <c r="Y121" s="28" t="e">
        <v>#REF!</v>
      </c>
      <c r="Z121" s="28"/>
      <c r="AA121" s="24" t="s">
        <v>393</v>
      </c>
      <c r="AB121" s="28">
        <v>40814</v>
      </c>
    </row>
    <row r="122" spans="1:29" ht="14.25" customHeight="1" x14ac:dyDescent="0.4">
      <c r="A122">
        <v>104</v>
      </c>
      <c r="B122" s="24">
        <v>40778</v>
      </c>
      <c r="C122" s="24">
        <v>40778</v>
      </c>
      <c r="D122" s="24">
        <v>40778</v>
      </c>
      <c r="E122" s="24">
        <v>40778</v>
      </c>
      <c r="F122" s="24" t="s">
        <v>393</v>
      </c>
      <c r="G122" s="24">
        <v>40780</v>
      </c>
      <c r="H122" s="37">
        <v>103</v>
      </c>
      <c r="I122" s="23">
        <v>40756</v>
      </c>
      <c r="J122" s="37">
        <v>48</v>
      </c>
      <c r="K122" s="24" t="s">
        <v>1367</v>
      </c>
      <c r="L122" s="24">
        <v>0</v>
      </c>
      <c r="M122" s="24">
        <v>40764</v>
      </c>
      <c r="N122" s="22" t="s">
        <v>121</v>
      </c>
      <c r="O122" s="4">
        <v>9120447</v>
      </c>
      <c r="P122" s="22">
        <v>1020</v>
      </c>
      <c r="Q122" s="22">
        <v>42</v>
      </c>
      <c r="R122" s="22" t="s">
        <v>2591</v>
      </c>
      <c r="S122" s="3" t="s">
        <v>1051</v>
      </c>
      <c r="T122" s="4" t="s">
        <v>404</v>
      </c>
      <c r="U122" s="164">
        <v>40865</v>
      </c>
      <c r="V122" s="4" t="s">
        <v>404</v>
      </c>
      <c r="W122" s="43">
        <v>40935</v>
      </c>
      <c r="Y122" s="28" t="e">
        <v>#REF!</v>
      </c>
      <c r="AA122" s="24" t="s">
        <v>393</v>
      </c>
      <c r="AB122" s="28">
        <v>40780</v>
      </c>
    </row>
    <row r="123" spans="1:29" ht="14.25" customHeight="1" x14ac:dyDescent="0.4">
      <c r="A123">
        <v>105</v>
      </c>
      <c r="B123" s="24">
        <v>40833</v>
      </c>
      <c r="C123" s="24">
        <v>40833</v>
      </c>
      <c r="D123" s="24">
        <v>40833</v>
      </c>
      <c r="E123" s="24">
        <v>40833</v>
      </c>
      <c r="F123" s="24" t="s">
        <v>393</v>
      </c>
      <c r="G123" s="24">
        <v>40868</v>
      </c>
      <c r="H123" s="37">
        <v>220</v>
      </c>
      <c r="I123" s="23">
        <v>40817</v>
      </c>
      <c r="J123" s="37">
        <v>33</v>
      </c>
      <c r="K123" s="24" t="s">
        <v>1367</v>
      </c>
      <c r="L123" s="24">
        <v>0</v>
      </c>
      <c r="M123" s="24">
        <v>40764</v>
      </c>
      <c r="N123" s="22" t="s">
        <v>121</v>
      </c>
      <c r="O123" s="4">
        <v>9120448</v>
      </c>
      <c r="P123" s="22">
        <v>1020</v>
      </c>
      <c r="Q123" s="22">
        <v>42</v>
      </c>
      <c r="R123" s="22" t="s">
        <v>2592</v>
      </c>
      <c r="S123" s="3" t="s">
        <v>1046</v>
      </c>
      <c r="T123" s="4" t="s">
        <v>404</v>
      </c>
      <c r="U123" s="164">
        <v>40911</v>
      </c>
      <c r="V123" s="4" t="s">
        <v>404</v>
      </c>
      <c r="W123" s="43">
        <v>40935</v>
      </c>
      <c r="Y123" s="28" t="e">
        <v>#REF!</v>
      </c>
      <c r="AA123" s="24" t="s">
        <v>393</v>
      </c>
      <c r="AB123" s="28">
        <v>40868</v>
      </c>
    </row>
    <row r="124" spans="1:29" ht="14.25" customHeight="1" x14ac:dyDescent="0.4">
      <c r="A124">
        <v>106</v>
      </c>
      <c r="B124" s="24">
        <v>40834</v>
      </c>
      <c r="C124" s="24">
        <v>40834</v>
      </c>
      <c r="D124" s="24">
        <v>40834</v>
      </c>
      <c r="E124" s="24">
        <v>40834</v>
      </c>
      <c r="F124" s="24" t="s">
        <v>393</v>
      </c>
      <c r="G124" s="24">
        <v>40835</v>
      </c>
      <c r="H124" s="37">
        <v>221</v>
      </c>
      <c r="I124" s="23">
        <v>40817</v>
      </c>
      <c r="J124" s="37">
        <v>34</v>
      </c>
      <c r="K124" s="24" t="s">
        <v>1367</v>
      </c>
      <c r="L124" s="24">
        <v>0</v>
      </c>
      <c r="M124" s="24">
        <v>40764</v>
      </c>
      <c r="N124" s="22" t="s">
        <v>121</v>
      </c>
      <c r="O124" s="4">
        <v>9120449</v>
      </c>
      <c r="P124" s="22">
        <v>1020</v>
      </c>
      <c r="Q124" s="22">
        <v>42</v>
      </c>
      <c r="R124" s="22" t="s">
        <v>2593</v>
      </c>
      <c r="T124" s="4"/>
      <c r="U124" s="164"/>
      <c r="V124" s="4"/>
      <c r="Y124" s="28" t="e">
        <v>#REF!</v>
      </c>
      <c r="AA124" s="24" t="s">
        <v>393</v>
      </c>
      <c r="AB124" s="28">
        <v>40835</v>
      </c>
      <c r="AC124" s="1" t="s">
        <v>1290</v>
      </c>
    </row>
    <row r="125" spans="1:29" ht="14.25" customHeight="1" x14ac:dyDescent="0.4">
      <c r="A125">
        <v>107</v>
      </c>
      <c r="B125" s="24">
        <v>40834</v>
      </c>
      <c r="C125" s="24">
        <v>40834</v>
      </c>
      <c r="D125" s="24">
        <v>40834</v>
      </c>
      <c r="E125" s="24">
        <v>40834</v>
      </c>
      <c r="F125" s="24" t="s">
        <v>393</v>
      </c>
      <c r="G125" s="24">
        <v>40837</v>
      </c>
      <c r="H125" s="37">
        <v>222</v>
      </c>
      <c r="I125" s="23">
        <v>40817</v>
      </c>
      <c r="J125" s="37">
        <v>35</v>
      </c>
      <c r="K125" s="24" t="s">
        <v>1367</v>
      </c>
      <c r="L125" s="24">
        <v>0</v>
      </c>
      <c r="M125" s="24">
        <v>40764</v>
      </c>
      <c r="N125" s="22" t="s">
        <v>121</v>
      </c>
      <c r="O125" s="4">
        <v>9120450</v>
      </c>
      <c r="P125" s="22">
        <v>1020</v>
      </c>
      <c r="Q125" s="22">
        <v>42</v>
      </c>
      <c r="R125" s="22" t="s">
        <v>2594</v>
      </c>
      <c r="S125" s="3" t="s">
        <v>1863</v>
      </c>
      <c r="T125" s="4" t="s">
        <v>404</v>
      </c>
      <c r="U125" s="164">
        <v>41074</v>
      </c>
      <c r="V125" s="4"/>
      <c r="Y125" s="28" t="e">
        <v>#REF!</v>
      </c>
      <c r="AA125" s="24" t="s">
        <v>393</v>
      </c>
      <c r="AB125" s="28">
        <v>40837</v>
      </c>
    </row>
    <row r="126" spans="1:29" ht="14.25" customHeight="1" x14ac:dyDescent="0.4">
      <c r="A126">
        <v>108</v>
      </c>
      <c r="B126" s="22">
        <v>0</v>
      </c>
      <c r="C126" s="22">
        <v>0</v>
      </c>
      <c r="D126" s="22">
        <v>0</v>
      </c>
      <c r="E126" s="24">
        <v>40787</v>
      </c>
      <c r="F126" s="24" t="s">
        <v>393</v>
      </c>
      <c r="G126" s="24">
        <v>40792</v>
      </c>
      <c r="H126" s="37">
        <v>124</v>
      </c>
      <c r="I126" s="23">
        <v>40756</v>
      </c>
      <c r="J126" s="37">
        <v>69</v>
      </c>
      <c r="K126" s="24" t="s">
        <v>2129</v>
      </c>
      <c r="L126" s="24">
        <v>0</v>
      </c>
      <c r="M126" s="24">
        <v>40660</v>
      </c>
      <c r="N126" s="22" t="s">
        <v>1366</v>
      </c>
      <c r="O126" s="4">
        <v>9120114</v>
      </c>
      <c r="P126" s="22">
        <v>720</v>
      </c>
      <c r="Q126" s="22">
        <v>50</v>
      </c>
      <c r="R126" s="22" t="s">
        <v>2595</v>
      </c>
      <c r="S126" s="4" t="s">
        <v>1586</v>
      </c>
      <c r="T126" s="4" t="s">
        <v>404</v>
      </c>
      <c r="U126" s="94">
        <v>40738</v>
      </c>
      <c r="V126" s="4"/>
      <c r="W126" s="28"/>
      <c r="X126" s="74"/>
      <c r="Y126" s="28" t="e">
        <v>#REF!</v>
      </c>
      <c r="Z126" s="28"/>
      <c r="AA126" s="24" t="s">
        <v>393</v>
      </c>
      <c r="AB126" s="28">
        <v>40792</v>
      </c>
    </row>
    <row r="127" spans="1:29" ht="14.25" customHeight="1" x14ac:dyDescent="0.4">
      <c r="A127">
        <v>109</v>
      </c>
      <c r="B127" s="22">
        <v>0</v>
      </c>
      <c r="C127" s="22" t="s">
        <v>2102</v>
      </c>
      <c r="D127" s="22">
        <v>0</v>
      </c>
      <c r="E127" s="24">
        <v>40736</v>
      </c>
      <c r="F127" s="24" t="s">
        <v>393</v>
      </c>
      <c r="G127" s="24">
        <v>40745</v>
      </c>
      <c r="H127" s="37">
        <v>15</v>
      </c>
      <c r="I127" s="23">
        <v>40725</v>
      </c>
      <c r="J127" s="37">
        <v>15</v>
      </c>
      <c r="K127" s="24" t="s">
        <v>2129</v>
      </c>
      <c r="L127" s="24">
        <v>0</v>
      </c>
      <c r="M127" s="24">
        <v>40660</v>
      </c>
      <c r="N127" s="22" t="s">
        <v>1366</v>
      </c>
      <c r="O127" s="4">
        <v>9120116</v>
      </c>
      <c r="P127" s="22">
        <v>720</v>
      </c>
      <c r="Q127" s="22">
        <v>42</v>
      </c>
      <c r="R127" s="22">
        <v>4398</v>
      </c>
      <c r="S127" s="4" t="s">
        <v>2083</v>
      </c>
      <c r="T127" s="4" t="s">
        <v>404</v>
      </c>
      <c r="U127" s="94">
        <v>40770</v>
      </c>
      <c r="V127" s="4"/>
      <c r="W127" s="92"/>
      <c r="X127" s="74"/>
      <c r="Y127" s="28" t="e">
        <v>#REF!</v>
      </c>
      <c r="Z127" s="28"/>
      <c r="AA127" s="24" t="s">
        <v>393</v>
      </c>
      <c r="AB127" s="28">
        <v>40745</v>
      </c>
    </row>
    <row r="128" spans="1:29" ht="14.25" customHeight="1" x14ac:dyDescent="0.4">
      <c r="A128">
        <v>110</v>
      </c>
      <c r="B128" s="22">
        <v>0</v>
      </c>
      <c r="C128" s="22" t="s">
        <v>2102</v>
      </c>
      <c r="D128" s="22">
        <v>0</v>
      </c>
      <c r="E128" s="24">
        <v>40736</v>
      </c>
      <c r="F128" s="24" t="s">
        <v>393</v>
      </c>
      <c r="G128" s="24">
        <v>40742</v>
      </c>
      <c r="H128" s="37">
        <v>16</v>
      </c>
      <c r="I128" s="23">
        <v>40725</v>
      </c>
      <c r="J128" s="37">
        <v>16</v>
      </c>
      <c r="K128" s="24" t="s">
        <v>2129</v>
      </c>
      <c r="L128" s="24">
        <v>0</v>
      </c>
      <c r="M128" s="24">
        <v>40660</v>
      </c>
      <c r="N128" s="22" t="s">
        <v>1366</v>
      </c>
      <c r="O128" s="4">
        <v>9120117</v>
      </c>
      <c r="P128" s="22">
        <v>720</v>
      </c>
      <c r="Q128" s="22">
        <v>42</v>
      </c>
      <c r="R128" s="22">
        <v>4399</v>
      </c>
      <c r="S128" s="1" t="s">
        <v>1839</v>
      </c>
      <c r="T128" s="4" t="s">
        <v>404</v>
      </c>
      <c r="U128" s="94">
        <v>40974</v>
      </c>
      <c r="V128" s="4"/>
      <c r="W128" s="92"/>
      <c r="X128" s="74"/>
      <c r="Y128" s="28" t="e">
        <v>#REF!</v>
      </c>
      <c r="Z128" s="28"/>
      <c r="AA128" s="24" t="s">
        <v>393</v>
      </c>
      <c r="AB128" s="28">
        <v>40742</v>
      </c>
    </row>
    <row r="129" spans="1:28" ht="14.25" customHeight="1" x14ac:dyDescent="0.4">
      <c r="A129">
        <v>111</v>
      </c>
      <c r="B129" s="24">
        <v>40771</v>
      </c>
      <c r="C129" s="24">
        <v>40771</v>
      </c>
      <c r="D129" s="24">
        <v>40771</v>
      </c>
      <c r="E129" s="24">
        <v>40771</v>
      </c>
      <c r="F129" s="24" t="s">
        <v>393</v>
      </c>
      <c r="G129" s="24">
        <v>40786</v>
      </c>
      <c r="H129" s="37">
        <v>88</v>
      </c>
      <c r="I129" s="23">
        <v>40756</v>
      </c>
      <c r="J129" s="37">
        <v>33</v>
      </c>
      <c r="K129" s="24" t="s">
        <v>2129</v>
      </c>
      <c r="L129" s="24">
        <v>0</v>
      </c>
      <c r="M129" s="24">
        <v>40660</v>
      </c>
      <c r="N129" s="22" t="s">
        <v>1366</v>
      </c>
      <c r="O129" s="4">
        <v>9120111</v>
      </c>
      <c r="P129" s="22">
        <v>1020</v>
      </c>
      <c r="Q129" s="22">
        <v>42</v>
      </c>
      <c r="R129" s="22" t="s">
        <v>2596</v>
      </c>
      <c r="S129" s="4" t="s">
        <v>294</v>
      </c>
      <c r="T129" s="4" t="s">
        <v>404</v>
      </c>
      <c r="U129" s="164">
        <v>40738</v>
      </c>
      <c r="V129" s="4"/>
      <c r="Y129" s="28" t="e">
        <v>#REF!</v>
      </c>
      <c r="AA129" s="24" t="s">
        <v>393</v>
      </c>
      <c r="AB129" s="28">
        <v>40786</v>
      </c>
    </row>
    <row r="130" spans="1:28" ht="14.25" customHeight="1" x14ac:dyDescent="0.4">
      <c r="A130">
        <v>112</v>
      </c>
      <c r="B130" s="22">
        <v>0</v>
      </c>
      <c r="C130" s="22" t="s">
        <v>2102</v>
      </c>
      <c r="D130" s="22">
        <v>0</v>
      </c>
      <c r="E130" s="24">
        <v>40780</v>
      </c>
      <c r="F130" s="24" t="s">
        <v>393</v>
      </c>
      <c r="G130" s="24">
        <v>40781</v>
      </c>
      <c r="H130" s="37">
        <v>108</v>
      </c>
      <c r="I130" s="23">
        <v>40756</v>
      </c>
      <c r="J130" s="37">
        <v>53</v>
      </c>
      <c r="K130" s="24" t="s">
        <v>2129</v>
      </c>
      <c r="L130" s="24">
        <v>0</v>
      </c>
      <c r="M130" s="24">
        <v>40660</v>
      </c>
      <c r="N130" s="22" t="s">
        <v>1366</v>
      </c>
      <c r="O130" s="4">
        <v>9120115</v>
      </c>
      <c r="P130" s="22">
        <v>720</v>
      </c>
      <c r="Q130" s="22">
        <v>50</v>
      </c>
      <c r="R130" s="22" t="s">
        <v>2597</v>
      </c>
      <c r="S130" s="55" t="s">
        <v>1584</v>
      </c>
      <c r="T130" s="4" t="s">
        <v>404</v>
      </c>
      <c r="U130" s="94">
        <v>40738</v>
      </c>
      <c r="V130" s="4"/>
      <c r="W130" s="92"/>
      <c r="Y130" s="28" t="e">
        <v>#REF!</v>
      </c>
      <c r="Z130" s="9"/>
      <c r="AA130" s="24" t="s">
        <v>393</v>
      </c>
      <c r="AB130" s="28">
        <v>40781</v>
      </c>
    </row>
    <row r="131" spans="1:28" ht="14.25" customHeight="1" x14ac:dyDescent="0.4">
      <c r="A131">
        <v>113</v>
      </c>
      <c r="B131" s="22">
        <v>0</v>
      </c>
      <c r="C131" s="22" t="s">
        <v>2165</v>
      </c>
      <c r="D131" s="22">
        <v>0</v>
      </c>
      <c r="E131" s="24">
        <v>40772</v>
      </c>
      <c r="F131" s="24" t="s">
        <v>393</v>
      </c>
      <c r="G131" s="24">
        <v>40778</v>
      </c>
      <c r="H131" s="37">
        <v>89</v>
      </c>
      <c r="I131" s="23">
        <v>40756</v>
      </c>
      <c r="J131" s="37">
        <v>34</v>
      </c>
      <c r="K131" s="24" t="s">
        <v>2129</v>
      </c>
      <c r="L131" s="24">
        <v>0</v>
      </c>
      <c r="M131" s="24">
        <v>40660</v>
      </c>
      <c r="N131" s="22" t="s">
        <v>1366</v>
      </c>
      <c r="O131" s="4">
        <v>9120118</v>
      </c>
      <c r="P131" s="22">
        <v>1020</v>
      </c>
      <c r="Q131" s="22">
        <v>42</v>
      </c>
      <c r="R131" s="22" t="s">
        <v>2598</v>
      </c>
      <c r="S131" s="55" t="s">
        <v>1588</v>
      </c>
      <c r="T131" s="4" t="s">
        <v>404</v>
      </c>
      <c r="U131" s="94">
        <v>40738</v>
      </c>
      <c r="V131" s="4"/>
      <c r="W131" s="94"/>
      <c r="X131" s="74"/>
      <c r="Y131" s="28" t="e">
        <v>#REF!</v>
      </c>
      <c r="Z131" s="9"/>
      <c r="AA131" s="24" t="s">
        <v>393</v>
      </c>
      <c r="AB131" s="28">
        <v>40778</v>
      </c>
    </row>
    <row r="132" spans="1:28" ht="14.25" customHeight="1" x14ac:dyDescent="0.4">
      <c r="A132">
        <v>114</v>
      </c>
      <c r="B132" s="22">
        <v>0</v>
      </c>
      <c r="C132" s="22" t="s">
        <v>2165</v>
      </c>
      <c r="D132" s="22">
        <v>0</v>
      </c>
      <c r="E132" s="24">
        <v>40772</v>
      </c>
      <c r="F132" s="24" t="s">
        <v>393</v>
      </c>
      <c r="G132" s="24">
        <v>40773</v>
      </c>
      <c r="H132" s="37">
        <v>90</v>
      </c>
      <c r="I132" s="23">
        <v>40756</v>
      </c>
      <c r="J132" s="37">
        <v>35</v>
      </c>
      <c r="K132" s="24" t="s">
        <v>2129</v>
      </c>
      <c r="L132" s="24">
        <v>0</v>
      </c>
      <c r="M132" s="24">
        <v>40660</v>
      </c>
      <c r="N132" s="22" t="s">
        <v>1366</v>
      </c>
      <c r="O132" s="4">
        <v>9120119</v>
      </c>
      <c r="P132" s="22">
        <v>1020</v>
      </c>
      <c r="Q132" s="22">
        <v>42</v>
      </c>
      <c r="R132" s="22" t="s">
        <v>2599</v>
      </c>
      <c r="S132" s="1" t="s">
        <v>1585</v>
      </c>
      <c r="T132" s="4" t="s">
        <v>404</v>
      </c>
      <c r="U132" s="94">
        <v>40738</v>
      </c>
      <c r="V132" s="4"/>
      <c r="W132" s="92"/>
      <c r="X132" s="74"/>
      <c r="Y132" s="28" t="e">
        <v>#REF!</v>
      </c>
      <c r="Z132" s="28"/>
      <c r="AA132" s="24" t="s">
        <v>393</v>
      </c>
      <c r="AB132" s="28">
        <v>40773</v>
      </c>
    </row>
    <row r="133" spans="1:28" ht="14.25" customHeight="1" x14ac:dyDescent="0.4">
      <c r="A133">
        <v>115</v>
      </c>
      <c r="B133" s="22" t="s">
        <v>2165</v>
      </c>
      <c r="C133" s="22" t="s">
        <v>2165</v>
      </c>
      <c r="D133" s="22">
        <v>0</v>
      </c>
      <c r="E133" s="24">
        <v>40772</v>
      </c>
      <c r="F133" s="24" t="s">
        <v>393</v>
      </c>
      <c r="G133" s="24">
        <v>40774</v>
      </c>
      <c r="H133" s="37">
        <v>91</v>
      </c>
      <c r="I133" s="23">
        <v>40756</v>
      </c>
      <c r="J133" s="37">
        <v>36</v>
      </c>
      <c r="K133" s="24" t="s">
        <v>2129</v>
      </c>
      <c r="L133" s="24">
        <v>0</v>
      </c>
      <c r="M133" s="24">
        <v>40660</v>
      </c>
      <c r="N133" s="22" t="s">
        <v>1366</v>
      </c>
      <c r="O133" s="4">
        <v>9120120</v>
      </c>
      <c r="P133" s="22">
        <v>1020</v>
      </c>
      <c r="Q133" s="22">
        <v>42</v>
      </c>
      <c r="R133" s="22">
        <v>4403</v>
      </c>
      <c r="S133" s="4" t="s">
        <v>1269</v>
      </c>
      <c r="T133" s="4" t="s">
        <v>404</v>
      </c>
      <c r="U133" s="44">
        <v>40931</v>
      </c>
      <c r="V133" s="4"/>
      <c r="W133" s="92"/>
      <c r="X133" s="74"/>
      <c r="Y133" s="28" t="e">
        <v>#REF!</v>
      </c>
      <c r="Z133" s="9"/>
      <c r="AA133" s="24" t="s">
        <v>393</v>
      </c>
      <c r="AB133" s="28">
        <v>40774</v>
      </c>
    </row>
    <row r="134" spans="1:28" ht="14.25" customHeight="1" x14ac:dyDescent="0.4">
      <c r="A134">
        <v>116</v>
      </c>
      <c r="B134" s="22">
        <v>0</v>
      </c>
      <c r="C134" s="22" t="s">
        <v>2165</v>
      </c>
      <c r="D134" s="22">
        <v>0</v>
      </c>
      <c r="E134" s="24">
        <v>40773</v>
      </c>
      <c r="F134" s="24" t="s">
        <v>393</v>
      </c>
      <c r="G134" s="24">
        <v>40774</v>
      </c>
      <c r="H134" s="37">
        <v>92</v>
      </c>
      <c r="I134" s="23">
        <v>40756</v>
      </c>
      <c r="J134" s="37">
        <v>37</v>
      </c>
      <c r="K134" s="24" t="s">
        <v>2129</v>
      </c>
      <c r="L134" s="24">
        <v>0</v>
      </c>
      <c r="M134" s="24">
        <v>40660</v>
      </c>
      <c r="N134" s="22" t="s">
        <v>1366</v>
      </c>
      <c r="O134" s="4">
        <v>9120121</v>
      </c>
      <c r="P134" s="22">
        <v>1020</v>
      </c>
      <c r="Q134" s="22">
        <v>42</v>
      </c>
      <c r="R134" s="22">
        <v>4404</v>
      </c>
      <c r="S134" s="4" t="s">
        <v>931</v>
      </c>
      <c r="T134" s="4" t="s">
        <v>404</v>
      </c>
      <c r="U134" s="44">
        <v>40814</v>
      </c>
      <c r="V134" s="4"/>
      <c r="W134" s="9"/>
      <c r="X134" s="74"/>
      <c r="Y134" s="28" t="e">
        <v>#REF!</v>
      </c>
      <c r="Z134" s="9"/>
      <c r="AA134" s="24" t="s">
        <v>393</v>
      </c>
      <c r="AB134" s="28">
        <v>40774</v>
      </c>
    </row>
    <row r="135" spans="1:28" ht="14.25" customHeight="1" x14ac:dyDescent="0.4">
      <c r="A135">
        <v>117</v>
      </c>
      <c r="B135" s="22">
        <v>0</v>
      </c>
      <c r="C135" s="22">
        <v>0</v>
      </c>
      <c r="D135" s="22">
        <v>0</v>
      </c>
      <c r="E135" s="24">
        <v>40911</v>
      </c>
      <c r="F135" s="24" t="s">
        <v>393</v>
      </c>
      <c r="G135" s="24">
        <v>40914</v>
      </c>
      <c r="H135" s="37">
        <v>371</v>
      </c>
      <c r="I135" s="23">
        <v>40909</v>
      </c>
      <c r="J135" s="37">
        <v>4</v>
      </c>
      <c r="K135" s="24" t="s">
        <v>2129</v>
      </c>
      <c r="L135" s="24">
        <v>0</v>
      </c>
      <c r="M135" s="24">
        <v>40660</v>
      </c>
      <c r="N135" s="22" t="s">
        <v>1366</v>
      </c>
      <c r="O135" s="4">
        <v>9120122</v>
      </c>
      <c r="P135" s="22">
        <v>1020</v>
      </c>
      <c r="Q135" s="22">
        <v>42</v>
      </c>
      <c r="R135" s="22">
        <v>4405</v>
      </c>
      <c r="S135" s="4" t="s">
        <v>618</v>
      </c>
      <c r="T135" s="4" t="s">
        <v>404</v>
      </c>
      <c r="U135" s="44">
        <v>40990</v>
      </c>
      <c r="V135" s="4"/>
      <c r="W135" s="9"/>
      <c r="Y135" s="28" t="e">
        <v>#REF!</v>
      </c>
      <c r="Z135" s="28"/>
      <c r="AA135" s="24" t="s">
        <v>393</v>
      </c>
      <c r="AB135" s="28">
        <v>40914</v>
      </c>
    </row>
    <row r="136" spans="1:28" ht="14.25" customHeight="1" x14ac:dyDescent="0.4">
      <c r="A136">
        <v>118</v>
      </c>
      <c r="B136" s="22">
        <v>0</v>
      </c>
      <c r="C136" s="22" t="s">
        <v>2165</v>
      </c>
      <c r="D136" s="22">
        <v>0</v>
      </c>
      <c r="E136" s="24">
        <v>40737</v>
      </c>
      <c r="F136" s="24" t="s">
        <v>393</v>
      </c>
      <c r="G136" s="24">
        <v>40742</v>
      </c>
      <c r="H136" s="37">
        <v>19</v>
      </c>
      <c r="I136" s="23">
        <v>40725</v>
      </c>
      <c r="J136" s="37">
        <v>19</v>
      </c>
      <c r="K136" s="24" t="s">
        <v>2129</v>
      </c>
      <c r="L136" s="24">
        <v>0</v>
      </c>
      <c r="M136" s="24">
        <v>40660</v>
      </c>
      <c r="N136" s="22" t="s">
        <v>1366</v>
      </c>
      <c r="O136" s="4">
        <v>9120123</v>
      </c>
      <c r="P136" s="22">
        <v>1020</v>
      </c>
      <c r="Q136" s="22">
        <v>42</v>
      </c>
      <c r="R136" s="22">
        <v>4406</v>
      </c>
      <c r="S136" s="4" t="s">
        <v>1011</v>
      </c>
      <c r="T136" s="4" t="s">
        <v>404</v>
      </c>
      <c r="U136" s="44">
        <v>40744</v>
      </c>
      <c r="V136" s="4"/>
      <c r="W136" s="57"/>
      <c r="X136" s="74"/>
      <c r="Y136" s="28" t="e">
        <v>#REF!</v>
      </c>
      <c r="Z136" s="28"/>
      <c r="AA136" s="24" t="s">
        <v>393</v>
      </c>
      <c r="AB136" s="28">
        <v>40742</v>
      </c>
    </row>
    <row r="137" spans="1:28" ht="14.25" customHeight="1" x14ac:dyDescent="0.4">
      <c r="A137">
        <v>119</v>
      </c>
      <c r="B137" s="22">
        <v>0</v>
      </c>
      <c r="C137" s="22">
        <v>0</v>
      </c>
      <c r="D137" s="22">
        <v>0</v>
      </c>
      <c r="E137" s="24">
        <v>40738</v>
      </c>
      <c r="F137" s="24" t="s">
        <v>393</v>
      </c>
      <c r="G137" s="24">
        <v>40744</v>
      </c>
      <c r="H137" s="37">
        <v>20</v>
      </c>
      <c r="I137" s="23">
        <v>40725</v>
      </c>
      <c r="J137" s="37">
        <v>20</v>
      </c>
      <c r="K137" s="24" t="s">
        <v>2129</v>
      </c>
      <c r="L137" s="24">
        <v>0</v>
      </c>
      <c r="M137" s="24">
        <v>40660</v>
      </c>
      <c r="N137" s="22" t="s">
        <v>1366</v>
      </c>
      <c r="O137" s="4">
        <v>9120124</v>
      </c>
      <c r="P137" s="22">
        <v>1020</v>
      </c>
      <c r="Q137" s="22">
        <v>42</v>
      </c>
      <c r="R137" s="22">
        <v>4407</v>
      </c>
      <c r="S137" s="4" t="s">
        <v>1270</v>
      </c>
      <c r="T137" s="4" t="s">
        <v>404</v>
      </c>
      <c r="U137" s="44">
        <v>40934</v>
      </c>
      <c r="V137" s="4"/>
      <c r="W137" s="57"/>
      <c r="X137" s="74"/>
      <c r="Y137" s="28" t="e">
        <v>#REF!</v>
      </c>
      <c r="Z137" s="28"/>
      <c r="AA137" s="24" t="s">
        <v>393</v>
      </c>
      <c r="AB137" s="28">
        <v>40744</v>
      </c>
    </row>
    <row r="138" spans="1:28" ht="14.25" customHeight="1" x14ac:dyDescent="0.4">
      <c r="A138">
        <v>120</v>
      </c>
      <c r="B138" s="22">
        <v>0</v>
      </c>
      <c r="C138" s="22">
        <v>0</v>
      </c>
      <c r="D138" s="22">
        <v>0</v>
      </c>
      <c r="E138" s="24">
        <v>40795</v>
      </c>
      <c r="F138" s="24" t="s">
        <v>393</v>
      </c>
      <c r="G138" s="24">
        <v>40809</v>
      </c>
      <c r="H138" s="37">
        <v>137</v>
      </c>
      <c r="I138" s="23">
        <v>40787</v>
      </c>
      <c r="J138" s="37">
        <v>13</v>
      </c>
      <c r="K138" s="24" t="s">
        <v>2129</v>
      </c>
      <c r="L138" s="24">
        <v>0</v>
      </c>
      <c r="M138" s="24">
        <v>40660</v>
      </c>
      <c r="N138" s="22" t="s">
        <v>1366</v>
      </c>
      <c r="O138" s="4">
        <v>9120125</v>
      </c>
      <c r="P138" s="22">
        <v>1020</v>
      </c>
      <c r="Q138" s="22">
        <v>50</v>
      </c>
      <c r="R138" s="22" t="s">
        <v>2600</v>
      </c>
      <c r="S138" s="4" t="s">
        <v>885</v>
      </c>
      <c r="T138" s="4" t="s">
        <v>404</v>
      </c>
      <c r="U138" s="44">
        <v>40766</v>
      </c>
      <c r="V138" s="4"/>
      <c r="W138" s="4"/>
      <c r="X138" s="74"/>
      <c r="Y138" s="28" t="e">
        <v>#REF!</v>
      </c>
      <c r="Z138" s="9"/>
      <c r="AA138" s="24" t="s">
        <v>393</v>
      </c>
      <c r="AB138" s="28">
        <v>40809</v>
      </c>
    </row>
    <row r="139" spans="1:28" ht="14.25" customHeight="1" x14ac:dyDescent="0.4">
      <c r="A139">
        <v>121</v>
      </c>
      <c r="B139" s="24">
        <v>40800</v>
      </c>
      <c r="C139" s="24">
        <v>40800</v>
      </c>
      <c r="D139" s="24">
        <v>40800</v>
      </c>
      <c r="E139" s="24">
        <v>40800</v>
      </c>
      <c r="F139" s="24" t="s">
        <v>393</v>
      </c>
      <c r="G139" s="24">
        <v>40808</v>
      </c>
      <c r="H139" s="37">
        <v>145</v>
      </c>
      <c r="I139" s="23">
        <v>40787</v>
      </c>
      <c r="J139" s="37">
        <v>21</v>
      </c>
      <c r="K139" s="24" t="s">
        <v>2129</v>
      </c>
      <c r="L139" s="24">
        <v>0</v>
      </c>
      <c r="M139" s="24">
        <v>40660</v>
      </c>
      <c r="N139" s="22" t="s">
        <v>1366</v>
      </c>
      <c r="O139" s="4">
        <v>9120126</v>
      </c>
      <c r="P139" s="22">
        <v>1020</v>
      </c>
      <c r="Q139" s="22">
        <v>42</v>
      </c>
      <c r="R139" s="22" t="s">
        <v>2601</v>
      </c>
      <c r="S139" s="3" t="s">
        <v>886</v>
      </c>
      <c r="T139" s="4" t="s">
        <v>404</v>
      </c>
      <c r="U139" s="164">
        <v>40766</v>
      </c>
      <c r="V139" s="4"/>
      <c r="Y139" s="28" t="e">
        <v>#REF!</v>
      </c>
      <c r="AA139" s="24" t="s">
        <v>393</v>
      </c>
      <c r="AB139" s="28">
        <v>40808</v>
      </c>
    </row>
    <row r="140" spans="1:28" ht="14.25" customHeight="1" x14ac:dyDescent="0.4">
      <c r="A140">
        <v>122</v>
      </c>
      <c r="B140" s="22">
        <v>0</v>
      </c>
      <c r="C140" s="22">
        <v>0</v>
      </c>
      <c r="D140" s="22">
        <v>0</v>
      </c>
      <c r="E140" s="24">
        <v>40800</v>
      </c>
      <c r="F140" s="24" t="s">
        <v>393</v>
      </c>
      <c r="G140" s="24">
        <v>40807</v>
      </c>
      <c r="H140" s="37">
        <v>146</v>
      </c>
      <c r="I140" s="23">
        <v>40787</v>
      </c>
      <c r="J140" s="37">
        <v>22</v>
      </c>
      <c r="K140" s="24" t="s">
        <v>2129</v>
      </c>
      <c r="L140" s="24">
        <v>0</v>
      </c>
      <c r="M140" s="24">
        <v>40660</v>
      </c>
      <c r="N140" s="22" t="s">
        <v>1366</v>
      </c>
      <c r="O140" s="4">
        <v>9120127</v>
      </c>
      <c r="P140" s="22">
        <v>1020</v>
      </c>
      <c r="Q140" s="22">
        <v>42</v>
      </c>
      <c r="R140" s="22" t="s">
        <v>2602</v>
      </c>
      <c r="S140" s="102" t="s">
        <v>2084</v>
      </c>
      <c r="T140" s="4" t="s">
        <v>404</v>
      </c>
      <c r="U140" s="94">
        <v>40771</v>
      </c>
      <c r="V140" s="4"/>
      <c r="W140" s="92"/>
      <c r="X140" s="74"/>
      <c r="Y140" s="28" t="e">
        <v>#REF!</v>
      </c>
      <c r="Z140" s="9"/>
      <c r="AA140" s="24" t="s">
        <v>393</v>
      </c>
      <c r="AB140" s="28">
        <v>40807</v>
      </c>
    </row>
    <row r="141" spans="1:28" ht="14.25" customHeight="1" x14ac:dyDescent="0.4">
      <c r="A141">
        <v>123</v>
      </c>
      <c r="B141" s="24">
        <v>40827</v>
      </c>
      <c r="C141" s="24">
        <v>40827</v>
      </c>
      <c r="D141" s="24">
        <v>40827</v>
      </c>
      <c r="E141" s="24">
        <v>40827</v>
      </c>
      <c r="F141" s="24" t="s">
        <v>393</v>
      </c>
      <c r="G141" s="24">
        <v>40837</v>
      </c>
      <c r="H141" s="37">
        <v>203</v>
      </c>
      <c r="I141" s="23">
        <v>40817</v>
      </c>
      <c r="J141" s="37">
        <v>16</v>
      </c>
      <c r="K141" s="24" t="s">
        <v>2129</v>
      </c>
      <c r="L141" s="24">
        <v>0</v>
      </c>
      <c r="M141" s="24">
        <v>40660</v>
      </c>
      <c r="N141" s="22" t="s">
        <v>1366</v>
      </c>
      <c r="O141" s="4">
        <v>9120128</v>
      </c>
      <c r="P141" s="22">
        <v>1020</v>
      </c>
      <c r="Q141" s="22">
        <v>50</v>
      </c>
      <c r="R141" s="22" t="s">
        <v>2603</v>
      </c>
      <c r="S141" s="102" t="s">
        <v>887</v>
      </c>
      <c r="T141" s="4" t="s">
        <v>404</v>
      </c>
      <c r="U141" s="94">
        <v>40744</v>
      </c>
      <c r="V141" s="4"/>
      <c r="W141" s="92"/>
      <c r="X141" s="74"/>
      <c r="Y141" s="28" t="e">
        <v>#REF!</v>
      </c>
      <c r="Z141" s="9"/>
      <c r="AA141" s="24" t="s">
        <v>393</v>
      </c>
      <c r="AB141" s="28">
        <v>40837</v>
      </c>
    </row>
    <row r="142" spans="1:28" ht="14.25" customHeight="1" x14ac:dyDescent="0.4">
      <c r="A142">
        <v>124</v>
      </c>
      <c r="B142" s="24">
        <v>40827</v>
      </c>
      <c r="C142" s="24">
        <v>40827</v>
      </c>
      <c r="D142" s="24">
        <v>40827</v>
      </c>
      <c r="E142" s="24">
        <v>40827</v>
      </c>
      <c r="F142" s="24" t="s">
        <v>393</v>
      </c>
      <c r="G142" s="24">
        <v>40828</v>
      </c>
      <c r="H142" s="37">
        <v>204</v>
      </c>
      <c r="I142" s="23">
        <v>40817</v>
      </c>
      <c r="J142" s="37">
        <v>17</v>
      </c>
      <c r="K142" s="24" t="s">
        <v>2129</v>
      </c>
      <c r="L142" s="24">
        <v>0</v>
      </c>
      <c r="M142" s="24">
        <v>40660</v>
      </c>
      <c r="N142" s="22" t="s">
        <v>1366</v>
      </c>
      <c r="O142" s="4">
        <v>9120129</v>
      </c>
      <c r="P142" s="22">
        <v>1020</v>
      </c>
      <c r="Q142" s="22">
        <v>42</v>
      </c>
      <c r="R142" s="22" t="s">
        <v>2604</v>
      </c>
      <c r="S142" s="102" t="s">
        <v>888</v>
      </c>
      <c r="T142" s="4" t="s">
        <v>404</v>
      </c>
      <c r="U142" s="94">
        <v>40744</v>
      </c>
      <c r="V142" s="4"/>
      <c r="W142" s="92"/>
      <c r="X142" s="74"/>
      <c r="Y142" s="28" t="e">
        <v>#REF!</v>
      </c>
      <c r="Z142" s="9"/>
      <c r="AA142" s="24" t="s">
        <v>393</v>
      </c>
      <c r="AB142" s="28">
        <v>40828</v>
      </c>
    </row>
    <row r="143" spans="1:28" ht="14.25" customHeight="1" x14ac:dyDescent="0.4">
      <c r="A143">
        <v>125</v>
      </c>
      <c r="B143" s="24">
        <v>40827</v>
      </c>
      <c r="C143" s="24">
        <v>40827</v>
      </c>
      <c r="D143" s="24">
        <v>40827</v>
      </c>
      <c r="E143" s="24">
        <v>40827</v>
      </c>
      <c r="F143" s="24" t="s">
        <v>393</v>
      </c>
      <c r="G143" s="24">
        <v>40828</v>
      </c>
      <c r="H143" s="37">
        <v>205</v>
      </c>
      <c r="I143" s="23">
        <v>40817</v>
      </c>
      <c r="J143" s="37">
        <v>18</v>
      </c>
      <c r="K143" s="24" t="s">
        <v>2129</v>
      </c>
      <c r="L143" s="24">
        <v>0</v>
      </c>
      <c r="M143" s="24">
        <v>40660</v>
      </c>
      <c r="N143" s="22" t="s">
        <v>1366</v>
      </c>
      <c r="O143" s="4">
        <v>9120130</v>
      </c>
      <c r="P143" s="22">
        <v>1020</v>
      </c>
      <c r="Q143" s="22">
        <v>42</v>
      </c>
      <c r="R143" s="22" t="s">
        <v>2605</v>
      </c>
      <c r="S143" s="55" t="s">
        <v>337</v>
      </c>
      <c r="T143" s="4" t="s">
        <v>404</v>
      </c>
      <c r="U143" s="94">
        <v>40787</v>
      </c>
      <c r="V143" s="4"/>
      <c r="W143" s="92"/>
      <c r="X143" s="74"/>
      <c r="Y143" s="28" t="e">
        <v>#REF!</v>
      </c>
      <c r="Z143" s="9"/>
      <c r="AA143" s="24" t="s">
        <v>393</v>
      </c>
      <c r="AB143" s="28">
        <v>40828</v>
      </c>
    </row>
    <row r="144" spans="1:28" ht="14.25" customHeight="1" x14ac:dyDescent="0.4">
      <c r="A144">
        <v>126</v>
      </c>
      <c r="B144" s="24">
        <v>40828</v>
      </c>
      <c r="C144" s="24">
        <v>40828</v>
      </c>
      <c r="D144" s="24">
        <v>40828</v>
      </c>
      <c r="E144" s="24">
        <v>40828</v>
      </c>
      <c r="F144" s="24" t="s">
        <v>393</v>
      </c>
      <c r="G144" s="24">
        <v>40834</v>
      </c>
      <c r="H144" s="37">
        <v>206</v>
      </c>
      <c r="I144" s="23">
        <v>40817</v>
      </c>
      <c r="J144" s="37">
        <v>19</v>
      </c>
      <c r="K144" s="24" t="s">
        <v>2129</v>
      </c>
      <c r="L144" s="24">
        <v>0</v>
      </c>
      <c r="M144" s="24">
        <v>40660</v>
      </c>
      <c r="N144" s="22" t="s">
        <v>1366</v>
      </c>
      <c r="O144" s="4">
        <v>9120131</v>
      </c>
      <c r="P144" s="22">
        <v>1020</v>
      </c>
      <c r="Q144" s="22">
        <v>50</v>
      </c>
      <c r="R144" s="22" t="s">
        <v>2606</v>
      </c>
      <c r="S144" s="3" t="s">
        <v>729</v>
      </c>
      <c r="T144" s="4" t="s">
        <v>404</v>
      </c>
      <c r="U144" s="42">
        <v>40800</v>
      </c>
      <c r="V144" s="4"/>
      <c r="W144" s="28"/>
      <c r="X144" s="74"/>
      <c r="Y144" s="28" t="e">
        <v>#REF!</v>
      </c>
      <c r="Z144" s="28"/>
      <c r="AA144" s="24" t="s">
        <v>393</v>
      </c>
      <c r="AB144" s="28">
        <v>40834</v>
      </c>
    </row>
    <row r="145" spans="1:28" ht="14.25" customHeight="1" x14ac:dyDescent="0.4">
      <c r="A145">
        <v>127</v>
      </c>
      <c r="B145" s="24">
        <v>40844</v>
      </c>
      <c r="C145" s="24">
        <v>40844</v>
      </c>
      <c r="D145" s="24">
        <v>40844</v>
      </c>
      <c r="E145" s="24">
        <v>40844</v>
      </c>
      <c r="F145" s="24" t="s">
        <v>393</v>
      </c>
      <c r="G145" s="24">
        <v>40849</v>
      </c>
      <c r="H145" s="37">
        <v>248</v>
      </c>
      <c r="I145" s="23">
        <v>40817</v>
      </c>
      <c r="J145" s="37">
        <v>61</v>
      </c>
      <c r="K145" s="24" t="s">
        <v>2129</v>
      </c>
      <c r="L145" s="24">
        <v>0</v>
      </c>
      <c r="M145" s="24">
        <v>40660</v>
      </c>
      <c r="N145" s="22" t="s">
        <v>1366</v>
      </c>
      <c r="O145" s="4">
        <v>9120132</v>
      </c>
      <c r="P145" s="22">
        <v>1020</v>
      </c>
      <c r="Q145" s="22">
        <v>50</v>
      </c>
      <c r="R145" s="22" t="s">
        <v>2607</v>
      </c>
      <c r="S145" s="3" t="s">
        <v>177</v>
      </c>
      <c r="T145" s="4" t="s">
        <v>404</v>
      </c>
      <c r="U145" s="94">
        <v>40806</v>
      </c>
      <c r="V145" s="4"/>
      <c r="W145" s="28"/>
      <c r="X145" s="74"/>
      <c r="Y145" s="28" t="e">
        <v>#REF!</v>
      </c>
      <c r="Z145" s="28"/>
      <c r="AA145" s="24" t="s">
        <v>393</v>
      </c>
      <c r="AB145" s="28">
        <v>40849</v>
      </c>
    </row>
    <row r="146" spans="1:28" ht="14.25" customHeight="1" x14ac:dyDescent="0.4">
      <c r="A146">
        <v>128</v>
      </c>
      <c r="B146" s="22">
        <v>0</v>
      </c>
      <c r="C146" s="22">
        <v>0</v>
      </c>
      <c r="D146" s="22">
        <v>0</v>
      </c>
      <c r="E146" s="24">
        <v>40861</v>
      </c>
      <c r="F146" s="24" t="s">
        <v>393</v>
      </c>
      <c r="G146" s="24">
        <v>40862</v>
      </c>
      <c r="H146" s="37">
        <v>282</v>
      </c>
      <c r="I146" s="23">
        <v>40848</v>
      </c>
      <c r="J146" s="37">
        <v>31</v>
      </c>
      <c r="K146" s="24" t="s">
        <v>2129</v>
      </c>
      <c r="L146" s="24">
        <v>0</v>
      </c>
      <c r="M146" s="24">
        <v>40660</v>
      </c>
      <c r="N146" s="22" t="s">
        <v>1366</v>
      </c>
      <c r="O146" s="4">
        <v>9120133</v>
      </c>
      <c r="P146" s="22">
        <v>1020</v>
      </c>
      <c r="Q146" s="22">
        <v>50</v>
      </c>
      <c r="R146" s="22" t="s">
        <v>2608</v>
      </c>
      <c r="S146" s="4" t="s">
        <v>932</v>
      </c>
      <c r="T146" s="4" t="s">
        <v>404</v>
      </c>
      <c r="U146" s="42">
        <v>40814</v>
      </c>
      <c r="V146" s="4"/>
      <c r="W146" s="9"/>
      <c r="X146" s="74"/>
      <c r="Y146" s="28" t="e">
        <v>#REF!</v>
      </c>
      <c r="Z146" s="28"/>
      <c r="AA146" s="24" t="s">
        <v>393</v>
      </c>
      <c r="AB146" s="28">
        <v>40862</v>
      </c>
    </row>
    <row r="147" spans="1:28" ht="14.25" customHeight="1" x14ac:dyDescent="0.4">
      <c r="A147">
        <v>129</v>
      </c>
      <c r="B147" s="22">
        <v>0</v>
      </c>
      <c r="C147" s="22">
        <v>0</v>
      </c>
      <c r="D147" s="22">
        <v>0</v>
      </c>
      <c r="E147" s="24">
        <v>40890</v>
      </c>
      <c r="F147" s="24" t="s">
        <v>393</v>
      </c>
      <c r="G147" s="24">
        <v>40904</v>
      </c>
      <c r="H147" s="37">
        <v>340</v>
      </c>
      <c r="I147" s="23">
        <v>40878</v>
      </c>
      <c r="J147" s="37">
        <v>30</v>
      </c>
      <c r="K147" s="24" t="s">
        <v>2129</v>
      </c>
      <c r="L147" s="24">
        <v>0</v>
      </c>
      <c r="M147" s="24">
        <v>40660</v>
      </c>
      <c r="N147" s="22" t="s">
        <v>1366</v>
      </c>
      <c r="O147" s="4">
        <v>9120134</v>
      </c>
      <c r="P147" s="22">
        <v>1020</v>
      </c>
      <c r="Q147" s="22">
        <v>50</v>
      </c>
      <c r="R147" s="22" t="s">
        <v>2609</v>
      </c>
      <c r="S147" s="4" t="s">
        <v>930</v>
      </c>
      <c r="T147" s="4" t="s">
        <v>404</v>
      </c>
      <c r="U147" s="44">
        <v>40814</v>
      </c>
      <c r="V147" s="4"/>
      <c r="W147" s="9"/>
      <c r="X147" s="74"/>
      <c r="Y147" s="28" t="e">
        <v>#REF!</v>
      </c>
      <c r="Z147" s="9"/>
      <c r="AA147" s="24" t="s">
        <v>393</v>
      </c>
      <c r="AB147" s="28">
        <v>40904</v>
      </c>
    </row>
    <row r="148" spans="1:28" ht="14.25" customHeight="1" x14ac:dyDescent="0.4">
      <c r="A148">
        <v>130</v>
      </c>
      <c r="B148" s="22">
        <v>0</v>
      </c>
      <c r="C148" s="22">
        <v>0</v>
      </c>
      <c r="D148" s="22">
        <v>0</v>
      </c>
      <c r="E148" s="24">
        <v>40848</v>
      </c>
      <c r="F148" s="24" t="s">
        <v>393</v>
      </c>
      <c r="G148" s="24">
        <v>40850</v>
      </c>
      <c r="H148" s="37">
        <v>254</v>
      </c>
      <c r="I148" s="23">
        <v>40848</v>
      </c>
      <c r="J148" s="37">
        <v>3</v>
      </c>
      <c r="K148" s="24" t="s">
        <v>2129</v>
      </c>
      <c r="L148" s="24">
        <v>0</v>
      </c>
      <c r="M148" s="24">
        <v>40660</v>
      </c>
      <c r="N148" s="22" t="s">
        <v>1366</v>
      </c>
      <c r="O148" s="4">
        <v>9120135</v>
      </c>
      <c r="P148" s="22">
        <v>1020</v>
      </c>
      <c r="Q148" s="22">
        <v>42</v>
      </c>
      <c r="R148" s="22">
        <v>4418</v>
      </c>
      <c r="S148" s="4" t="s">
        <v>1275</v>
      </c>
      <c r="T148" s="4" t="s">
        <v>404</v>
      </c>
      <c r="U148" s="44">
        <v>40948</v>
      </c>
      <c r="V148" s="4"/>
      <c r="W148" s="4"/>
      <c r="Y148" s="28" t="e">
        <v>#REF!</v>
      </c>
      <c r="Z148" s="9"/>
      <c r="AA148" s="24" t="s">
        <v>393</v>
      </c>
      <c r="AB148" s="28">
        <v>40850</v>
      </c>
    </row>
    <row r="149" spans="1:28" ht="14.25" customHeight="1" x14ac:dyDescent="0.4">
      <c r="A149">
        <v>131</v>
      </c>
      <c r="B149" s="22">
        <v>0</v>
      </c>
      <c r="C149" s="22">
        <v>0</v>
      </c>
      <c r="D149" s="22">
        <v>0</v>
      </c>
      <c r="E149" s="24">
        <v>40848</v>
      </c>
      <c r="F149" s="24" t="s">
        <v>393</v>
      </c>
      <c r="G149" s="24">
        <v>40865</v>
      </c>
      <c r="H149" s="37">
        <v>255</v>
      </c>
      <c r="I149" s="23">
        <v>40848</v>
      </c>
      <c r="J149" s="37">
        <v>4</v>
      </c>
      <c r="K149" s="24" t="s">
        <v>2129</v>
      </c>
      <c r="L149" s="24">
        <v>0</v>
      </c>
      <c r="M149" s="24">
        <v>40660</v>
      </c>
      <c r="N149" s="22" t="s">
        <v>1366</v>
      </c>
      <c r="O149" s="4">
        <v>9120136</v>
      </c>
      <c r="P149" s="22">
        <v>1020</v>
      </c>
      <c r="Q149" s="22">
        <v>42</v>
      </c>
      <c r="R149" s="22">
        <v>4419</v>
      </c>
      <c r="S149" s="4" t="s">
        <v>115</v>
      </c>
      <c r="T149" s="4" t="s">
        <v>404</v>
      </c>
      <c r="U149" s="44">
        <v>40955</v>
      </c>
      <c r="V149" s="4"/>
      <c r="W149" s="9"/>
      <c r="X149" s="74"/>
      <c r="Y149" s="28" t="e">
        <v>#REF!</v>
      </c>
      <c r="Z149" s="9"/>
      <c r="AA149" s="24" t="s">
        <v>393</v>
      </c>
      <c r="AB149" s="28">
        <v>40865</v>
      </c>
    </row>
    <row r="150" spans="1:28" ht="14.25" customHeight="1" x14ac:dyDescent="0.4">
      <c r="A150">
        <v>132</v>
      </c>
      <c r="B150" s="22">
        <v>0</v>
      </c>
      <c r="C150" s="22">
        <v>0</v>
      </c>
      <c r="D150" s="22">
        <v>0</v>
      </c>
      <c r="E150" s="24">
        <v>40891</v>
      </c>
      <c r="F150" s="24" t="s">
        <v>393</v>
      </c>
      <c r="G150" s="24">
        <v>40898</v>
      </c>
      <c r="H150" s="37">
        <v>341</v>
      </c>
      <c r="I150" s="23">
        <v>40878</v>
      </c>
      <c r="J150" s="37">
        <v>31</v>
      </c>
      <c r="K150" s="24" t="s">
        <v>2129</v>
      </c>
      <c r="L150" s="24">
        <v>0</v>
      </c>
      <c r="M150" s="24">
        <v>40660</v>
      </c>
      <c r="N150" s="22" t="s">
        <v>1366</v>
      </c>
      <c r="O150" s="4">
        <v>9120137</v>
      </c>
      <c r="P150" s="22">
        <v>1020</v>
      </c>
      <c r="Q150" s="22">
        <v>50</v>
      </c>
      <c r="R150" s="22">
        <v>4420</v>
      </c>
      <c r="S150" s="4" t="s">
        <v>1271</v>
      </c>
      <c r="T150" s="4" t="s">
        <v>404</v>
      </c>
      <c r="U150" s="42">
        <v>40932</v>
      </c>
      <c r="V150" s="4"/>
      <c r="W150" s="4"/>
      <c r="X150" s="74"/>
      <c r="Y150" s="28" t="e">
        <v>#REF!</v>
      </c>
      <c r="Z150" s="28"/>
      <c r="AA150" s="24" t="s">
        <v>393</v>
      </c>
      <c r="AB150" s="28">
        <v>40898</v>
      </c>
    </row>
    <row r="151" spans="1:28" ht="14.25" customHeight="1" x14ac:dyDescent="0.4">
      <c r="A151">
        <v>133</v>
      </c>
      <c r="B151" s="22">
        <v>0</v>
      </c>
      <c r="C151" s="22" t="s">
        <v>2165</v>
      </c>
      <c r="D151" s="22">
        <v>0</v>
      </c>
      <c r="E151" s="24">
        <v>40862</v>
      </c>
      <c r="F151" s="24" t="s">
        <v>393</v>
      </c>
      <c r="G151" s="24">
        <v>40864</v>
      </c>
      <c r="H151" s="37">
        <v>284</v>
      </c>
      <c r="I151" s="23">
        <v>40848</v>
      </c>
      <c r="J151" s="37">
        <v>33</v>
      </c>
      <c r="K151" s="24" t="s">
        <v>2129</v>
      </c>
      <c r="L151" s="24">
        <v>0</v>
      </c>
      <c r="M151" s="24">
        <v>40660</v>
      </c>
      <c r="N151" s="22" t="s">
        <v>1366</v>
      </c>
      <c r="O151" s="4">
        <v>9120138</v>
      </c>
      <c r="P151" s="22">
        <v>1020</v>
      </c>
      <c r="Q151" s="22">
        <v>42</v>
      </c>
      <c r="R151" s="22" t="s">
        <v>2610</v>
      </c>
      <c r="S151" s="38" t="s">
        <v>1518</v>
      </c>
      <c r="T151" s="4" t="s">
        <v>404</v>
      </c>
      <c r="U151" s="44">
        <v>40778</v>
      </c>
      <c r="V151" s="4"/>
      <c r="W151" s="127"/>
      <c r="X151" s="74"/>
      <c r="Y151" s="28" t="e">
        <v>#REF!</v>
      </c>
      <c r="Z151" s="9"/>
      <c r="AA151" s="24" t="s">
        <v>393</v>
      </c>
      <c r="AB151" s="28">
        <v>40864</v>
      </c>
    </row>
    <row r="152" spans="1:28" ht="14.25" customHeight="1" x14ac:dyDescent="0.4">
      <c r="A152">
        <v>134</v>
      </c>
      <c r="B152" s="22">
        <v>0</v>
      </c>
      <c r="C152" s="22" t="s">
        <v>2165</v>
      </c>
      <c r="D152" s="22">
        <v>0</v>
      </c>
      <c r="E152" s="24">
        <v>40897</v>
      </c>
      <c r="F152" s="24" t="s">
        <v>393</v>
      </c>
      <c r="G152" s="24">
        <v>40905</v>
      </c>
      <c r="H152" s="37">
        <v>354</v>
      </c>
      <c r="I152" s="23">
        <v>40878</v>
      </c>
      <c r="J152" s="37">
        <v>44</v>
      </c>
      <c r="K152" s="24" t="s">
        <v>2129</v>
      </c>
      <c r="L152" s="24">
        <v>0</v>
      </c>
      <c r="M152" s="24">
        <v>40660</v>
      </c>
      <c r="N152" s="22" t="s">
        <v>1366</v>
      </c>
      <c r="O152" s="4">
        <v>9120139</v>
      </c>
      <c r="P152" s="22">
        <v>1020</v>
      </c>
      <c r="Q152" s="22">
        <v>50</v>
      </c>
      <c r="R152" s="22">
        <v>4422</v>
      </c>
      <c r="S152" s="4" t="s">
        <v>1403</v>
      </c>
      <c r="T152" s="4" t="s">
        <v>404</v>
      </c>
      <c r="U152" s="44">
        <v>40913</v>
      </c>
      <c r="V152" s="4"/>
      <c r="W152" s="127"/>
      <c r="X152" s="74"/>
      <c r="Y152" s="28" t="e">
        <v>#REF!</v>
      </c>
      <c r="Z152" s="9"/>
      <c r="AA152" s="24" t="s">
        <v>393</v>
      </c>
      <c r="AB152" s="28">
        <v>40905</v>
      </c>
    </row>
    <row r="153" spans="1:28" ht="14.25" customHeight="1" x14ac:dyDescent="0.4">
      <c r="A153">
        <v>135</v>
      </c>
      <c r="B153" s="22">
        <v>0</v>
      </c>
      <c r="C153" s="22" t="s">
        <v>2165</v>
      </c>
      <c r="D153" s="22">
        <v>0</v>
      </c>
      <c r="E153" s="24">
        <v>40897</v>
      </c>
      <c r="F153" s="24" t="s">
        <v>393</v>
      </c>
      <c r="G153" s="24">
        <v>40939</v>
      </c>
      <c r="H153" s="37">
        <v>355</v>
      </c>
      <c r="I153" s="23">
        <v>40878</v>
      </c>
      <c r="J153" s="37">
        <v>45</v>
      </c>
      <c r="K153" s="24" t="s">
        <v>2129</v>
      </c>
      <c r="L153" s="24">
        <v>0</v>
      </c>
      <c r="M153" s="24">
        <v>40660</v>
      </c>
      <c r="N153" s="22" t="s">
        <v>1366</v>
      </c>
      <c r="O153" s="4">
        <v>9120140</v>
      </c>
      <c r="P153" s="22">
        <v>1020</v>
      </c>
      <c r="Q153" s="22">
        <v>50</v>
      </c>
      <c r="R153" s="22">
        <v>4423</v>
      </c>
      <c r="S153" s="4" t="s">
        <v>116</v>
      </c>
      <c r="T153" s="4" t="s">
        <v>404</v>
      </c>
      <c r="U153" s="44">
        <v>40952</v>
      </c>
      <c r="V153" s="4"/>
      <c r="W153" s="127"/>
      <c r="X153" s="74"/>
      <c r="Y153" s="28" t="e">
        <v>#REF!</v>
      </c>
      <c r="Z153" s="9"/>
      <c r="AA153" s="24" t="s">
        <v>393</v>
      </c>
      <c r="AB153" s="28">
        <v>40939</v>
      </c>
    </row>
    <row r="154" spans="1:28" ht="14.25" customHeight="1" x14ac:dyDescent="0.4">
      <c r="A154">
        <v>136</v>
      </c>
      <c r="B154" s="22">
        <v>0</v>
      </c>
      <c r="C154" s="22" t="s">
        <v>2165</v>
      </c>
      <c r="D154" s="22">
        <v>0</v>
      </c>
      <c r="E154" s="24">
        <v>40886</v>
      </c>
      <c r="F154" s="24" t="s">
        <v>393</v>
      </c>
      <c r="G154" s="24">
        <v>40890</v>
      </c>
      <c r="H154" s="37">
        <v>333</v>
      </c>
      <c r="I154" s="23">
        <v>40878</v>
      </c>
      <c r="J154" s="37">
        <v>23</v>
      </c>
      <c r="K154" s="24" t="s">
        <v>2129</v>
      </c>
      <c r="L154" s="24">
        <v>0</v>
      </c>
      <c r="M154" s="24">
        <v>40660</v>
      </c>
      <c r="N154" s="22" t="s">
        <v>1366</v>
      </c>
      <c r="O154" s="4">
        <v>9120141</v>
      </c>
      <c r="P154" s="22">
        <v>1020</v>
      </c>
      <c r="Q154" s="22">
        <v>42</v>
      </c>
      <c r="R154" s="22">
        <v>4424</v>
      </c>
      <c r="S154" s="4" t="s">
        <v>1840</v>
      </c>
      <c r="T154" s="4" t="s">
        <v>404</v>
      </c>
      <c r="U154" s="44">
        <v>40975</v>
      </c>
      <c r="V154" s="4"/>
      <c r="W154" s="127"/>
      <c r="X154" s="74"/>
      <c r="Y154" s="28" t="e">
        <v>#REF!</v>
      </c>
      <c r="Z154" s="28"/>
      <c r="AA154" s="24" t="s">
        <v>393</v>
      </c>
      <c r="AB154" s="28">
        <v>40890</v>
      </c>
    </row>
    <row r="155" spans="1:28" ht="14.25" customHeight="1" x14ac:dyDescent="0.4">
      <c r="A155">
        <v>137</v>
      </c>
      <c r="B155" s="22">
        <v>0</v>
      </c>
      <c r="C155" s="22" t="s">
        <v>2102</v>
      </c>
      <c r="D155" s="22">
        <v>0</v>
      </c>
      <c r="E155" s="24">
        <v>40886</v>
      </c>
      <c r="F155" s="24" t="s">
        <v>393</v>
      </c>
      <c r="G155" s="24">
        <v>40897</v>
      </c>
      <c r="H155" s="37">
        <v>334</v>
      </c>
      <c r="I155" s="23">
        <v>40878</v>
      </c>
      <c r="J155" s="37">
        <v>24</v>
      </c>
      <c r="K155" s="24" t="s">
        <v>2129</v>
      </c>
      <c r="L155" s="24">
        <v>0</v>
      </c>
      <c r="M155" s="24">
        <v>40660</v>
      </c>
      <c r="N155" s="22" t="s">
        <v>1366</v>
      </c>
      <c r="O155" s="4">
        <v>9120142</v>
      </c>
      <c r="P155" s="22">
        <v>1020</v>
      </c>
      <c r="Q155" s="22">
        <v>42</v>
      </c>
      <c r="R155" s="22">
        <v>4437</v>
      </c>
      <c r="S155" s="4" t="s">
        <v>1841</v>
      </c>
      <c r="T155" s="4" t="s">
        <v>404</v>
      </c>
      <c r="U155" s="44">
        <v>40976</v>
      </c>
      <c r="V155" s="4"/>
      <c r="W155" s="127"/>
      <c r="X155" s="74"/>
      <c r="Y155" s="28" t="e">
        <v>#REF!</v>
      </c>
      <c r="Z155" s="9"/>
      <c r="AA155" s="24" t="s">
        <v>393</v>
      </c>
      <c r="AB155" s="28">
        <v>40897</v>
      </c>
    </row>
    <row r="156" spans="1:28" ht="14.25" customHeight="1" x14ac:dyDescent="0.4">
      <c r="A156">
        <v>138</v>
      </c>
      <c r="B156" s="22">
        <v>0</v>
      </c>
      <c r="C156" s="22">
        <v>0</v>
      </c>
      <c r="D156" s="22">
        <v>0</v>
      </c>
      <c r="E156" s="24">
        <v>40780</v>
      </c>
      <c r="F156" s="24" t="s">
        <v>393</v>
      </c>
      <c r="G156" s="24">
        <v>40786</v>
      </c>
      <c r="H156" s="37">
        <v>107</v>
      </c>
      <c r="I156" s="23">
        <v>40756</v>
      </c>
      <c r="J156" s="37">
        <v>52</v>
      </c>
      <c r="K156" s="24" t="s">
        <v>2129</v>
      </c>
      <c r="L156" s="24">
        <v>0</v>
      </c>
      <c r="M156" s="24">
        <v>40660</v>
      </c>
      <c r="N156" s="22" t="s">
        <v>1366</v>
      </c>
      <c r="O156" s="4">
        <v>9120112</v>
      </c>
      <c r="P156" s="22">
        <v>1220</v>
      </c>
      <c r="Q156" s="22">
        <v>50</v>
      </c>
      <c r="R156" s="22" t="s">
        <v>2611</v>
      </c>
      <c r="S156" s="4" t="s">
        <v>619</v>
      </c>
      <c r="T156" s="4" t="s">
        <v>404</v>
      </c>
      <c r="U156" s="42">
        <v>41009</v>
      </c>
      <c r="V156" s="4"/>
      <c r="W156" s="28"/>
      <c r="X156" s="74"/>
      <c r="Y156" s="28" t="e">
        <v>#REF!</v>
      </c>
      <c r="Z156" s="28"/>
      <c r="AA156" s="24" t="s">
        <v>393</v>
      </c>
      <c r="AB156" s="28">
        <v>40786</v>
      </c>
    </row>
    <row r="157" spans="1:28" ht="14.25" customHeight="1" x14ac:dyDescent="0.4">
      <c r="A157">
        <v>139</v>
      </c>
      <c r="B157" s="22">
        <v>0</v>
      </c>
      <c r="C157" s="22">
        <v>0</v>
      </c>
      <c r="D157" s="22">
        <v>0</v>
      </c>
      <c r="E157" s="24">
        <v>40947</v>
      </c>
      <c r="F157" s="24" t="s">
        <v>393</v>
      </c>
      <c r="G157" s="24">
        <v>40966</v>
      </c>
      <c r="H157" s="37">
        <v>450</v>
      </c>
      <c r="I157" s="23">
        <v>40940</v>
      </c>
      <c r="J157" s="37">
        <v>20</v>
      </c>
      <c r="K157" s="24" t="s">
        <v>2129</v>
      </c>
      <c r="L157" s="24">
        <v>0</v>
      </c>
      <c r="M157" s="24">
        <v>40660</v>
      </c>
      <c r="N157" s="22" t="s">
        <v>1366</v>
      </c>
      <c r="O157" s="4">
        <v>9120113</v>
      </c>
      <c r="P157" s="22">
        <v>1220</v>
      </c>
      <c r="Q157" s="22">
        <v>50</v>
      </c>
      <c r="R157" s="22">
        <v>4395</v>
      </c>
      <c r="S157" s="4"/>
      <c r="T157" s="4" t="s">
        <v>404</v>
      </c>
      <c r="U157" s="44">
        <v>41074</v>
      </c>
      <c r="V157" s="4"/>
      <c r="W157" s="9"/>
      <c r="Y157" s="28" t="e">
        <v>#REF!</v>
      </c>
      <c r="Z157" s="28"/>
      <c r="AA157" s="24" t="s">
        <v>393</v>
      </c>
      <c r="AB157" s="28">
        <v>40966</v>
      </c>
    </row>
    <row r="158" spans="1:28" ht="14.25" customHeight="1" x14ac:dyDescent="0.4">
      <c r="A158">
        <v>140</v>
      </c>
      <c r="B158" s="24">
        <v>40919</v>
      </c>
      <c r="C158" s="24">
        <v>40919</v>
      </c>
      <c r="D158" s="24">
        <v>40919</v>
      </c>
      <c r="E158" s="24">
        <v>40919</v>
      </c>
      <c r="F158" s="24" t="s">
        <v>393</v>
      </c>
      <c r="G158" s="24">
        <v>40935</v>
      </c>
      <c r="H158" s="37">
        <v>391</v>
      </c>
      <c r="I158" s="23">
        <v>40909</v>
      </c>
      <c r="J158" s="37">
        <v>24</v>
      </c>
      <c r="K158" s="24" t="s">
        <v>2129</v>
      </c>
      <c r="L158" s="24">
        <v>0</v>
      </c>
      <c r="M158" s="24">
        <v>40750</v>
      </c>
      <c r="N158" s="22" t="s">
        <v>1366</v>
      </c>
      <c r="O158" s="4">
        <v>9120443</v>
      </c>
      <c r="P158" s="22">
        <v>720</v>
      </c>
      <c r="Q158" s="22">
        <v>42</v>
      </c>
      <c r="R158" s="22" t="s">
        <v>2612</v>
      </c>
      <c r="S158" s="3" t="s">
        <v>2073</v>
      </c>
      <c r="T158" s="4" t="s">
        <v>404</v>
      </c>
      <c r="U158" s="164">
        <v>40891</v>
      </c>
      <c r="V158" s="4"/>
      <c r="Y158" s="28" t="e">
        <v>#REF!</v>
      </c>
      <c r="AA158" s="24" t="s">
        <v>393</v>
      </c>
      <c r="AB158" s="28">
        <v>40935</v>
      </c>
    </row>
    <row r="159" spans="1:28" ht="14.25" customHeight="1" x14ac:dyDescent="0.4">
      <c r="A159">
        <v>141</v>
      </c>
      <c r="B159" s="24">
        <v>40920</v>
      </c>
      <c r="C159" s="24">
        <v>40920</v>
      </c>
      <c r="D159" s="24">
        <v>40920</v>
      </c>
      <c r="E159" s="24">
        <v>40920</v>
      </c>
      <c r="F159" s="24" t="s">
        <v>393</v>
      </c>
      <c r="G159" s="24">
        <v>40926</v>
      </c>
      <c r="H159" s="37">
        <v>392</v>
      </c>
      <c r="I159" s="23">
        <v>40909</v>
      </c>
      <c r="J159" s="37">
        <v>25</v>
      </c>
      <c r="K159" s="24" t="s">
        <v>2129</v>
      </c>
      <c r="L159" s="24">
        <v>0</v>
      </c>
      <c r="M159" s="24">
        <v>40750</v>
      </c>
      <c r="N159" s="22" t="s">
        <v>1366</v>
      </c>
      <c r="O159" s="4">
        <v>9120444</v>
      </c>
      <c r="P159" s="22">
        <v>720</v>
      </c>
      <c r="Q159" s="22">
        <v>42</v>
      </c>
      <c r="R159" s="22">
        <v>5362</v>
      </c>
      <c r="S159" s="3" t="s">
        <v>1649</v>
      </c>
      <c r="T159" s="4" t="s">
        <v>404</v>
      </c>
      <c r="U159" s="164">
        <v>41015</v>
      </c>
      <c r="V159" s="4"/>
      <c r="Y159" s="28" t="e">
        <v>#REF!</v>
      </c>
      <c r="AA159" s="24" t="s">
        <v>393</v>
      </c>
      <c r="AB159" s="28">
        <v>40926</v>
      </c>
    </row>
    <row r="160" spans="1:28" ht="14.25" customHeight="1" x14ac:dyDescent="0.4">
      <c r="A160">
        <v>142</v>
      </c>
      <c r="B160" s="24">
        <v>40935</v>
      </c>
      <c r="C160" s="24">
        <v>40935</v>
      </c>
      <c r="D160" s="24">
        <v>40935</v>
      </c>
      <c r="E160" s="24">
        <v>40935</v>
      </c>
      <c r="F160" s="24" t="s">
        <v>393</v>
      </c>
      <c r="G160" s="24">
        <v>40939</v>
      </c>
      <c r="H160" s="37">
        <v>426</v>
      </c>
      <c r="I160" s="23">
        <v>40909</v>
      </c>
      <c r="J160" s="37">
        <v>59</v>
      </c>
      <c r="K160" s="24" t="s">
        <v>2129</v>
      </c>
      <c r="L160" s="24">
        <v>0</v>
      </c>
      <c r="M160" s="24">
        <v>40750</v>
      </c>
      <c r="N160" s="22" t="s">
        <v>1366</v>
      </c>
      <c r="O160" s="4">
        <v>9120445</v>
      </c>
      <c r="P160" s="22">
        <v>720</v>
      </c>
      <c r="Q160" s="22">
        <v>42</v>
      </c>
      <c r="R160" s="22">
        <v>5363</v>
      </c>
      <c r="S160" s="3" t="s">
        <v>472</v>
      </c>
      <c r="T160" s="4" t="s">
        <v>404</v>
      </c>
      <c r="U160" s="164">
        <v>41156</v>
      </c>
      <c r="V160" s="4"/>
      <c r="Y160" s="28" t="e">
        <v>#REF!</v>
      </c>
      <c r="AA160" s="24" t="s">
        <v>393</v>
      </c>
      <c r="AB160" s="28">
        <v>40939</v>
      </c>
    </row>
    <row r="161" spans="1:28" ht="14.25" customHeight="1" x14ac:dyDescent="0.4">
      <c r="A161">
        <v>143</v>
      </c>
      <c r="B161" s="24">
        <v>40935</v>
      </c>
      <c r="C161" s="24">
        <v>40935</v>
      </c>
      <c r="D161" s="24">
        <v>40935</v>
      </c>
      <c r="E161" s="24">
        <v>40935</v>
      </c>
      <c r="F161" s="24" t="s">
        <v>393</v>
      </c>
      <c r="G161" s="24">
        <v>40939</v>
      </c>
      <c r="H161" s="37">
        <v>427</v>
      </c>
      <c r="I161" s="23">
        <v>40909</v>
      </c>
      <c r="J161" s="37">
        <v>60</v>
      </c>
      <c r="K161" s="24" t="s">
        <v>2129</v>
      </c>
      <c r="L161" s="24">
        <v>0</v>
      </c>
      <c r="M161" s="24">
        <v>40750</v>
      </c>
      <c r="N161" s="22" t="s">
        <v>1366</v>
      </c>
      <c r="O161" s="4">
        <v>9120446</v>
      </c>
      <c r="P161" s="22">
        <v>720</v>
      </c>
      <c r="Q161" s="22">
        <v>42</v>
      </c>
      <c r="R161" s="22">
        <v>5364</v>
      </c>
      <c r="S161" s="3" t="s">
        <v>1650</v>
      </c>
      <c r="T161" s="4" t="s">
        <v>404</v>
      </c>
      <c r="U161" s="164">
        <v>41019</v>
      </c>
      <c r="V161" s="4"/>
      <c r="Y161" s="28" t="e">
        <v>#REF!</v>
      </c>
      <c r="AA161" s="24" t="s">
        <v>393</v>
      </c>
      <c r="AB161" s="28">
        <v>40939</v>
      </c>
    </row>
    <row r="162" spans="1:28" ht="14.25" customHeight="1" x14ac:dyDescent="0.4">
      <c r="A162">
        <v>144</v>
      </c>
      <c r="B162" s="24">
        <v>40989</v>
      </c>
      <c r="C162" s="24">
        <v>40989</v>
      </c>
      <c r="D162" s="24">
        <v>40989</v>
      </c>
      <c r="E162" s="24">
        <v>40989</v>
      </c>
      <c r="F162" s="24" t="s">
        <v>393</v>
      </c>
      <c r="G162" s="24">
        <v>40997</v>
      </c>
      <c r="H162" s="23">
        <v>524</v>
      </c>
      <c r="I162" s="23">
        <v>40969</v>
      </c>
      <c r="J162" s="37">
        <v>31</v>
      </c>
      <c r="K162" s="24" t="s">
        <v>2129</v>
      </c>
      <c r="L162" s="24">
        <v>41000</v>
      </c>
      <c r="M162" s="24">
        <v>40926</v>
      </c>
      <c r="N162" s="22" t="s">
        <v>1366</v>
      </c>
      <c r="O162" s="4">
        <v>9120538</v>
      </c>
      <c r="P162" s="22">
        <v>1020</v>
      </c>
      <c r="Q162" s="22">
        <v>42</v>
      </c>
      <c r="R162" s="22" t="s">
        <v>2613</v>
      </c>
      <c r="S162" s="3" t="s">
        <v>1818</v>
      </c>
      <c r="T162" s="4" t="s">
        <v>404</v>
      </c>
      <c r="U162" s="164">
        <v>41001</v>
      </c>
      <c r="V162" s="4"/>
      <c r="Y162" s="28" t="e">
        <v>#REF!</v>
      </c>
      <c r="AA162" s="24" t="s">
        <v>393</v>
      </c>
      <c r="AB162" s="28">
        <v>40997</v>
      </c>
    </row>
    <row r="163" spans="1:28" ht="14.25" customHeight="1" x14ac:dyDescent="0.4">
      <c r="A163">
        <v>145</v>
      </c>
      <c r="B163" s="24">
        <v>40259</v>
      </c>
      <c r="C163" s="24">
        <v>40259</v>
      </c>
      <c r="D163" s="24">
        <v>40259</v>
      </c>
      <c r="E163" s="24">
        <v>40259</v>
      </c>
      <c r="F163" s="24" t="s">
        <v>393</v>
      </c>
      <c r="G163" s="24">
        <v>40997</v>
      </c>
      <c r="H163" s="23">
        <v>525</v>
      </c>
      <c r="I163" s="23">
        <v>40969</v>
      </c>
      <c r="J163" s="37">
        <v>32</v>
      </c>
      <c r="K163" s="24" t="s">
        <v>2129</v>
      </c>
      <c r="L163" s="24">
        <v>41000</v>
      </c>
      <c r="M163" s="24">
        <v>40926</v>
      </c>
      <c r="N163" s="22" t="s">
        <v>1366</v>
      </c>
      <c r="O163" s="4">
        <v>9120539</v>
      </c>
      <c r="P163" s="22">
        <v>1020</v>
      </c>
      <c r="Q163" s="22">
        <v>42</v>
      </c>
      <c r="R163" s="22" t="s">
        <v>2614</v>
      </c>
      <c r="S163" s="3" t="s">
        <v>86</v>
      </c>
      <c r="T163" s="4" t="s">
        <v>404</v>
      </c>
      <c r="U163" s="164">
        <v>41061</v>
      </c>
      <c r="V163" s="4"/>
      <c r="Y163" s="28" t="e">
        <v>#REF!</v>
      </c>
      <c r="AA163" s="24" t="s">
        <v>393</v>
      </c>
      <c r="AB163" s="28">
        <v>40997</v>
      </c>
    </row>
    <row r="164" spans="1:28" ht="14.25" customHeight="1" x14ac:dyDescent="0.4">
      <c r="A164">
        <v>146</v>
      </c>
      <c r="B164" s="22">
        <v>0</v>
      </c>
      <c r="C164" s="22">
        <v>0</v>
      </c>
      <c r="D164" s="22">
        <v>0</v>
      </c>
      <c r="E164" s="24">
        <v>40995</v>
      </c>
      <c r="F164" s="24" t="s">
        <v>393</v>
      </c>
      <c r="G164" s="24">
        <v>41002</v>
      </c>
      <c r="H164" s="37">
        <v>529</v>
      </c>
      <c r="I164" s="23">
        <v>40969</v>
      </c>
      <c r="J164" s="37">
        <v>36</v>
      </c>
      <c r="K164" s="24" t="s">
        <v>2129</v>
      </c>
      <c r="L164" s="24">
        <v>41000</v>
      </c>
      <c r="M164" s="24">
        <v>40947</v>
      </c>
      <c r="N164" s="22" t="s">
        <v>1366</v>
      </c>
      <c r="O164" s="4">
        <v>9120555</v>
      </c>
      <c r="P164" s="22">
        <v>1020</v>
      </c>
      <c r="Q164" s="22">
        <v>50</v>
      </c>
      <c r="R164" s="22" t="s">
        <v>2615</v>
      </c>
      <c r="T164" s="3" t="s">
        <v>404</v>
      </c>
      <c r="U164" s="164">
        <v>41074</v>
      </c>
      <c r="Y164" s="28" t="e">
        <v>#REF!</v>
      </c>
      <c r="AA164" s="24" t="s">
        <v>393</v>
      </c>
      <c r="AB164" s="28">
        <v>41002</v>
      </c>
    </row>
    <row r="165" spans="1:28" ht="14.25" customHeight="1" x14ac:dyDescent="0.4">
      <c r="A165">
        <v>147</v>
      </c>
      <c r="B165" s="22">
        <v>0</v>
      </c>
      <c r="C165" s="22">
        <v>0</v>
      </c>
      <c r="D165" s="22">
        <v>0</v>
      </c>
      <c r="E165" s="24">
        <v>41010</v>
      </c>
      <c r="F165" s="24" t="s">
        <v>393</v>
      </c>
      <c r="G165" s="24">
        <v>41016</v>
      </c>
      <c r="H165" s="37">
        <v>545</v>
      </c>
      <c r="I165" s="23">
        <v>41000</v>
      </c>
      <c r="J165" s="37">
        <v>5</v>
      </c>
      <c r="K165" s="24" t="s">
        <v>2129</v>
      </c>
      <c r="L165" s="24">
        <v>41000</v>
      </c>
      <c r="M165" s="24">
        <v>40967</v>
      </c>
      <c r="N165" s="22" t="s">
        <v>1366</v>
      </c>
      <c r="O165" s="4">
        <v>9120563</v>
      </c>
      <c r="P165" s="22">
        <v>1020</v>
      </c>
      <c r="Q165" s="22">
        <v>50</v>
      </c>
      <c r="R165" s="22" t="s">
        <v>2616</v>
      </c>
      <c r="S165" s="3" t="s">
        <v>1864</v>
      </c>
      <c r="T165" s="3" t="s">
        <v>404</v>
      </c>
      <c r="U165" s="164">
        <v>41078</v>
      </c>
      <c r="Y165" s="28" t="e">
        <v>#REF!</v>
      </c>
      <c r="AA165" s="24" t="s">
        <v>393</v>
      </c>
      <c r="AB165" s="28">
        <v>41016</v>
      </c>
    </row>
    <row r="166" spans="1:28" ht="14.25" customHeight="1" x14ac:dyDescent="0.4">
      <c r="A166">
        <v>148</v>
      </c>
      <c r="B166" s="22">
        <v>0</v>
      </c>
      <c r="C166" s="22">
        <v>0</v>
      </c>
      <c r="D166" s="22">
        <v>0</v>
      </c>
      <c r="E166" s="24">
        <v>41010</v>
      </c>
      <c r="F166" s="24" t="s">
        <v>393</v>
      </c>
      <c r="G166" s="24">
        <v>41023</v>
      </c>
      <c r="H166" s="37">
        <v>546</v>
      </c>
      <c r="I166" s="23">
        <v>41000</v>
      </c>
      <c r="J166" s="37">
        <v>6</v>
      </c>
      <c r="K166" s="24" t="s">
        <v>2129</v>
      </c>
      <c r="L166" s="24">
        <v>41000</v>
      </c>
      <c r="M166" s="24">
        <v>40967</v>
      </c>
      <c r="N166" s="22" t="s">
        <v>1366</v>
      </c>
      <c r="O166" s="4">
        <v>9120564</v>
      </c>
      <c r="P166" s="22">
        <v>1020</v>
      </c>
      <c r="Q166" s="22">
        <v>50</v>
      </c>
      <c r="R166" s="22" t="s">
        <v>2616</v>
      </c>
      <c r="S166" s="3" t="s">
        <v>1552</v>
      </c>
      <c r="T166" s="3" t="s">
        <v>404</v>
      </c>
      <c r="U166" s="164">
        <v>41100</v>
      </c>
      <c r="Y166" s="28" t="e">
        <v>#REF!</v>
      </c>
      <c r="AA166" s="24" t="s">
        <v>393</v>
      </c>
      <c r="AB166" s="28">
        <v>41023</v>
      </c>
    </row>
    <row r="167" spans="1:28" ht="14.25" customHeight="1" x14ac:dyDescent="0.4">
      <c r="A167">
        <v>583</v>
      </c>
      <c r="B167" s="22">
        <v>0</v>
      </c>
      <c r="C167" s="22" t="s">
        <v>2165</v>
      </c>
      <c r="D167" s="22">
        <v>0</v>
      </c>
      <c r="E167" s="24">
        <v>41036</v>
      </c>
      <c r="F167" s="24" t="s">
        <v>393</v>
      </c>
      <c r="G167" s="24">
        <v>41060</v>
      </c>
      <c r="H167" s="37">
        <v>574</v>
      </c>
      <c r="I167" s="23">
        <v>41030</v>
      </c>
      <c r="J167" s="37">
        <v>5</v>
      </c>
      <c r="K167" s="24" t="s">
        <v>2129</v>
      </c>
      <c r="L167" s="24">
        <v>0</v>
      </c>
      <c r="M167" s="24">
        <v>41023</v>
      </c>
      <c r="N167" s="22" t="s">
        <v>1366</v>
      </c>
      <c r="O167" s="4">
        <v>9120583</v>
      </c>
      <c r="P167" s="22">
        <v>1020</v>
      </c>
      <c r="Q167" s="22">
        <v>42</v>
      </c>
      <c r="R167" s="22" t="s">
        <v>2617</v>
      </c>
      <c r="S167" s="3" t="s">
        <v>260</v>
      </c>
      <c r="T167" s="3" t="s">
        <v>404</v>
      </c>
      <c r="U167" s="164">
        <v>41108</v>
      </c>
      <c r="AA167" s="24" t="s">
        <v>393</v>
      </c>
      <c r="AB167" s="28">
        <v>41060</v>
      </c>
    </row>
    <row r="168" spans="1:28" ht="14.25" customHeight="1" x14ac:dyDescent="0.4">
      <c r="A168">
        <v>584</v>
      </c>
      <c r="B168" s="22">
        <v>0</v>
      </c>
      <c r="C168" s="22">
        <v>0</v>
      </c>
      <c r="D168" s="22">
        <v>0</v>
      </c>
      <c r="E168" s="24">
        <v>41036</v>
      </c>
      <c r="F168" s="24" t="s">
        <v>393</v>
      </c>
      <c r="G168" s="24">
        <v>41059</v>
      </c>
      <c r="H168" s="37">
        <v>575</v>
      </c>
      <c r="I168" s="23">
        <v>41030</v>
      </c>
      <c r="J168" s="37">
        <v>6</v>
      </c>
      <c r="K168" s="24" t="s">
        <v>2129</v>
      </c>
      <c r="L168" s="24">
        <v>0</v>
      </c>
      <c r="M168" s="24">
        <v>41023</v>
      </c>
      <c r="N168" s="22" t="s">
        <v>1366</v>
      </c>
      <c r="O168" s="4">
        <v>9120584</v>
      </c>
      <c r="P168" s="22">
        <v>1020</v>
      </c>
      <c r="Q168" s="22">
        <v>42</v>
      </c>
      <c r="R168" s="22" t="s">
        <v>2618</v>
      </c>
      <c r="S168" s="3" t="s">
        <v>473</v>
      </c>
      <c r="T168" s="3" t="s">
        <v>404</v>
      </c>
      <c r="U168" s="13">
        <v>41159</v>
      </c>
      <c r="AA168" s="24" t="s">
        <v>393</v>
      </c>
      <c r="AB168" s="28">
        <v>41059</v>
      </c>
    </row>
    <row r="169" spans="1:28" ht="14.25" customHeight="1" x14ac:dyDescent="0.4">
      <c r="A169">
        <v>608</v>
      </c>
      <c r="B169" s="22">
        <v>0</v>
      </c>
      <c r="C169" s="22">
        <v>0</v>
      </c>
      <c r="D169" s="22">
        <v>0</v>
      </c>
      <c r="E169" s="24">
        <v>41086</v>
      </c>
      <c r="F169" s="24" t="s">
        <v>393</v>
      </c>
      <c r="G169" s="24">
        <v>41096</v>
      </c>
      <c r="H169" s="37">
        <v>607</v>
      </c>
      <c r="I169" s="23">
        <v>41061</v>
      </c>
      <c r="J169" s="37">
        <v>17</v>
      </c>
      <c r="K169" s="24" t="s">
        <v>2129</v>
      </c>
      <c r="L169" s="24">
        <v>0</v>
      </c>
      <c r="M169" s="24">
        <v>41079</v>
      </c>
      <c r="N169" s="22" t="s">
        <v>1366</v>
      </c>
      <c r="O169" s="4">
        <v>9120608</v>
      </c>
      <c r="P169" s="22">
        <v>1020</v>
      </c>
      <c r="Q169" s="22">
        <v>50</v>
      </c>
      <c r="R169" s="22">
        <v>0</v>
      </c>
      <c r="S169" s="3" t="s">
        <v>474</v>
      </c>
      <c r="T169" s="3" t="s">
        <v>404</v>
      </c>
      <c r="U169" s="13">
        <v>41156</v>
      </c>
      <c r="AA169" s="24" t="s">
        <v>393</v>
      </c>
      <c r="AB169" s="28">
        <v>41096</v>
      </c>
    </row>
    <row r="170" spans="1:28" ht="14.25" customHeight="1" x14ac:dyDescent="0.4">
      <c r="A170">
        <v>609</v>
      </c>
      <c r="B170" s="22">
        <v>0</v>
      </c>
      <c r="C170" s="22">
        <v>0</v>
      </c>
      <c r="D170" s="22">
        <v>0</v>
      </c>
      <c r="E170" s="24">
        <v>41087</v>
      </c>
      <c r="F170" s="24" t="s">
        <v>393</v>
      </c>
      <c r="G170" s="24">
        <v>41096</v>
      </c>
      <c r="H170" s="37">
        <v>608</v>
      </c>
      <c r="I170" s="23">
        <v>41061</v>
      </c>
      <c r="J170" s="37">
        <v>18</v>
      </c>
      <c r="K170" s="24" t="s">
        <v>2129</v>
      </c>
      <c r="L170" s="24">
        <v>0</v>
      </c>
      <c r="M170" s="24">
        <v>41079</v>
      </c>
      <c r="N170" s="22" t="s">
        <v>1366</v>
      </c>
      <c r="O170" s="4">
        <v>9120609</v>
      </c>
      <c r="P170" s="22">
        <v>1020</v>
      </c>
      <c r="Q170" s="22">
        <v>50</v>
      </c>
      <c r="R170" s="22">
        <v>0</v>
      </c>
      <c r="S170" s="3" t="s">
        <v>475</v>
      </c>
      <c r="T170" s="3" t="s">
        <v>404</v>
      </c>
      <c r="U170" s="13">
        <v>41159</v>
      </c>
      <c r="AA170" s="24" t="s">
        <v>393</v>
      </c>
      <c r="AB170" s="28">
        <v>41096</v>
      </c>
    </row>
    <row r="171" spans="1:28" ht="14.25" customHeight="1" x14ac:dyDescent="0.4">
      <c r="A171">
        <v>149</v>
      </c>
      <c r="B171" s="24">
        <v>40744</v>
      </c>
      <c r="C171" s="24">
        <v>40744</v>
      </c>
      <c r="D171" s="24">
        <v>40744</v>
      </c>
      <c r="E171" s="24">
        <v>40744</v>
      </c>
      <c r="F171" s="24" t="s">
        <v>393</v>
      </c>
      <c r="G171" s="24">
        <v>40760</v>
      </c>
      <c r="H171" s="37">
        <v>32</v>
      </c>
      <c r="I171" s="23">
        <v>40725</v>
      </c>
      <c r="J171" s="37">
        <v>32</v>
      </c>
      <c r="K171" s="24" t="s">
        <v>2129</v>
      </c>
      <c r="L171" s="24">
        <v>0</v>
      </c>
      <c r="M171" s="24">
        <v>40674</v>
      </c>
      <c r="N171" s="22" t="s">
        <v>669</v>
      </c>
      <c r="O171" s="4">
        <v>9120335</v>
      </c>
      <c r="P171" s="22">
        <v>720</v>
      </c>
      <c r="Q171" s="22">
        <v>42</v>
      </c>
      <c r="R171" s="22" t="s">
        <v>2619</v>
      </c>
      <c r="S171" s="38" t="s">
        <v>1404</v>
      </c>
      <c r="T171" s="4" t="s">
        <v>404</v>
      </c>
      <c r="U171" s="44">
        <v>40913</v>
      </c>
      <c r="V171" s="4"/>
      <c r="W171" s="9"/>
      <c r="X171" s="74">
        <v>0</v>
      </c>
      <c r="Y171" s="28" t="e">
        <v>#REF!</v>
      </c>
      <c r="Z171" s="4"/>
      <c r="AA171" s="24" t="s">
        <v>393</v>
      </c>
      <c r="AB171" s="28">
        <v>40760</v>
      </c>
    </row>
    <row r="172" spans="1:28" ht="14.25" customHeight="1" x14ac:dyDescent="0.4">
      <c r="A172">
        <v>150</v>
      </c>
      <c r="B172" s="24">
        <v>40744</v>
      </c>
      <c r="C172" s="24">
        <v>40744</v>
      </c>
      <c r="D172" s="24">
        <v>40744</v>
      </c>
      <c r="E172" s="24">
        <v>40744</v>
      </c>
      <c r="F172" s="24" t="s">
        <v>393</v>
      </c>
      <c r="G172" s="24">
        <v>40753</v>
      </c>
      <c r="H172" s="37">
        <v>33</v>
      </c>
      <c r="I172" s="23">
        <v>40725</v>
      </c>
      <c r="J172" s="37">
        <v>33</v>
      </c>
      <c r="K172" s="24" t="s">
        <v>2129</v>
      </c>
      <c r="L172" s="24">
        <v>40725</v>
      </c>
      <c r="M172" s="24">
        <v>40674</v>
      </c>
      <c r="N172" s="22" t="s">
        <v>669</v>
      </c>
      <c r="O172" s="4">
        <v>9120336</v>
      </c>
      <c r="P172" s="22">
        <v>720</v>
      </c>
      <c r="Q172" s="22">
        <v>42</v>
      </c>
      <c r="R172" s="22" t="s">
        <v>2620</v>
      </c>
      <c r="S172" s="3" t="s">
        <v>2040</v>
      </c>
      <c r="T172" s="4" t="s">
        <v>404</v>
      </c>
      <c r="U172" s="42">
        <v>40907</v>
      </c>
      <c r="V172" s="4"/>
      <c r="W172" s="48"/>
      <c r="X172" s="74"/>
      <c r="Y172" s="28" t="e">
        <v>#REF!</v>
      </c>
      <c r="Z172" s="28"/>
      <c r="AA172" s="24" t="s">
        <v>393</v>
      </c>
      <c r="AB172" s="28">
        <v>40753</v>
      </c>
    </row>
    <row r="173" spans="1:28" ht="14.25" customHeight="1" x14ac:dyDescent="0.4">
      <c r="A173">
        <v>151</v>
      </c>
      <c r="B173" s="22">
        <v>0</v>
      </c>
      <c r="C173" s="22">
        <v>0</v>
      </c>
      <c r="D173" s="22">
        <v>0</v>
      </c>
      <c r="E173" s="24">
        <v>40808</v>
      </c>
      <c r="F173" s="24" t="s">
        <v>393</v>
      </c>
      <c r="G173" s="24">
        <v>40812</v>
      </c>
      <c r="H173" s="37">
        <v>165</v>
      </c>
      <c r="I173" s="23">
        <v>40787</v>
      </c>
      <c r="J173" s="37">
        <v>41</v>
      </c>
      <c r="K173" s="24" t="s">
        <v>2129</v>
      </c>
      <c r="L173" s="24">
        <v>40787</v>
      </c>
      <c r="M173" s="24">
        <v>40665</v>
      </c>
      <c r="N173" s="22" t="s">
        <v>669</v>
      </c>
      <c r="O173" s="4">
        <v>9120337</v>
      </c>
      <c r="P173" s="22">
        <v>1020</v>
      </c>
      <c r="Q173" s="22">
        <v>42</v>
      </c>
      <c r="R173" s="22" t="s">
        <v>2621</v>
      </c>
      <c r="S173" s="102" t="s">
        <v>338</v>
      </c>
      <c r="T173" s="4" t="s">
        <v>404</v>
      </c>
      <c r="U173" s="94">
        <v>40787</v>
      </c>
      <c r="V173" s="4"/>
      <c r="W173" s="92"/>
      <c r="X173" s="74"/>
      <c r="Y173" s="28" t="e">
        <v>#REF!</v>
      </c>
      <c r="Z173" s="28"/>
      <c r="AA173" s="24" t="s">
        <v>393</v>
      </c>
      <c r="AB173" s="28">
        <v>40812</v>
      </c>
    </row>
    <row r="174" spans="1:28" ht="14.25" customHeight="1" x14ac:dyDescent="0.4">
      <c r="A174">
        <v>152</v>
      </c>
      <c r="B174" s="22">
        <v>0</v>
      </c>
      <c r="C174" s="22">
        <v>0</v>
      </c>
      <c r="D174" s="22">
        <v>0</v>
      </c>
      <c r="E174" s="24">
        <v>40809</v>
      </c>
      <c r="F174" s="24" t="s">
        <v>393</v>
      </c>
      <c r="G174" s="24">
        <v>40812</v>
      </c>
      <c r="H174" s="37">
        <v>166</v>
      </c>
      <c r="I174" s="23">
        <v>40787</v>
      </c>
      <c r="J174" s="37">
        <v>42</v>
      </c>
      <c r="K174" s="24" t="s">
        <v>2129</v>
      </c>
      <c r="L174" s="24">
        <v>40788</v>
      </c>
      <c r="M174" s="24">
        <v>40665</v>
      </c>
      <c r="N174" s="22" t="s">
        <v>669</v>
      </c>
      <c r="O174" s="4">
        <v>9120338</v>
      </c>
      <c r="P174" s="22">
        <v>1020</v>
      </c>
      <c r="Q174" s="22">
        <v>42</v>
      </c>
      <c r="R174" s="22">
        <v>50354</v>
      </c>
      <c r="S174" s="161" t="s">
        <v>1396</v>
      </c>
      <c r="T174" s="11" t="s">
        <v>404</v>
      </c>
      <c r="U174" s="166">
        <v>40904</v>
      </c>
      <c r="V174" s="4"/>
      <c r="W174" s="28"/>
      <c r="X174" s="74"/>
      <c r="Y174" s="28" t="e">
        <v>#REF!</v>
      </c>
      <c r="Z174" s="9"/>
      <c r="AA174" s="24" t="s">
        <v>393</v>
      </c>
      <c r="AB174" s="28">
        <v>40812</v>
      </c>
    </row>
    <row r="175" spans="1:28" ht="14.25" customHeight="1" x14ac:dyDescent="0.4">
      <c r="A175">
        <v>153</v>
      </c>
      <c r="B175" s="22">
        <v>0</v>
      </c>
      <c r="C175" s="22" t="s">
        <v>2165</v>
      </c>
      <c r="D175" s="22">
        <v>0</v>
      </c>
      <c r="E175" s="24">
        <v>40830</v>
      </c>
      <c r="F175" s="24" t="s">
        <v>393</v>
      </c>
      <c r="G175" s="24">
        <v>40830</v>
      </c>
      <c r="H175" s="37">
        <v>214</v>
      </c>
      <c r="I175" s="23">
        <v>40817</v>
      </c>
      <c r="J175" s="37">
        <v>27</v>
      </c>
      <c r="K175" s="24" t="s">
        <v>2129</v>
      </c>
      <c r="L175" s="24">
        <v>40817</v>
      </c>
      <c r="M175" s="24">
        <v>40665</v>
      </c>
      <c r="N175" s="22" t="s">
        <v>669</v>
      </c>
      <c r="O175" s="4">
        <v>9120339</v>
      </c>
      <c r="P175" s="22">
        <v>1020</v>
      </c>
      <c r="Q175" s="22">
        <v>42</v>
      </c>
      <c r="R175" s="22" t="s">
        <v>2622</v>
      </c>
      <c r="S175" s="55" t="s">
        <v>730</v>
      </c>
      <c r="T175" s="4" t="s">
        <v>404</v>
      </c>
      <c r="U175" s="94">
        <v>40800</v>
      </c>
      <c r="V175" s="4"/>
      <c r="W175" s="92"/>
      <c r="X175" s="74"/>
      <c r="Y175" s="28" t="e">
        <v>#REF!</v>
      </c>
      <c r="Z175" s="28"/>
      <c r="AA175" s="24" t="s">
        <v>393</v>
      </c>
      <c r="AB175" s="28">
        <v>40830</v>
      </c>
    </row>
    <row r="176" spans="1:28" ht="14.25" customHeight="1" x14ac:dyDescent="0.4">
      <c r="A176">
        <v>154</v>
      </c>
      <c r="B176" s="22">
        <v>0</v>
      </c>
      <c r="C176" s="22" t="s">
        <v>2102</v>
      </c>
      <c r="D176" s="22">
        <v>0</v>
      </c>
      <c r="E176" s="24">
        <v>40844</v>
      </c>
      <c r="F176" s="24" t="s">
        <v>393</v>
      </c>
      <c r="G176" s="24">
        <v>40848</v>
      </c>
      <c r="H176" s="37">
        <v>249</v>
      </c>
      <c r="I176" s="23">
        <v>40817</v>
      </c>
      <c r="J176" s="37">
        <v>62</v>
      </c>
      <c r="K176" s="24" t="s">
        <v>2129</v>
      </c>
      <c r="L176" s="24">
        <v>40818</v>
      </c>
      <c r="M176" s="24">
        <v>40665</v>
      </c>
      <c r="N176" s="22" t="s">
        <v>669</v>
      </c>
      <c r="O176" s="4">
        <v>9120340</v>
      </c>
      <c r="P176" s="22">
        <v>1020</v>
      </c>
      <c r="Q176" s="22">
        <v>42</v>
      </c>
      <c r="R176" s="22">
        <v>50356</v>
      </c>
      <c r="S176" s="102" t="s">
        <v>1276</v>
      </c>
      <c r="T176" s="4" t="s">
        <v>404</v>
      </c>
      <c r="U176" s="94">
        <v>40950</v>
      </c>
      <c r="V176" s="4"/>
      <c r="W176" s="92"/>
      <c r="X176" s="74"/>
      <c r="Y176" s="28" t="e">
        <v>#REF!</v>
      </c>
      <c r="Z176" s="28"/>
      <c r="AA176" s="24" t="s">
        <v>393</v>
      </c>
      <c r="AB176" s="28">
        <v>40848</v>
      </c>
    </row>
    <row r="177" spans="1:28" ht="14.25" customHeight="1" x14ac:dyDescent="0.4">
      <c r="A177">
        <v>155</v>
      </c>
      <c r="B177" s="22">
        <v>0</v>
      </c>
      <c r="C177" s="22">
        <v>0</v>
      </c>
      <c r="D177" s="22">
        <v>0</v>
      </c>
      <c r="E177" s="24">
        <v>40830</v>
      </c>
      <c r="F177" s="24" t="s">
        <v>393</v>
      </c>
      <c r="G177" s="24">
        <v>40833</v>
      </c>
      <c r="H177" s="37">
        <v>217</v>
      </c>
      <c r="I177" s="23">
        <v>40817</v>
      </c>
      <c r="J177" s="37">
        <v>30</v>
      </c>
      <c r="K177" s="24" t="s">
        <v>2129</v>
      </c>
      <c r="L177" s="24">
        <v>40819</v>
      </c>
      <c r="M177" s="24">
        <v>40665</v>
      </c>
      <c r="N177" s="22" t="s">
        <v>669</v>
      </c>
      <c r="O177" s="4">
        <v>9120341</v>
      </c>
      <c r="P177" s="22">
        <v>1020</v>
      </c>
      <c r="Q177" s="22">
        <v>42</v>
      </c>
      <c r="R177" s="22">
        <v>50357</v>
      </c>
      <c r="S177" s="55" t="s">
        <v>1882</v>
      </c>
      <c r="T177" s="11" t="s">
        <v>404</v>
      </c>
      <c r="U177" s="154">
        <v>40904</v>
      </c>
      <c r="V177" s="4"/>
      <c r="W177" s="92"/>
      <c r="X177" s="74"/>
      <c r="Y177" s="28" t="e">
        <v>#REF!</v>
      </c>
      <c r="Z177" s="28"/>
      <c r="AA177" s="24" t="s">
        <v>393</v>
      </c>
      <c r="AB177" s="28">
        <v>40833</v>
      </c>
    </row>
    <row r="178" spans="1:28" ht="14.25" customHeight="1" x14ac:dyDescent="0.4">
      <c r="A178">
        <v>156</v>
      </c>
      <c r="B178" s="22">
        <v>0</v>
      </c>
      <c r="C178" s="22" t="s">
        <v>2165</v>
      </c>
      <c r="D178" s="22">
        <v>0</v>
      </c>
      <c r="E178" s="24">
        <v>40849</v>
      </c>
      <c r="F178" s="24" t="s">
        <v>393</v>
      </c>
      <c r="G178" s="24">
        <v>40854</v>
      </c>
      <c r="H178" s="37">
        <v>259</v>
      </c>
      <c r="I178" s="23">
        <v>40848</v>
      </c>
      <c r="J178" s="37">
        <v>8</v>
      </c>
      <c r="K178" s="24" t="s">
        <v>2129</v>
      </c>
      <c r="L178" s="36"/>
      <c r="M178" s="24">
        <v>40665</v>
      </c>
      <c r="N178" s="22" t="s">
        <v>669</v>
      </c>
      <c r="O178" s="4">
        <v>9120342</v>
      </c>
      <c r="P178" s="22">
        <v>1020</v>
      </c>
      <c r="Q178" s="22">
        <v>42</v>
      </c>
      <c r="R178" s="22" t="s">
        <v>2623</v>
      </c>
      <c r="S178" s="4" t="s">
        <v>2041</v>
      </c>
      <c r="T178" s="4" t="s">
        <v>404</v>
      </c>
      <c r="U178" s="44">
        <v>40834</v>
      </c>
      <c r="V178" s="4"/>
      <c r="W178" s="127"/>
      <c r="X178" s="74"/>
      <c r="Y178" s="28" t="e">
        <v>#REF!</v>
      </c>
      <c r="Z178" s="9"/>
      <c r="AA178" s="24" t="s">
        <v>393</v>
      </c>
      <c r="AB178" s="28">
        <v>40854</v>
      </c>
    </row>
    <row r="179" spans="1:28" ht="14.25" customHeight="1" x14ac:dyDescent="0.4">
      <c r="A179">
        <v>157</v>
      </c>
      <c r="B179" s="22">
        <v>0</v>
      </c>
      <c r="C179" s="22" t="s">
        <v>2165</v>
      </c>
      <c r="D179" s="22">
        <v>0</v>
      </c>
      <c r="E179" s="24">
        <v>40850</v>
      </c>
      <c r="F179" s="24" t="s">
        <v>393</v>
      </c>
      <c r="G179" s="24">
        <v>40854</v>
      </c>
      <c r="H179" s="37">
        <v>260</v>
      </c>
      <c r="I179" s="23">
        <v>40848</v>
      </c>
      <c r="J179" s="37">
        <v>9</v>
      </c>
      <c r="K179" s="24" t="s">
        <v>2129</v>
      </c>
      <c r="L179" s="24">
        <v>40849</v>
      </c>
      <c r="M179" s="24">
        <v>40665</v>
      </c>
      <c r="N179" s="22" t="s">
        <v>669</v>
      </c>
      <c r="O179" s="4">
        <v>9120343</v>
      </c>
      <c r="P179" s="22">
        <v>1020</v>
      </c>
      <c r="Q179" s="22">
        <v>42</v>
      </c>
      <c r="R179" s="22">
        <v>50359</v>
      </c>
      <c r="S179" s="4" t="s">
        <v>1047</v>
      </c>
      <c r="T179" s="4" t="s">
        <v>404</v>
      </c>
      <c r="U179" s="44">
        <v>40920</v>
      </c>
      <c r="V179" s="4"/>
      <c r="W179" s="127"/>
      <c r="X179" s="74"/>
      <c r="Y179" s="28" t="e">
        <v>#REF!</v>
      </c>
      <c r="Z179" s="9"/>
      <c r="AA179" s="24" t="s">
        <v>393</v>
      </c>
      <c r="AB179" s="28">
        <v>40854</v>
      </c>
    </row>
    <row r="180" spans="1:28" ht="14.25" customHeight="1" x14ac:dyDescent="0.4">
      <c r="A180">
        <v>158</v>
      </c>
      <c r="B180" s="22">
        <v>0</v>
      </c>
      <c r="C180" s="22" t="s">
        <v>2165</v>
      </c>
      <c r="D180" s="22">
        <v>0</v>
      </c>
      <c r="E180" s="24">
        <v>40812</v>
      </c>
      <c r="F180" s="24" t="s">
        <v>393</v>
      </c>
      <c r="G180" s="24">
        <v>40822</v>
      </c>
      <c r="H180" s="37">
        <v>169</v>
      </c>
      <c r="I180" s="23">
        <v>40787</v>
      </c>
      <c r="J180" s="37">
        <v>45</v>
      </c>
      <c r="K180" s="24" t="s">
        <v>2129</v>
      </c>
      <c r="L180" s="24">
        <v>40787</v>
      </c>
      <c r="M180" s="24">
        <v>40662</v>
      </c>
      <c r="N180" s="22" t="s">
        <v>668</v>
      </c>
      <c r="O180" s="4">
        <v>9120361</v>
      </c>
      <c r="P180" s="22">
        <v>1020</v>
      </c>
      <c r="Q180" s="22">
        <v>42</v>
      </c>
      <c r="R180" s="22">
        <v>50327</v>
      </c>
      <c r="S180" s="102" t="s">
        <v>2042</v>
      </c>
      <c r="T180" s="4" t="s">
        <v>404</v>
      </c>
      <c r="U180" s="42">
        <v>40904</v>
      </c>
      <c r="V180" s="4"/>
      <c r="W180" s="28"/>
      <c r="X180" s="74"/>
      <c r="Y180" s="28" t="e">
        <v>#REF!</v>
      </c>
      <c r="Z180" s="9"/>
      <c r="AA180" s="24" t="s">
        <v>393</v>
      </c>
      <c r="AB180" s="28">
        <v>40822</v>
      </c>
    </row>
    <row r="181" spans="1:28" ht="14.25" customHeight="1" x14ac:dyDescent="0.4">
      <c r="A181">
        <v>159</v>
      </c>
      <c r="B181" s="22">
        <v>0</v>
      </c>
      <c r="C181" s="22" t="s">
        <v>2165</v>
      </c>
      <c r="D181" s="22">
        <v>0</v>
      </c>
      <c r="E181" s="24">
        <v>40812</v>
      </c>
      <c r="F181" s="24" t="s">
        <v>393</v>
      </c>
      <c r="G181" s="24">
        <v>40813</v>
      </c>
      <c r="H181" s="37">
        <v>170</v>
      </c>
      <c r="I181" s="23">
        <v>40787</v>
      </c>
      <c r="J181" s="37">
        <v>46</v>
      </c>
      <c r="K181" s="24" t="s">
        <v>2129</v>
      </c>
      <c r="L181" s="24">
        <v>40878</v>
      </c>
      <c r="M181" s="24">
        <v>40662</v>
      </c>
      <c r="N181" s="22" t="s">
        <v>668</v>
      </c>
      <c r="O181" s="4">
        <v>9120348</v>
      </c>
      <c r="P181" s="22">
        <v>1020</v>
      </c>
      <c r="Q181" s="22">
        <v>42</v>
      </c>
      <c r="R181" s="22" t="s">
        <v>2624</v>
      </c>
      <c r="S181" s="102" t="s">
        <v>889</v>
      </c>
      <c r="T181" s="4" t="s">
        <v>404</v>
      </c>
      <c r="U181" s="94">
        <v>40766</v>
      </c>
      <c r="V181" s="4"/>
      <c r="W181" s="92"/>
      <c r="X181" s="74"/>
      <c r="Y181" s="28" t="e">
        <v>#REF!</v>
      </c>
      <c r="Z181" s="9"/>
      <c r="AA181" s="24" t="s">
        <v>393</v>
      </c>
      <c r="AB181" s="28">
        <v>40813</v>
      </c>
    </row>
    <row r="182" spans="1:28" ht="14.25" customHeight="1" x14ac:dyDescent="0.4">
      <c r="A182">
        <v>160</v>
      </c>
      <c r="B182" s="22">
        <v>0</v>
      </c>
      <c r="C182" s="22" t="s">
        <v>2165</v>
      </c>
      <c r="D182" s="22">
        <v>0</v>
      </c>
      <c r="E182" s="24">
        <v>40809</v>
      </c>
      <c r="F182" s="24" t="s">
        <v>393</v>
      </c>
      <c r="G182" s="24">
        <v>40822</v>
      </c>
      <c r="H182" s="37">
        <v>167</v>
      </c>
      <c r="I182" s="23">
        <v>40787</v>
      </c>
      <c r="J182" s="37">
        <v>43</v>
      </c>
      <c r="K182" s="24" t="s">
        <v>2129</v>
      </c>
      <c r="L182" s="24">
        <v>40878</v>
      </c>
      <c r="M182" s="24">
        <v>40662</v>
      </c>
      <c r="N182" s="22" t="s">
        <v>668</v>
      </c>
      <c r="O182" s="4">
        <v>9120347</v>
      </c>
      <c r="P182" s="22">
        <v>1020</v>
      </c>
      <c r="Q182" s="22">
        <v>42</v>
      </c>
      <c r="R182" s="22">
        <v>50340</v>
      </c>
      <c r="S182" s="102" t="s">
        <v>595</v>
      </c>
      <c r="T182" s="4" t="s">
        <v>404</v>
      </c>
      <c r="U182" s="42">
        <v>40855</v>
      </c>
      <c r="V182" s="4"/>
      <c r="W182" s="28"/>
      <c r="X182" s="74"/>
      <c r="Y182" s="28" t="e">
        <v>#REF!</v>
      </c>
      <c r="Z182" s="28"/>
      <c r="AA182" s="24" t="s">
        <v>393</v>
      </c>
      <c r="AB182" s="28">
        <v>40822</v>
      </c>
    </row>
    <row r="183" spans="1:28" ht="14.25" customHeight="1" x14ac:dyDescent="0.4">
      <c r="A183">
        <v>161</v>
      </c>
      <c r="B183" s="22">
        <v>0</v>
      </c>
      <c r="C183" s="22">
        <v>0</v>
      </c>
      <c r="D183" s="22">
        <v>0</v>
      </c>
      <c r="E183" s="24">
        <v>40809</v>
      </c>
      <c r="F183" s="24" t="s">
        <v>393</v>
      </c>
      <c r="G183" s="24">
        <v>40826</v>
      </c>
      <c r="H183" s="37">
        <v>168</v>
      </c>
      <c r="I183" s="23">
        <v>40787</v>
      </c>
      <c r="J183" s="37">
        <v>44</v>
      </c>
      <c r="K183" s="24" t="s">
        <v>2129</v>
      </c>
      <c r="L183" s="24">
        <v>40878</v>
      </c>
      <c r="M183" s="24">
        <v>40662</v>
      </c>
      <c r="N183" s="22" t="s">
        <v>668</v>
      </c>
      <c r="O183" s="4">
        <v>9120349</v>
      </c>
      <c r="P183" s="22">
        <v>1020</v>
      </c>
      <c r="Q183" s="22">
        <v>42</v>
      </c>
      <c r="R183" s="22" t="s">
        <v>2625</v>
      </c>
      <c r="S183" s="55" t="s">
        <v>1603</v>
      </c>
      <c r="T183" s="4" t="s">
        <v>404</v>
      </c>
      <c r="U183" s="94">
        <v>40760</v>
      </c>
      <c r="V183" s="4"/>
      <c r="W183" s="92"/>
      <c r="Y183" s="28" t="e">
        <v>#REF!</v>
      </c>
      <c r="Z183" s="28"/>
      <c r="AA183" s="24" t="s">
        <v>393</v>
      </c>
      <c r="AB183" s="28">
        <v>40826</v>
      </c>
    </row>
    <row r="184" spans="1:28" ht="14.25" customHeight="1" x14ac:dyDescent="0.4">
      <c r="A184">
        <v>162</v>
      </c>
      <c r="B184" s="22">
        <v>0</v>
      </c>
      <c r="C184" s="22">
        <v>0</v>
      </c>
      <c r="D184" s="22">
        <v>0</v>
      </c>
      <c r="E184" s="24">
        <v>40756</v>
      </c>
      <c r="F184" s="24" t="s">
        <v>393</v>
      </c>
      <c r="G184" s="24">
        <v>40760</v>
      </c>
      <c r="H184" s="37">
        <v>56</v>
      </c>
      <c r="I184" s="23">
        <v>40756</v>
      </c>
      <c r="J184" s="37">
        <v>1</v>
      </c>
      <c r="K184" s="24" t="s">
        <v>2129</v>
      </c>
      <c r="L184" s="24">
        <v>40787</v>
      </c>
      <c r="M184" s="24">
        <v>40662</v>
      </c>
      <c r="N184" s="22" t="s">
        <v>668</v>
      </c>
      <c r="O184" s="4">
        <v>9120355</v>
      </c>
      <c r="P184" s="22">
        <v>1020</v>
      </c>
      <c r="Q184" s="22">
        <v>42</v>
      </c>
      <c r="R184" s="22">
        <v>50325</v>
      </c>
      <c r="S184" s="102" t="s">
        <v>2074</v>
      </c>
      <c r="T184" s="4" t="s">
        <v>404</v>
      </c>
      <c r="U184" s="42">
        <v>40893</v>
      </c>
      <c r="V184" s="4"/>
      <c r="W184" s="28"/>
      <c r="X184" s="74"/>
      <c r="Y184" s="28" t="e">
        <v>#REF!</v>
      </c>
      <c r="Z184" s="28"/>
      <c r="AA184" s="24" t="s">
        <v>393</v>
      </c>
      <c r="AB184" s="28">
        <v>40760</v>
      </c>
    </row>
    <row r="185" spans="1:28" ht="14.25" customHeight="1" x14ac:dyDescent="0.4">
      <c r="A185">
        <v>163</v>
      </c>
      <c r="B185" s="24">
        <v>40756</v>
      </c>
      <c r="C185" s="24">
        <v>40756</v>
      </c>
      <c r="D185" s="24">
        <v>40756</v>
      </c>
      <c r="E185" s="24">
        <v>40756</v>
      </c>
      <c r="F185" s="24" t="s">
        <v>393</v>
      </c>
      <c r="G185" s="24">
        <v>40767</v>
      </c>
      <c r="H185" s="37">
        <v>57</v>
      </c>
      <c r="I185" s="23">
        <v>40756</v>
      </c>
      <c r="J185" s="37">
        <v>2</v>
      </c>
      <c r="K185" s="24" t="s">
        <v>2129</v>
      </c>
      <c r="L185" s="24">
        <v>40787</v>
      </c>
      <c r="M185" s="24">
        <v>40662</v>
      </c>
      <c r="N185" s="22" t="s">
        <v>668</v>
      </c>
      <c r="O185" s="4">
        <v>9120358</v>
      </c>
      <c r="P185" s="22">
        <v>1020</v>
      </c>
      <c r="Q185" s="22">
        <v>42</v>
      </c>
      <c r="R185" s="22">
        <v>50326</v>
      </c>
      <c r="S185" s="3" t="s">
        <v>178</v>
      </c>
      <c r="T185" s="4" t="s">
        <v>404</v>
      </c>
      <c r="U185" s="164">
        <v>40806</v>
      </c>
      <c r="V185" s="4"/>
      <c r="W185" s="28"/>
      <c r="Y185" s="28" t="e">
        <v>#REF!</v>
      </c>
      <c r="AA185" s="24" t="s">
        <v>393</v>
      </c>
      <c r="AB185" s="28">
        <v>40767</v>
      </c>
    </row>
    <row r="186" spans="1:28" ht="14.25" customHeight="1" x14ac:dyDescent="0.4">
      <c r="A186">
        <v>164</v>
      </c>
      <c r="B186" s="22">
        <v>0</v>
      </c>
      <c r="C186" s="22" t="s">
        <v>2102</v>
      </c>
      <c r="D186" s="22">
        <v>0</v>
      </c>
      <c r="E186" s="24">
        <v>40833</v>
      </c>
      <c r="F186" s="24" t="s">
        <v>393</v>
      </c>
      <c r="G186" s="24">
        <v>40834</v>
      </c>
      <c r="H186" s="37">
        <v>218</v>
      </c>
      <c r="I186" s="23">
        <v>40817</v>
      </c>
      <c r="J186" s="37">
        <v>31</v>
      </c>
      <c r="K186" s="24" t="s">
        <v>2129</v>
      </c>
      <c r="L186" s="24">
        <v>40817</v>
      </c>
      <c r="M186" s="24">
        <v>40662</v>
      </c>
      <c r="N186" s="22" t="s">
        <v>668</v>
      </c>
      <c r="O186" s="4">
        <v>9120345</v>
      </c>
      <c r="P186" s="22">
        <v>1020</v>
      </c>
      <c r="Q186" s="22">
        <v>42</v>
      </c>
      <c r="R186" s="22" t="s">
        <v>2626</v>
      </c>
      <c r="S186" s="55" t="s">
        <v>731</v>
      </c>
      <c r="T186" s="4" t="s">
        <v>404</v>
      </c>
      <c r="U186" s="94">
        <v>40800</v>
      </c>
      <c r="V186" s="4"/>
      <c r="W186" s="92"/>
      <c r="X186" s="74"/>
      <c r="Y186" s="28" t="e">
        <v>#REF!</v>
      </c>
      <c r="Z186" s="28"/>
      <c r="AA186" s="24" t="s">
        <v>393</v>
      </c>
      <c r="AB186" s="28">
        <v>40834</v>
      </c>
    </row>
    <row r="187" spans="1:28" ht="14.25" customHeight="1" x14ac:dyDescent="0.4">
      <c r="A187">
        <v>165</v>
      </c>
      <c r="B187" s="22">
        <v>0</v>
      </c>
      <c r="C187" s="22" t="s">
        <v>2102</v>
      </c>
      <c r="D187" s="22">
        <v>0</v>
      </c>
      <c r="E187" s="24">
        <v>40833</v>
      </c>
      <c r="F187" s="24" t="s">
        <v>393</v>
      </c>
      <c r="G187" s="24">
        <v>40834</v>
      </c>
      <c r="H187" s="37">
        <v>219</v>
      </c>
      <c r="I187" s="23">
        <v>40817</v>
      </c>
      <c r="J187" s="37">
        <v>32</v>
      </c>
      <c r="K187" s="24" t="s">
        <v>2129</v>
      </c>
      <c r="L187" s="24">
        <v>40817</v>
      </c>
      <c r="M187" s="24">
        <v>40662</v>
      </c>
      <c r="N187" s="22" t="s">
        <v>668</v>
      </c>
      <c r="O187" s="4">
        <v>9120351</v>
      </c>
      <c r="P187" s="22">
        <v>1020</v>
      </c>
      <c r="Q187" s="22">
        <v>42</v>
      </c>
      <c r="R187" s="22" t="s">
        <v>2627</v>
      </c>
      <c r="S187" s="1" t="s">
        <v>733</v>
      </c>
      <c r="T187" s="4" t="s">
        <v>404</v>
      </c>
      <c r="U187" s="94">
        <v>40800</v>
      </c>
      <c r="V187" s="4"/>
      <c r="W187" s="92"/>
      <c r="X187" s="74"/>
      <c r="Y187" s="28" t="e">
        <v>#REF!</v>
      </c>
      <c r="Z187" s="9"/>
      <c r="AA187" s="24" t="s">
        <v>393</v>
      </c>
      <c r="AB187" s="28">
        <v>40834</v>
      </c>
    </row>
    <row r="188" spans="1:28" ht="14.25" customHeight="1" x14ac:dyDescent="0.4">
      <c r="A188">
        <v>166</v>
      </c>
      <c r="B188" s="22">
        <v>0</v>
      </c>
      <c r="C188" s="22">
        <v>0</v>
      </c>
      <c r="D188" s="22">
        <v>0</v>
      </c>
      <c r="E188" s="24">
        <v>40834</v>
      </c>
      <c r="F188" s="24" t="s">
        <v>393</v>
      </c>
      <c r="G188" s="24">
        <v>40837</v>
      </c>
      <c r="H188" s="37">
        <v>223</v>
      </c>
      <c r="I188" s="23">
        <v>40817</v>
      </c>
      <c r="J188" s="37">
        <v>36</v>
      </c>
      <c r="K188" s="24" t="s">
        <v>2129</v>
      </c>
      <c r="L188" s="24">
        <v>40817</v>
      </c>
      <c r="M188" s="24">
        <v>40662</v>
      </c>
      <c r="N188" s="22" t="s">
        <v>668</v>
      </c>
      <c r="O188" s="4">
        <v>9120352</v>
      </c>
      <c r="P188" s="22">
        <v>1020</v>
      </c>
      <c r="Q188" s="22">
        <v>42</v>
      </c>
      <c r="R188" s="22" t="s">
        <v>2628</v>
      </c>
      <c r="S188" s="102" t="s">
        <v>890</v>
      </c>
      <c r="T188" s="4" t="s">
        <v>404</v>
      </c>
      <c r="U188" s="94">
        <v>40744</v>
      </c>
      <c r="V188" s="4"/>
      <c r="W188" s="95"/>
      <c r="X188" s="74"/>
      <c r="Y188" s="28" t="e">
        <v>#REF!</v>
      </c>
      <c r="Z188" s="9"/>
      <c r="AA188" s="24" t="s">
        <v>393</v>
      </c>
      <c r="AB188" s="28">
        <v>40837</v>
      </c>
    </row>
    <row r="189" spans="1:28" ht="14.25" customHeight="1" x14ac:dyDescent="0.4">
      <c r="A189">
        <v>167</v>
      </c>
      <c r="B189" s="22">
        <v>0</v>
      </c>
      <c r="C189" s="22" t="s">
        <v>2102</v>
      </c>
      <c r="D189" s="22">
        <v>0</v>
      </c>
      <c r="E189" s="24">
        <v>40834</v>
      </c>
      <c r="F189" s="24" t="s">
        <v>393</v>
      </c>
      <c r="G189" s="24">
        <v>40836</v>
      </c>
      <c r="H189" s="37">
        <v>224</v>
      </c>
      <c r="I189" s="23">
        <v>40817</v>
      </c>
      <c r="J189" s="37">
        <v>37</v>
      </c>
      <c r="K189" s="24" t="s">
        <v>2129</v>
      </c>
      <c r="L189" s="24">
        <v>40817</v>
      </c>
      <c r="M189" s="24">
        <v>40662</v>
      </c>
      <c r="N189" s="22" t="s">
        <v>668</v>
      </c>
      <c r="O189" s="4">
        <v>9120356</v>
      </c>
      <c r="P189" s="22">
        <v>1020</v>
      </c>
      <c r="Q189" s="22">
        <v>42</v>
      </c>
      <c r="R189" s="22" t="s">
        <v>2629</v>
      </c>
      <c r="S189" s="102" t="s">
        <v>1587</v>
      </c>
      <c r="T189" s="4" t="s">
        <v>404</v>
      </c>
      <c r="U189" s="94">
        <v>40738</v>
      </c>
      <c r="V189" s="4"/>
      <c r="W189" s="92"/>
      <c r="X189" s="74"/>
      <c r="Y189" s="28" t="e">
        <v>#REF!</v>
      </c>
      <c r="Z189" s="28"/>
      <c r="AA189" s="24" t="s">
        <v>393</v>
      </c>
      <c r="AB189" s="28">
        <v>40836</v>
      </c>
    </row>
    <row r="190" spans="1:28" ht="14.25" customHeight="1" x14ac:dyDescent="0.4">
      <c r="A190">
        <v>168</v>
      </c>
      <c r="B190" s="22">
        <v>0</v>
      </c>
      <c r="C190" s="22" t="s">
        <v>2165</v>
      </c>
      <c r="D190" s="22">
        <v>0</v>
      </c>
      <c r="E190" s="24">
        <v>40835</v>
      </c>
      <c r="F190" s="24" t="s">
        <v>393</v>
      </c>
      <c r="G190" s="24">
        <v>40836</v>
      </c>
      <c r="H190" s="37">
        <v>225</v>
      </c>
      <c r="I190" s="23">
        <v>40817</v>
      </c>
      <c r="J190" s="37">
        <v>38</v>
      </c>
      <c r="K190" s="24" t="s">
        <v>2129</v>
      </c>
      <c r="L190" s="24">
        <v>40817</v>
      </c>
      <c r="M190" s="24">
        <v>40662</v>
      </c>
      <c r="N190" s="22" t="s">
        <v>668</v>
      </c>
      <c r="O190" s="4">
        <v>9120359</v>
      </c>
      <c r="P190" s="22">
        <v>1020</v>
      </c>
      <c r="Q190" s="22">
        <v>42</v>
      </c>
      <c r="R190" s="22" t="s">
        <v>2630</v>
      </c>
      <c r="S190" s="163" t="s">
        <v>735</v>
      </c>
      <c r="T190" s="4" t="s">
        <v>404</v>
      </c>
      <c r="U190" s="180">
        <v>40800</v>
      </c>
      <c r="V190" s="4"/>
      <c r="W190" s="177"/>
      <c r="X190" s="74"/>
      <c r="Y190" s="28" t="e">
        <v>#REF!</v>
      </c>
      <c r="Z190" s="9"/>
      <c r="AA190" s="24" t="s">
        <v>393</v>
      </c>
      <c r="AB190" s="28">
        <v>40836</v>
      </c>
    </row>
    <row r="191" spans="1:28" ht="14.25" customHeight="1" x14ac:dyDescent="0.4">
      <c r="A191">
        <v>169</v>
      </c>
      <c r="B191" s="22">
        <v>0</v>
      </c>
      <c r="C191" s="22" t="s">
        <v>2102</v>
      </c>
      <c r="D191" s="22">
        <v>0</v>
      </c>
      <c r="E191" s="24">
        <v>40835</v>
      </c>
      <c r="F191" s="24" t="s">
        <v>393</v>
      </c>
      <c r="G191" s="24">
        <v>40837</v>
      </c>
      <c r="H191" s="37">
        <v>226</v>
      </c>
      <c r="I191" s="23">
        <v>40817</v>
      </c>
      <c r="J191" s="37">
        <v>39</v>
      </c>
      <c r="K191" s="24" t="s">
        <v>2129</v>
      </c>
      <c r="L191" s="24">
        <v>40817</v>
      </c>
      <c r="M191" s="24">
        <v>40662</v>
      </c>
      <c r="N191" s="22" t="s">
        <v>668</v>
      </c>
      <c r="O191" s="4">
        <v>9120362</v>
      </c>
      <c r="P191" s="22">
        <v>1020</v>
      </c>
      <c r="Q191" s="22">
        <v>42</v>
      </c>
      <c r="R191" s="22" t="s">
        <v>2631</v>
      </c>
      <c r="S191" s="4" t="s">
        <v>734</v>
      </c>
      <c r="T191" s="4" t="s">
        <v>404</v>
      </c>
      <c r="U191" s="44">
        <v>40800</v>
      </c>
      <c r="V191" s="4"/>
      <c r="W191" s="178"/>
      <c r="X191" s="74"/>
      <c r="Y191" s="28" t="e">
        <v>#REF!</v>
      </c>
      <c r="Z191" s="9"/>
      <c r="AA191" s="24" t="s">
        <v>393</v>
      </c>
      <c r="AB191" s="28">
        <v>40837</v>
      </c>
    </row>
    <row r="192" spans="1:28" ht="14.25" customHeight="1" x14ac:dyDescent="0.4">
      <c r="A192">
        <v>170</v>
      </c>
      <c r="B192" s="22">
        <v>0</v>
      </c>
      <c r="C192" s="22" t="s">
        <v>2165</v>
      </c>
      <c r="D192" s="22">
        <v>0</v>
      </c>
      <c r="E192" s="24">
        <v>40850</v>
      </c>
      <c r="F192" s="24" t="s">
        <v>393</v>
      </c>
      <c r="G192" s="24">
        <v>40857</v>
      </c>
      <c r="H192" s="37">
        <v>261</v>
      </c>
      <c r="I192" s="23">
        <v>40848</v>
      </c>
      <c r="J192" s="37">
        <v>10</v>
      </c>
      <c r="K192" s="24" t="s">
        <v>2129</v>
      </c>
      <c r="L192" s="24">
        <v>40849</v>
      </c>
      <c r="M192" s="24">
        <v>40662</v>
      </c>
      <c r="N192" s="22" t="s">
        <v>668</v>
      </c>
      <c r="O192" s="4">
        <v>9120344</v>
      </c>
      <c r="P192" s="22">
        <v>1020</v>
      </c>
      <c r="Q192" s="22">
        <v>42</v>
      </c>
      <c r="R192" s="22">
        <v>50334</v>
      </c>
      <c r="S192" s="163" t="s">
        <v>970</v>
      </c>
      <c r="T192" s="4" t="s">
        <v>404</v>
      </c>
      <c r="U192" s="44">
        <v>40861</v>
      </c>
      <c r="V192" s="4"/>
      <c r="W192" s="172"/>
      <c r="X192" s="74"/>
      <c r="Y192" s="28" t="e">
        <v>#REF!</v>
      </c>
      <c r="Z192" s="9"/>
      <c r="AA192" s="24" t="s">
        <v>393</v>
      </c>
      <c r="AB192" s="28">
        <v>40857</v>
      </c>
    </row>
    <row r="193" spans="1:28" ht="14.25" customHeight="1" x14ac:dyDescent="0.4">
      <c r="A193">
        <v>171</v>
      </c>
      <c r="B193" s="22">
        <v>0</v>
      </c>
      <c r="C193" s="22" t="s">
        <v>2102</v>
      </c>
      <c r="D193" s="22">
        <v>0</v>
      </c>
      <c r="E193" s="24">
        <v>40850</v>
      </c>
      <c r="F193" s="24" t="s">
        <v>393</v>
      </c>
      <c r="G193" s="24">
        <v>40868</v>
      </c>
      <c r="H193" s="37">
        <v>262</v>
      </c>
      <c r="I193" s="23">
        <v>40848</v>
      </c>
      <c r="J193" s="37">
        <v>11</v>
      </c>
      <c r="K193" s="24" t="s">
        <v>2129</v>
      </c>
      <c r="L193" s="24">
        <v>40848</v>
      </c>
      <c r="M193" s="24">
        <v>40662</v>
      </c>
      <c r="N193" s="22" t="s">
        <v>668</v>
      </c>
      <c r="O193" s="4">
        <v>9120346</v>
      </c>
      <c r="P193" s="22">
        <v>1020</v>
      </c>
      <c r="Q193" s="22">
        <v>42</v>
      </c>
      <c r="R193" s="22">
        <v>50335</v>
      </c>
      <c r="S193" s="4" t="s">
        <v>142</v>
      </c>
      <c r="T193" s="4" t="s">
        <v>404</v>
      </c>
      <c r="U193" s="44">
        <v>40898</v>
      </c>
      <c r="V193" s="4"/>
      <c r="W193" s="127"/>
      <c r="X193" s="74"/>
      <c r="Y193" s="28" t="e">
        <v>#REF!</v>
      </c>
      <c r="Z193" s="28"/>
      <c r="AA193" s="24" t="s">
        <v>393</v>
      </c>
      <c r="AB193" s="28">
        <v>40868</v>
      </c>
    </row>
    <row r="194" spans="1:28" ht="14.25" customHeight="1" x14ac:dyDescent="0.4">
      <c r="A194">
        <v>172</v>
      </c>
      <c r="B194" s="22">
        <v>0</v>
      </c>
      <c r="C194" s="22" t="s">
        <v>2165</v>
      </c>
      <c r="D194" s="22">
        <v>0</v>
      </c>
      <c r="E194" s="24">
        <v>40851</v>
      </c>
      <c r="F194" s="24" t="s">
        <v>393</v>
      </c>
      <c r="G194" s="24">
        <v>40854</v>
      </c>
      <c r="H194" s="37">
        <v>263</v>
      </c>
      <c r="I194" s="23">
        <v>40848</v>
      </c>
      <c r="J194" s="37">
        <v>12</v>
      </c>
      <c r="K194" s="24" t="s">
        <v>2129</v>
      </c>
      <c r="L194" s="24">
        <v>40848</v>
      </c>
      <c r="M194" s="24">
        <v>40662</v>
      </c>
      <c r="N194" s="22" t="s">
        <v>668</v>
      </c>
      <c r="O194" s="4">
        <v>9120350</v>
      </c>
      <c r="P194" s="22">
        <v>1020</v>
      </c>
      <c r="Q194" s="22">
        <v>42</v>
      </c>
      <c r="R194" s="22">
        <v>50336</v>
      </c>
      <c r="S194" s="4" t="s">
        <v>276</v>
      </c>
      <c r="T194" s="4" t="s">
        <v>404</v>
      </c>
      <c r="U194" s="44">
        <v>40879</v>
      </c>
      <c r="V194" s="4"/>
      <c r="W194" s="127"/>
      <c r="X194" s="74"/>
      <c r="Y194" s="28" t="e">
        <v>#REF!</v>
      </c>
      <c r="Z194" s="9"/>
      <c r="AA194" s="24" t="s">
        <v>393</v>
      </c>
      <c r="AB194" s="28">
        <v>40854</v>
      </c>
    </row>
    <row r="195" spans="1:28" ht="14.25" customHeight="1" x14ac:dyDescent="0.4">
      <c r="A195">
        <v>173</v>
      </c>
      <c r="B195" s="22">
        <v>0</v>
      </c>
      <c r="C195" s="22" t="s">
        <v>2165</v>
      </c>
      <c r="D195" s="22">
        <v>0</v>
      </c>
      <c r="E195" s="24">
        <v>40851</v>
      </c>
      <c r="F195" s="24" t="s">
        <v>393</v>
      </c>
      <c r="G195" s="24">
        <v>40855</v>
      </c>
      <c r="H195" s="37">
        <v>264</v>
      </c>
      <c r="I195" s="23">
        <v>40848</v>
      </c>
      <c r="J195" s="37">
        <v>13</v>
      </c>
      <c r="K195" s="24" t="s">
        <v>2129</v>
      </c>
      <c r="L195" s="24">
        <v>40848</v>
      </c>
      <c r="M195" s="24">
        <v>40662</v>
      </c>
      <c r="N195" s="22" t="s">
        <v>668</v>
      </c>
      <c r="O195" s="4">
        <v>9120357</v>
      </c>
      <c r="P195" s="22">
        <v>1020</v>
      </c>
      <c r="Q195" s="22">
        <v>42</v>
      </c>
      <c r="R195" s="22" t="s">
        <v>2632</v>
      </c>
      <c r="S195" s="38" t="s">
        <v>339</v>
      </c>
      <c r="T195" s="4" t="s">
        <v>404</v>
      </c>
      <c r="U195" s="44">
        <v>40787</v>
      </c>
      <c r="V195" s="4"/>
      <c r="W195" s="127"/>
      <c r="X195" s="74"/>
      <c r="Y195" s="28" t="e">
        <v>#REF!</v>
      </c>
      <c r="Z195" s="28"/>
      <c r="AA195" s="24" t="s">
        <v>393</v>
      </c>
      <c r="AB195" s="28">
        <v>40855</v>
      </c>
    </row>
    <row r="196" spans="1:28" ht="14.25" customHeight="1" x14ac:dyDescent="0.4">
      <c r="A196">
        <v>174</v>
      </c>
      <c r="B196" s="22">
        <v>0</v>
      </c>
      <c r="C196" s="22" t="s">
        <v>2165</v>
      </c>
      <c r="D196" s="22">
        <v>0</v>
      </c>
      <c r="E196" s="24">
        <v>40851</v>
      </c>
      <c r="F196" s="24" t="s">
        <v>393</v>
      </c>
      <c r="G196" s="24">
        <v>40869</v>
      </c>
      <c r="H196" s="37">
        <v>265</v>
      </c>
      <c r="I196" s="23">
        <v>40848</v>
      </c>
      <c r="J196" s="37">
        <v>14</v>
      </c>
      <c r="K196" s="24" t="s">
        <v>2129</v>
      </c>
      <c r="L196" s="24">
        <v>40848</v>
      </c>
      <c r="M196" s="24">
        <v>40662</v>
      </c>
      <c r="N196" s="22" t="s">
        <v>668</v>
      </c>
      <c r="O196" s="4">
        <v>9120360</v>
      </c>
      <c r="P196" s="22">
        <v>1020</v>
      </c>
      <c r="Q196" s="22">
        <v>42</v>
      </c>
      <c r="R196" s="22">
        <v>50338</v>
      </c>
      <c r="S196" s="4" t="s">
        <v>1144</v>
      </c>
      <c r="T196" s="4" t="s">
        <v>404</v>
      </c>
      <c r="U196" s="44">
        <v>40833</v>
      </c>
      <c r="V196" s="4"/>
      <c r="W196" s="127"/>
      <c r="X196" s="74"/>
      <c r="Y196" s="28" t="e">
        <v>#REF!</v>
      </c>
      <c r="Z196" s="28"/>
      <c r="AA196" s="24" t="s">
        <v>393</v>
      </c>
      <c r="AB196" s="28">
        <v>40869</v>
      </c>
    </row>
    <row r="197" spans="1:28" ht="14.25" customHeight="1" x14ac:dyDescent="0.4">
      <c r="A197">
        <v>175</v>
      </c>
      <c r="B197" s="24">
        <v>40854</v>
      </c>
      <c r="C197" s="24">
        <v>40854</v>
      </c>
      <c r="D197" s="24">
        <v>40854</v>
      </c>
      <c r="E197" s="24">
        <v>40854</v>
      </c>
      <c r="F197" s="24" t="s">
        <v>393</v>
      </c>
      <c r="G197" s="24">
        <v>40856</v>
      </c>
      <c r="H197" s="37">
        <v>266</v>
      </c>
      <c r="I197" s="23">
        <v>40848</v>
      </c>
      <c r="J197" s="37">
        <v>15</v>
      </c>
      <c r="K197" s="24" t="s">
        <v>2129</v>
      </c>
      <c r="L197" s="24">
        <v>40848</v>
      </c>
      <c r="M197" s="24">
        <v>40662</v>
      </c>
      <c r="N197" s="22" t="s">
        <v>668</v>
      </c>
      <c r="O197" s="4">
        <v>9120368</v>
      </c>
      <c r="P197" s="22">
        <v>720</v>
      </c>
      <c r="Q197" s="22">
        <v>42</v>
      </c>
      <c r="R197" s="22" t="s">
        <v>2633</v>
      </c>
      <c r="S197" s="4" t="s">
        <v>2092</v>
      </c>
      <c r="T197" s="4" t="s">
        <v>404</v>
      </c>
      <c r="U197" s="44">
        <v>40791</v>
      </c>
      <c r="V197" s="4"/>
      <c r="W197" s="127"/>
      <c r="X197" s="74">
        <v>0</v>
      </c>
      <c r="Y197" s="28" t="e">
        <v>#REF!</v>
      </c>
      <c r="Z197" s="9"/>
      <c r="AA197" s="24" t="s">
        <v>393</v>
      </c>
      <c r="AB197" s="28">
        <v>40856</v>
      </c>
    </row>
    <row r="198" spans="1:28" ht="14.25" customHeight="1" x14ac:dyDescent="0.4">
      <c r="A198">
        <v>176</v>
      </c>
      <c r="B198" s="22">
        <v>0</v>
      </c>
      <c r="C198" s="22" t="s">
        <v>2102</v>
      </c>
      <c r="D198" s="22">
        <v>0</v>
      </c>
      <c r="E198" s="24">
        <v>40863</v>
      </c>
      <c r="F198" s="24" t="s">
        <v>393</v>
      </c>
      <c r="G198" s="24">
        <v>40868</v>
      </c>
      <c r="H198" s="37">
        <v>288</v>
      </c>
      <c r="I198" s="23">
        <v>40848</v>
      </c>
      <c r="J198" s="37">
        <v>37</v>
      </c>
      <c r="K198" s="24" t="s">
        <v>2129</v>
      </c>
      <c r="L198" s="24">
        <v>40878</v>
      </c>
      <c r="M198" s="24">
        <v>40662</v>
      </c>
      <c r="N198" s="22" t="s">
        <v>668</v>
      </c>
      <c r="O198" s="4">
        <v>9120353</v>
      </c>
      <c r="P198" s="22">
        <v>1020</v>
      </c>
      <c r="Q198" s="22">
        <v>42</v>
      </c>
      <c r="R198" s="22">
        <v>50343</v>
      </c>
      <c r="S198" s="4" t="s">
        <v>187</v>
      </c>
      <c r="T198" s="4" t="s">
        <v>404</v>
      </c>
      <c r="U198" s="42">
        <v>40865</v>
      </c>
      <c r="V198" s="4"/>
      <c r="W198" s="28"/>
      <c r="X198" s="74"/>
      <c r="Y198" s="28" t="e">
        <v>#REF!</v>
      </c>
      <c r="Z198" s="9"/>
      <c r="AA198" s="24" t="s">
        <v>393</v>
      </c>
      <c r="AB198" s="28">
        <v>40868</v>
      </c>
    </row>
    <row r="199" spans="1:28" ht="14.25" customHeight="1" x14ac:dyDescent="0.4">
      <c r="A199">
        <v>177</v>
      </c>
      <c r="B199" s="22">
        <v>0</v>
      </c>
      <c r="C199" s="22">
        <v>0</v>
      </c>
      <c r="D199" s="22">
        <v>0</v>
      </c>
      <c r="E199" s="24">
        <v>40863</v>
      </c>
      <c r="F199" s="24" t="s">
        <v>393</v>
      </c>
      <c r="G199" s="24">
        <v>40869</v>
      </c>
      <c r="H199" s="37">
        <v>289</v>
      </c>
      <c r="I199" s="23">
        <v>40848</v>
      </c>
      <c r="J199" s="37">
        <v>38</v>
      </c>
      <c r="K199" s="24" t="s">
        <v>2129</v>
      </c>
      <c r="L199" s="24">
        <v>40878</v>
      </c>
      <c r="M199" s="24">
        <v>40662</v>
      </c>
      <c r="N199" s="22" t="s">
        <v>668</v>
      </c>
      <c r="O199" s="4">
        <v>9120354</v>
      </c>
      <c r="P199" s="22">
        <v>1020</v>
      </c>
      <c r="Q199" s="22">
        <v>42</v>
      </c>
      <c r="R199" s="22">
        <v>50344</v>
      </c>
      <c r="S199" s="179" t="s">
        <v>277</v>
      </c>
      <c r="T199" s="4" t="s">
        <v>404</v>
      </c>
      <c r="U199" s="94">
        <v>40877</v>
      </c>
      <c r="V199" s="4"/>
      <c r="W199" s="92"/>
      <c r="X199" s="74"/>
      <c r="Y199" s="28" t="e">
        <v>#REF!</v>
      </c>
      <c r="Z199" s="9"/>
      <c r="AA199" s="24" t="s">
        <v>393</v>
      </c>
      <c r="AB199" s="28">
        <v>40869</v>
      </c>
    </row>
    <row r="200" spans="1:28" ht="14.25" customHeight="1" x14ac:dyDescent="0.4">
      <c r="A200">
        <v>178</v>
      </c>
      <c r="B200" s="24">
        <v>40864</v>
      </c>
      <c r="C200" s="24">
        <v>40864</v>
      </c>
      <c r="D200" s="24">
        <v>40864</v>
      </c>
      <c r="E200" s="24">
        <v>40864</v>
      </c>
      <c r="F200" s="24" t="s">
        <v>393</v>
      </c>
      <c r="G200" s="24">
        <v>40893</v>
      </c>
      <c r="H200" s="37">
        <v>290</v>
      </c>
      <c r="I200" s="23">
        <v>40848</v>
      </c>
      <c r="J200" s="37">
        <v>39</v>
      </c>
      <c r="K200" s="24" t="s">
        <v>2129</v>
      </c>
      <c r="L200" s="24">
        <v>40878</v>
      </c>
      <c r="M200" s="24">
        <v>40662</v>
      </c>
      <c r="N200" s="22" t="s">
        <v>668</v>
      </c>
      <c r="O200" s="4">
        <v>9120367</v>
      </c>
      <c r="P200" s="22">
        <v>1020</v>
      </c>
      <c r="Q200" s="22">
        <v>42</v>
      </c>
      <c r="R200" s="22">
        <v>50347</v>
      </c>
      <c r="S200" s="4" t="s">
        <v>1048</v>
      </c>
      <c r="T200" s="4" t="s">
        <v>404</v>
      </c>
      <c r="U200" s="44">
        <v>40920</v>
      </c>
      <c r="V200" s="4"/>
      <c r="W200" s="9"/>
      <c r="X200" s="74">
        <v>0</v>
      </c>
      <c r="Y200" s="28" t="e">
        <v>#REF!</v>
      </c>
      <c r="Z200" s="9"/>
      <c r="AA200" s="24" t="s">
        <v>393</v>
      </c>
      <c r="AB200" s="28">
        <v>40893</v>
      </c>
    </row>
    <row r="201" spans="1:28" ht="14.25" customHeight="1" x14ac:dyDescent="0.4">
      <c r="A201">
        <v>179</v>
      </c>
      <c r="B201" s="22">
        <v>0</v>
      </c>
      <c r="C201" s="22">
        <v>0</v>
      </c>
      <c r="D201" s="22">
        <v>0</v>
      </c>
      <c r="E201" s="24">
        <v>40864</v>
      </c>
      <c r="F201" s="24" t="s">
        <v>393</v>
      </c>
      <c r="G201" s="24">
        <v>40875</v>
      </c>
      <c r="H201" s="37">
        <v>291</v>
      </c>
      <c r="I201" s="23">
        <v>40848</v>
      </c>
      <c r="J201" s="37">
        <v>40</v>
      </c>
      <c r="K201" s="24" t="s">
        <v>2129</v>
      </c>
      <c r="L201" s="24">
        <v>40878</v>
      </c>
      <c r="M201" s="24">
        <v>40662</v>
      </c>
      <c r="N201" s="22" t="s">
        <v>668</v>
      </c>
      <c r="O201" s="4">
        <v>9120370</v>
      </c>
      <c r="P201" s="22">
        <v>1020</v>
      </c>
      <c r="Q201" s="22">
        <v>42</v>
      </c>
      <c r="R201" s="22">
        <v>50348</v>
      </c>
      <c r="S201" s="4" t="s">
        <v>143</v>
      </c>
      <c r="T201" s="4" t="s">
        <v>2102</v>
      </c>
      <c r="U201" s="42">
        <v>40899</v>
      </c>
      <c r="V201" s="4"/>
      <c r="W201" s="4"/>
      <c r="X201" s="74"/>
      <c r="Y201" s="28" t="e">
        <v>#REF!</v>
      </c>
      <c r="Z201" s="9"/>
      <c r="AA201" s="24" t="s">
        <v>393</v>
      </c>
      <c r="AB201" s="28">
        <v>40875</v>
      </c>
    </row>
    <row r="202" spans="1:28" ht="14.25" customHeight="1" x14ac:dyDescent="0.4">
      <c r="A202">
        <v>180</v>
      </c>
      <c r="B202" s="22"/>
      <c r="C202" s="22"/>
      <c r="D202" s="22"/>
      <c r="E202" s="24">
        <v>40949</v>
      </c>
      <c r="F202" s="24" t="s">
        <v>393</v>
      </c>
      <c r="G202" s="24">
        <v>40966</v>
      </c>
      <c r="H202" s="23"/>
      <c r="I202" s="23">
        <v>40940</v>
      </c>
      <c r="J202" s="37">
        <v>26</v>
      </c>
      <c r="K202" s="24" t="s">
        <v>2129</v>
      </c>
      <c r="L202" s="36"/>
      <c r="M202" s="24">
        <v>40662</v>
      </c>
      <c r="N202" s="22" t="s">
        <v>668</v>
      </c>
      <c r="O202" s="4">
        <v>9120363</v>
      </c>
      <c r="P202" s="22">
        <v>1020</v>
      </c>
      <c r="Q202" s="22">
        <v>50</v>
      </c>
      <c r="R202" s="22" t="s">
        <v>2634</v>
      </c>
      <c r="S202" s="4" t="s">
        <v>2043</v>
      </c>
      <c r="T202" s="4" t="s">
        <v>404</v>
      </c>
      <c r="U202" s="44">
        <v>40855</v>
      </c>
      <c r="V202" s="4"/>
      <c r="W202" s="9"/>
      <c r="X202" s="74"/>
      <c r="Y202" s="28" t="e">
        <v>#REF!</v>
      </c>
      <c r="Z202" s="9"/>
      <c r="AA202" s="24" t="s">
        <v>393</v>
      </c>
      <c r="AB202" s="28">
        <v>40966</v>
      </c>
    </row>
    <row r="203" spans="1:28" ht="14.25" customHeight="1" x14ac:dyDescent="0.4">
      <c r="A203">
        <v>181</v>
      </c>
      <c r="B203" s="24">
        <v>40919</v>
      </c>
      <c r="C203" s="24">
        <v>40919</v>
      </c>
      <c r="D203" s="24">
        <v>40919</v>
      </c>
      <c r="E203" s="24">
        <v>40919</v>
      </c>
      <c r="F203" s="24" t="s">
        <v>393</v>
      </c>
      <c r="G203" s="24">
        <v>40932</v>
      </c>
      <c r="H203" s="23">
        <v>389</v>
      </c>
      <c r="I203" s="23">
        <v>40909</v>
      </c>
      <c r="J203" s="37">
        <v>22</v>
      </c>
      <c r="K203" s="24" t="s">
        <v>2129</v>
      </c>
      <c r="L203" s="24">
        <v>40909</v>
      </c>
      <c r="M203" s="24">
        <v>40662</v>
      </c>
      <c r="N203" s="22" t="s">
        <v>668</v>
      </c>
      <c r="O203" s="4">
        <v>9120365</v>
      </c>
      <c r="P203" s="22">
        <v>720</v>
      </c>
      <c r="Q203" s="22">
        <v>42</v>
      </c>
      <c r="R203" s="22" t="s">
        <v>2635</v>
      </c>
      <c r="S203" s="45" t="s">
        <v>732</v>
      </c>
      <c r="T203" s="4" t="s">
        <v>404</v>
      </c>
      <c r="U203" s="42">
        <v>40800</v>
      </c>
      <c r="V203" s="4"/>
      <c r="W203" s="43"/>
      <c r="X203" s="74"/>
      <c r="Y203" s="28" t="e">
        <v>#REF!</v>
      </c>
      <c r="Z203" s="28"/>
      <c r="AA203" s="24" t="s">
        <v>393</v>
      </c>
      <c r="AB203" s="28">
        <v>40932</v>
      </c>
    </row>
    <row r="204" spans="1:28" ht="14.25" customHeight="1" x14ac:dyDescent="0.4">
      <c r="A204">
        <v>182</v>
      </c>
      <c r="B204" s="24">
        <v>40935</v>
      </c>
      <c r="C204" s="24">
        <v>40935</v>
      </c>
      <c r="D204" s="24">
        <v>40935</v>
      </c>
      <c r="E204" s="24">
        <v>40935</v>
      </c>
      <c r="F204" s="24" t="s">
        <v>393</v>
      </c>
      <c r="G204" s="24">
        <v>40942</v>
      </c>
      <c r="H204" s="23">
        <v>424</v>
      </c>
      <c r="I204" s="23">
        <v>40909</v>
      </c>
      <c r="J204" s="37">
        <v>57</v>
      </c>
      <c r="K204" s="24" t="s">
        <v>2129</v>
      </c>
      <c r="L204" s="24">
        <v>40940</v>
      </c>
      <c r="M204" s="24">
        <v>40662</v>
      </c>
      <c r="N204" s="22" t="s">
        <v>668</v>
      </c>
      <c r="O204" s="4">
        <v>9120364</v>
      </c>
      <c r="P204" s="22">
        <v>720</v>
      </c>
      <c r="Q204" s="22">
        <v>42</v>
      </c>
      <c r="R204" s="22">
        <v>50349</v>
      </c>
      <c r="S204" s="4" t="s">
        <v>994</v>
      </c>
      <c r="T204" s="4" t="s">
        <v>404</v>
      </c>
      <c r="U204" s="44">
        <v>40855</v>
      </c>
      <c r="V204" s="4"/>
      <c r="W204" s="28"/>
      <c r="X204" s="74">
        <v>0</v>
      </c>
      <c r="Y204" s="28" t="e">
        <v>#REF!</v>
      </c>
      <c r="Z204" s="9"/>
      <c r="AA204" s="24" t="s">
        <v>393</v>
      </c>
      <c r="AB204" s="28">
        <v>40942</v>
      </c>
    </row>
    <row r="205" spans="1:28" ht="14.25" customHeight="1" x14ac:dyDescent="0.4">
      <c r="A205">
        <v>183</v>
      </c>
      <c r="B205" s="24">
        <v>40938</v>
      </c>
      <c r="C205" s="24">
        <v>40938</v>
      </c>
      <c r="D205" s="24">
        <v>40938</v>
      </c>
      <c r="E205" s="24">
        <v>40938</v>
      </c>
      <c r="F205" s="24" t="s">
        <v>393</v>
      </c>
      <c r="G205" s="24">
        <v>40939</v>
      </c>
      <c r="H205" s="23">
        <v>429</v>
      </c>
      <c r="I205" s="23">
        <v>40909</v>
      </c>
      <c r="J205" s="37">
        <v>62</v>
      </c>
      <c r="K205" s="24" t="s">
        <v>2129</v>
      </c>
      <c r="L205" s="24">
        <v>40940</v>
      </c>
      <c r="M205" s="24">
        <v>40662</v>
      </c>
      <c r="N205" s="22" t="s">
        <v>668</v>
      </c>
      <c r="O205" s="4">
        <v>9120366</v>
      </c>
      <c r="P205" s="22">
        <v>720</v>
      </c>
      <c r="Q205" s="22">
        <v>42</v>
      </c>
      <c r="R205" s="22">
        <v>50350</v>
      </c>
      <c r="S205" s="38" t="s">
        <v>117</v>
      </c>
      <c r="T205" s="4" t="s">
        <v>404</v>
      </c>
      <c r="U205" s="60">
        <v>40954</v>
      </c>
      <c r="V205" s="4"/>
      <c r="W205" s="9"/>
      <c r="X205" s="74">
        <v>0</v>
      </c>
      <c r="Y205" s="28" t="e">
        <v>#REF!</v>
      </c>
      <c r="AA205" s="24" t="s">
        <v>393</v>
      </c>
      <c r="AB205" s="28">
        <v>40939</v>
      </c>
    </row>
    <row r="206" spans="1:28" ht="14.25" customHeight="1" x14ac:dyDescent="0.4">
      <c r="A206">
        <v>184</v>
      </c>
      <c r="B206" s="24">
        <v>40938</v>
      </c>
      <c r="C206" s="24">
        <v>40938</v>
      </c>
      <c r="D206" s="24">
        <v>40938</v>
      </c>
      <c r="E206" s="24">
        <v>40938</v>
      </c>
      <c r="F206" s="24" t="s">
        <v>393</v>
      </c>
      <c r="G206" s="24">
        <v>40941</v>
      </c>
      <c r="H206" s="23">
        <v>430</v>
      </c>
      <c r="I206" s="23">
        <v>40909</v>
      </c>
      <c r="J206" s="37">
        <v>63</v>
      </c>
      <c r="K206" s="24" t="s">
        <v>2129</v>
      </c>
      <c r="L206" s="24">
        <v>40940</v>
      </c>
      <c r="M206" s="24">
        <v>40662</v>
      </c>
      <c r="N206" s="22" t="s">
        <v>668</v>
      </c>
      <c r="O206" s="4">
        <v>9120369</v>
      </c>
      <c r="P206" s="22">
        <v>720</v>
      </c>
      <c r="Q206" s="22">
        <v>42</v>
      </c>
      <c r="R206" s="22">
        <v>50351</v>
      </c>
      <c r="S206" s="38" t="s">
        <v>1040</v>
      </c>
      <c r="T206" s="4" t="s">
        <v>404</v>
      </c>
      <c r="U206" s="60">
        <v>40969</v>
      </c>
      <c r="V206" s="4"/>
      <c r="W206" s="4"/>
      <c r="X206" s="74">
        <v>0</v>
      </c>
      <c r="Y206" s="28" t="e">
        <v>#REF!</v>
      </c>
      <c r="AA206" s="24" t="s">
        <v>393</v>
      </c>
      <c r="AB206" s="28">
        <v>40941</v>
      </c>
    </row>
    <row r="207" spans="1:28" ht="14.25" customHeight="1" x14ac:dyDescent="0.4">
      <c r="A207">
        <v>185</v>
      </c>
      <c r="B207" s="24">
        <v>40935</v>
      </c>
      <c r="C207" s="24">
        <v>40935</v>
      </c>
      <c r="D207" s="24">
        <v>40935</v>
      </c>
      <c r="E207" s="24">
        <v>40935</v>
      </c>
      <c r="F207" s="24" t="s">
        <v>393</v>
      </c>
      <c r="G207" s="24">
        <v>40945</v>
      </c>
      <c r="H207" s="23">
        <v>425</v>
      </c>
      <c r="I207" s="23">
        <v>40909</v>
      </c>
      <c r="J207" s="37">
        <v>58</v>
      </c>
      <c r="K207" s="24" t="s">
        <v>2129</v>
      </c>
      <c r="L207" s="24">
        <v>40940</v>
      </c>
      <c r="M207" s="24">
        <v>40662</v>
      </c>
      <c r="N207" s="22" t="s">
        <v>668</v>
      </c>
      <c r="O207" s="4">
        <v>9120371</v>
      </c>
      <c r="P207" s="22">
        <v>720</v>
      </c>
      <c r="Q207" s="22">
        <v>42</v>
      </c>
      <c r="R207" s="22" t="s">
        <v>2636</v>
      </c>
      <c r="S207" s="4" t="s">
        <v>144</v>
      </c>
      <c r="T207" s="4" t="s">
        <v>404</v>
      </c>
      <c r="U207" s="44">
        <v>40856</v>
      </c>
      <c r="V207" s="4"/>
      <c r="W207" s="9"/>
      <c r="X207" s="74">
        <v>0</v>
      </c>
      <c r="Y207" s="28" t="e">
        <v>#REF!</v>
      </c>
      <c r="Z207" s="9"/>
      <c r="AA207" s="24" t="s">
        <v>393</v>
      </c>
      <c r="AB207" s="28">
        <v>40945</v>
      </c>
    </row>
    <row r="208" spans="1:28" ht="14.25" customHeight="1" x14ac:dyDescent="0.4">
      <c r="A208">
        <v>186</v>
      </c>
      <c r="B208" s="22">
        <v>0</v>
      </c>
      <c r="C208" s="22" t="s">
        <v>2165</v>
      </c>
      <c r="D208" s="22">
        <v>0</v>
      </c>
      <c r="E208" s="24">
        <v>40975</v>
      </c>
      <c r="F208" s="24" t="s">
        <v>393</v>
      </c>
      <c r="G208" s="24">
        <v>40977</v>
      </c>
      <c r="H208" s="37">
        <v>505</v>
      </c>
      <c r="I208" s="23">
        <v>40969</v>
      </c>
      <c r="J208" s="37">
        <v>12</v>
      </c>
      <c r="K208" s="24" t="s">
        <v>2129</v>
      </c>
      <c r="L208" s="24">
        <v>0</v>
      </c>
      <c r="M208" s="24">
        <v>40938</v>
      </c>
      <c r="N208" s="22" t="s">
        <v>668</v>
      </c>
      <c r="O208" s="4">
        <v>9120543</v>
      </c>
      <c r="P208" s="22">
        <v>720</v>
      </c>
      <c r="Q208" s="22">
        <v>42</v>
      </c>
      <c r="R208" s="22">
        <v>10</v>
      </c>
      <c r="S208" s="4" t="s">
        <v>849</v>
      </c>
      <c r="T208" s="4" t="s">
        <v>404</v>
      </c>
      <c r="U208" s="164">
        <v>41145</v>
      </c>
      <c r="Y208" s="28" t="e">
        <v>#REF!</v>
      </c>
      <c r="AA208" s="24" t="s">
        <v>393</v>
      </c>
      <c r="AB208" s="28">
        <v>40977</v>
      </c>
    </row>
    <row r="209" spans="1:28" ht="14.25" customHeight="1" x14ac:dyDescent="0.4">
      <c r="A209">
        <v>187</v>
      </c>
      <c r="B209" s="22">
        <v>0</v>
      </c>
      <c r="C209" s="22">
        <v>0</v>
      </c>
      <c r="D209" s="22">
        <v>0</v>
      </c>
      <c r="E209" s="24">
        <v>40975</v>
      </c>
      <c r="F209" s="24" t="s">
        <v>393</v>
      </c>
      <c r="G209" s="24">
        <v>40988</v>
      </c>
      <c r="H209" s="37">
        <v>506</v>
      </c>
      <c r="I209" s="23">
        <v>40969</v>
      </c>
      <c r="J209" s="37">
        <v>13</v>
      </c>
      <c r="K209" s="24" t="s">
        <v>2129</v>
      </c>
      <c r="L209" s="24">
        <v>0</v>
      </c>
      <c r="M209" s="24">
        <v>40938</v>
      </c>
      <c r="N209" s="22" t="s">
        <v>668</v>
      </c>
      <c r="O209" s="4">
        <v>9120544</v>
      </c>
      <c r="P209" s="22">
        <v>720</v>
      </c>
      <c r="Q209" s="22">
        <v>42</v>
      </c>
      <c r="R209" s="22">
        <v>11</v>
      </c>
      <c r="S209" s="3" t="s">
        <v>1159</v>
      </c>
      <c r="T209" s="48" t="s">
        <v>404</v>
      </c>
      <c r="U209" s="164">
        <v>40992</v>
      </c>
      <c r="Y209" s="28" t="e">
        <v>#REF!</v>
      </c>
      <c r="AA209" s="24" t="s">
        <v>393</v>
      </c>
      <c r="AB209" s="28">
        <v>40988</v>
      </c>
    </row>
    <row r="210" spans="1:28" ht="14.25" customHeight="1" x14ac:dyDescent="0.4">
      <c r="A210">
        <v>188</v>
      </c>
      <c r="B210" s="22">
        <v>0</v>
      </c>
      <c r="C210" s="22">
        <v>0</v>
      </c>
      <c r="D210" s="22">
        <v>0</v>
      </c>
      <c r="E210" s="24">
        <v>41016</v>
      </c>
      <c r="F210" s="24" t="s">
        <v>393</v>
      </c>
      <c r="G210" s="24">
        <v>41023</v>
      </c>
      <c r="H210" s="37">
        <v>553</v>
      </c>
      <c r="I210" s="23">
        <v>41000</v>
      </c>
      <c r="J210" s="37">
        <v>12</v>
      </c>
      <c r="K210" s="24" t="s">
        <v>2129</v>
      </c>
      <c r="L210" s="24">
        <v>0</v>
      </c>
      <c r="M210" s="24">
        <v>40938</v>
      </c>
      <c r="N210" s="22" t="s">
        <v>668</v>
      </c>
      <c r="O210" s="4">
        <v>9120545</v>
      </c>
      <c r="P210" s="22">
        <v>720</v>
      </c>
      <c r="Q210" s="22">
        <v>50</v>
      </c>
      <c r="R210" s="22" t="s">
        <v>2637</v>
      </c>
      <c r="S210" s="3" t="s">
        <v>1160</v>
      </c>
      <c r="T210" s="48" t="s">
        <v>404</v>
      </c>
      <c r="U210" s="164">
        <v>40997</v>
      </c>
      <c r="Y210" s="28" t="e">
        <v>#REF!</v>
      </c>
      <c r="AA210" s="24" t="s">
        <v>393</v>
      </c>
      <c r="AB210" s="28">
        <v>41023</v>
      </c>
    </row>
    <row r="211" spans="1:28" ht="14.25" customHeight="1" x14ac:dyDescent="0.4">
      <c r="A211">
        <v>189</v>
      </c>
      <c r="B211" s="22">
        <v>0</v>
      </c>
      <c r="C211" s="22">
        <v>0</v>
      </c>
      <c r="D211" s="22">
        <v>0</v>
      </c>
      <c r="E211" s="24">
        <v>41016</v>
      </c>
      <c r="F211" s="24" t="s">
        <v>393</v>
      </c>
      <c r="G211" s="24">
        <v>41022</v>
      </c>
      <c r="H211" s="37">
        <v>554</v>
      </c>
      <c r="I211" s="23">
        <v>41000</v>
      </c>
      <c r="J211" s="37">
        <v>13</v>
      </c>
      <c r="K211" s="24" t="s">
        <v>2129</v>
      </c>
      <c r="L211" s="24">
        <v>0</v>
      </c>
      <c r="M211" s="24">
        <v>40938</v>
      </c>
      <c r="N211" s="22" t="s">
        <v>668</v>
      </c>
      <c r="O211" s="4">
        <v>9120546</v>
      </c>
      <c r="P211" s="22">
        <v>720</v>
      </c>
      <c r="Q211" s="22">
        <v>42</v>
      </c>
      <c r="R211" s="22">
        <v>13</v>
      </c>
      <c r="S211" s="3" t="s">
        <v>443</v>
      </c>
      <c r="T211" s="48" t="s">
        <v>404</v>
      </c>
      <c r="U211" s="164">
        <v>41023</v>
      </c>
      <c r="Y211" s="28" t="e">
        <v>#REF!</v>
      </c>
      <c r="AA211" s="24" t="s">
        <v>393</v>
      </c>
      <c r="AB211" s="28">
        <v>41022</v>
      </c>
    </row>
    <row r="212" spans="1:28" ht="14.25" customHeight="1" x14ac:dyDescent="0.4">
      <c r="A212">
        <v>190</v>
      </c>
      <c r="B212" s="22">
        <v>0</v>
      </c>
      <c r="C212" s="22" t="s">
        <v>2165</v>
      </c>
      <c r="D212" s="22">
        <v>0</v>
      </c>
      <c r="E212" s="24">
        <v>40989</v>
      </c>
      <c r="F212" s="24" t="s">
        <v>393</v>
      </c>
      <c r="G212" s="24">
        <v>40998</v>
      </c>
      <c r="H212" s="37">
        <v>522</v>
      </c>
      <c r="I212" s="23">
        <v>40969</v>
      </c>
      <c r="J212" s="37">
        <v>29</v>
      </c>
      <c r="K212" s="24" t="s">
        <v>2129</v>
      </c>
      <c r="L212" s="24">
        <v>0</v>
      </c>
      <c r="M212" s="24">
        <v>40938</v>
      </c>
      <c r="N212" s="22" t="s">
        <v>668</v>
      </c>
      <c r="O212" s="4">
        <v>9120547</v>
      </c>
      <c r="P212" s="22">
        <v>1020</v>
      </c>
      <c r="Q212" s="22">
        <v>42</v>
      </c>
      <c r="R212" s="22">
        <v>14</v>
      </c>
      <c r="S212" s="3" t="s">
        <v>1012</v>
      </c>
      <c r="T212" s="48" t="s">
        <v>404</v>
      </c>
      <c r="U212" s="164">
        <v>41005</v>
      </c>
      <c r="Y212" s="28" t="e">
        <v>#REF!</v>
      </c>
      <c r="AA212" s="24" t="s">
        <v>393</v>
      </c>
      <c r="AB212" s="28">
        <v>40998</v>
      </c>
    </row>
    <row r="213" spans="1:28" ht="14.25" customHeight="1" x14ac:dyDescent="0.4">
      <c r="A213">
        <v>191</v>
      </c>
      <c r="B213" s="22">
        <v>0</v>
      </c>
      <c r="C213" s="22">
        <v>0</v>
      </c>
      <c r="D213" s="22">
        <v>0</v>
      </c>
      <c r="E213" s="24">
        <v>40995</v>
      </c>
      <c r="F213" s="24" t="s">
        <v>393</v>
      </c>
      <c r="G213" s="24">
        <v>40997</v>
      </c>
      <c r="H213" s="37">
        <v>530</v>
      </c>
      <c r="I213" s="23">
        <v>40969</v>
      </c>
      <c r="J213" s="37">
        <v>37</v>
      </c>
      <c r="K213" s="24" t="s">
        <v>2129</v>
      </c>
      <c r="L213" s="24">
        <v>0</v>
      </c>
      <c r="M213" s="24">
        <v>40938</v>
      </c>
      <c r="N213" s="22" t="s">
        <v>668</v>
      </c>
      <c r="O213" s="4">
        <v>9120548</v>
      </c>
      <c r="P213" s="22">
        <v>1020</v>
      </c>
      <c r="Q213" s="22">
        <v>42</v>
      </c>
      <c r="R213" s="22">
        <v>15</v>
      </c>
      <c r="S213" s="3" t="s">
        <v>402</v>
      </c>
      <c r="T213" s="48" t="s">
        <v>404</v>
      </c>
      <c r="U213" s="164">
        <v>41030</v>
      </c>
      <c r="Y213" s="28" t="e">
        <v>#REF!</v>
      </c>
      <c r="AA213" s="24" t="s">
        <v>393</v>
      </c>
      <c r="AB213" s="28">
        <v>40997</v>
      </c>
    </row>
    <row r="214" spans="1:28" ht="14.25" customHeight="1" x14ac:dyDescent="0.4">
      <c r="A214">
        <v>192</v>
      </c>
      <c r="B214" s="22">
        <v>0</v>
      </c>
      <c r="C214" s="22">
        <v>0</v>
      </c>
      <c r="D214" s="22">
        <v>0</v>
      </c>
      <c r="E214" s="24">
        <v>41009</v>
      </c>
      <c r="F214" s="24" t="s">
        <v>393</v>
      </c>
      <c r="G214" s="24">
        <v>41018</v>
      </c>
      <c r="H214" s="37">
        <v>542</v>
      </c>
      <c r="I214" s="23">
        <v>41000</v>
      </c>
      <c r="J214" s="37">
        <v>2</v>
      </c>
      <c r="K214" s="24" t="s">
        <v>2129</v>
      </c>
      <c r="L214" s="24">
        <v>0</v>
      </c>
      <c r="M214" s="24">
        <v>40938</v>
      </c>
      <c r="N214" s="22" t="s">
        <v>668</v>
      </c>
      <c r="O214" s="4">
        <v>9120549</v>
      </c>
      <c r="P214" s="22">
        <v>1020</v>
      </c>
      <c r="Q214" s="22">
        <v>42</v>
      </c>
      <c r="R214" s="22">
        <v>16</v>
      </c>
      <c r="S214" s="3" t="s">
        <v>2037</v>
      </c>
      <c r="T214" s="48" t="s">
        <v>404</v>
      </c>
      <c r="U214" s="164">
        <v>41037</v>
      </c>
      <c r="Y214" s="28" t="e">
        <v>#REF!</v>
      </c>
      <c r="AA214" s="24" t="s">
        <v>393</v>
      </c>
      <c r="AB214" s="28">
        <v>41018</v>
      </c>
    </row>
    <row r="215" spans="1:28" ht="14.25" customHeight="1" x14ac:dyDescent="0.4">
      <c r="A215">
        <v>193</v>
      </c>
      <c r="B215" s="22">
        <v>0</v>
      </c>
      <c r="C215" s="22">
        <v>0</v>
      </c>
      <c r="D215" s="22">
        <v>0</v>
      </c>
      <c r="E215" s="24">
        <v>41009</v>
      </c>
      <c r="F215" s="24" t="s">
        <v>393</v>
      </c>
      <c r="G215" s="24">
        <v>41017</v>
      </c>
      <c r="H215" s="37">
        <v>543</v>
      </c>
      <c r="I215" s="23">
        <v>41000</v>
      </c>
      <c r="J215" s="37">
        <v>3</v>
      </c>
      <c r="K215" s="24" t="s">
        <v>2129</v>
      </c>
      <c r="L215" s="24">
        <v>0</v>
      </c>
      <c r="M215" s="24">
        <v>40938</v>
      </c>
      <c r="N215" s="22" t="s">
        <v>668</v>
      </c>
      <c r="O215" s="4">
        <v>9120550</v>
      </c>
      <c r="P215" s="22">
        <v>1020</v>
      </c>
      <c r="Q215" s="22">
        <v>42</v>
      </c>
      <c r="R215" s="22">
        <v>17</v>
      </c>
      <c r="S215" s="3" t="s">
        <v>1553</v>
      </c>
      <c r="T215" s="48" t="s">
        <v>404</v>
      </c>
      <c r="U215" s="164">
        <v>41101</v>
      </c>
      <c r="Y215" s="28" t="e">
        <v>#REF!</v>
      </c>
      <c r="AA215" s="24" t="s">
        <v>393</v>
      </c>
      <c r="AB215" s="28">
        <v>41017</v>
      </c>
    </row>
    <row r="216" spans="1:28" ht="14.25" customHeight="1" x14ac:dyDescent="0.4">
      <c r="A216">
        <v>194</v>
      </c>
      <c r="B216" s="22">
        <v>0</v>
      </c>
      <c r="C216" s="22">
        <v>0</v>
      </c>
      <c r="D216" s="22">
        <v>0</v>
      </c>
      <c r="E216" s="24">
        <v>41010</v>
      </c>
      <c r="F216" s="24" t="s">
        <v>393</v>
      </c>
      <c r="G216" s="24">
        <v>41011</v>
      </c>
      <c r="H216" s="37">
        <v>544</v>
      </c>
      <c r="I216" s="23">
        <v>41000</v>
      </c>
      <c r="J216" s="37">
        <v>4</v>
      </c>
      <c r="K216" s="24" t="s">
        <v>2129</v>
      </c>
      <c r="L216" s="24">
        <v>0</v>
      </c>
      <c r="M216" s="24">
        <v>40938</v>
      </c>
      <c r="N216" s="22" t="s">
        <v>668</v>
      </c>
      <c r="O216" s="4">
        <v>9120551</v>
      </c>
      <c r="P216" s="22">
        <v>1020</v>
      </c>
      <c r="Q216" s="22">
        <v>42</v>
      </c>
      <c r="R216" s="22">
        <v>18</v>
      </c>
      <c r="S216" s="3" t="s">
        <v>1651</v>
      </c>
      <c r="T216" s="48" t="s">
        <v>404</v>
      </c>
      <c r="U216" s="164">
        <v>41016</v>
      </c>
      <c r="Y216" s="28" t="e">
        <v>#REF!</v>
      </c>
      <c r="AA216" s="24" t="s">
        <v>393</v>
      </c>
      <c r="AB216" s="28">
        <v>41011</v>
      </c>
    </row>
    <row r="217" spans="1:28" ht="14.25" customHeight="1" x14ac:dyDescent="0.4">
      <c r="A217">
        <v>195</v>
      </c>
      <c r="B217" s="22">
        <v>0</v>
      </c>
      <c r="C217" s="22" t="s">
        <v>2165</v>
      </c>
      <c r="D217" s="22">
        <v>0</v>
      </c>
      <c r="E217" s="24">
        <v>40989</v>
      </c>
      <c r="F217" s="24" t="s">
        <v>393</v>
      </c>
      <c r="G217" s="24">
        <v>40996</v>
      </c>
      <c r="H217" s="37">
        <v>523</v>
      </c>
      <c r="I217" s="23">
        <v>40969</v>
      </c>
      <c r="J217" s="37">
        <v>30</v>
      </c>
      <c r="K217" s="24" t="s">
        <v>2129</v>
      </c>
      <c r="L217" s="24">
        <v>0</v>
      </c>
      <c r="M217" s="24">
        <v>40938</v>
      </c>
      <c r="N217" s="22" t="s">
        <v>668</v>
      </c>
      <c r="O217" s="4">
        <v>9120552</v>
      </c>
      <c r="P217" s="22">
        <v>1020</v>
      </c>
      <c r="Q217" s="22">
        <v>42</v>
      </c>
      <c r="R217" s="22">
        <v>19</v>
      </c>
      <c r="S217" s="3" t="s">
        <v>1404</v>
      </c>
      <c r="T217" s="48" t="s">
        <v>404</v>
      </c>
      <c r="U217" s="164">
        <v>41127</v>
      </c>
      <c r="Y217" s="28" t="e">
        <v>#REF!</v>
      </c>
      <c r="AA217" s="24" t="s">
        <v>393</v>
      </c>
      <c r="AB217" s="28">
        <v>40996</v>
      </c>
    </row>
    <row r="218" spans="1:28" ht="14.25" customHeight="1" x14ac:dyDescent="0.4">
      <c r="A218">
        <v>591</v>
      </c>
      <c r="B218" s="22">
        <v>0</v>
      </c>
      <c r="C218" s="22">
        <v>0</v>
      </c>
      <c r="D218" s="22">
        <v>0</v>
      </c>
      <c r="E218" s="24">
        <v>41039</v>
      </c>
      <c r="F218" s="24" t="s">
        <v>393</v>
      </c>
      <c r="G218" s="24">
        <v>41045</v>
      </c>
      <c r="H218" s="37">
        <v>583</v>
      </c>
      <c r="I218" s="23">
        <v>41030</v>
      </c>
      <c r="J218" s="37">
        <v>14</v>
      </c>
      <c r="K218" s="24" t="s">
        <v>2129</v>
      </c>
      <c r="L218" s="24">
        <v>0</v>
      </c>
      <c r="M218" s="24">
        <v>41031</v>
      </c>
      <c r="N218" s="22" t="s">
        <v>668</v>
      </c>
      <c r="O218" s="4">
        <v>9120591</v>
      </c>
      <c r="P218" s="22">
        <v>720</v>
      </c>
      <c r="Q218" s="22">
        <v>42</v>
      </c>
      <c r="R218" s="22">
        <v>0</v>
      </c>
      <c r="S218" s="3" t="s">
        <v>251</v>
      </c>
      <c r="T218" s="48" t="s">
        <v>404</v>
      </c>
      <c r="U218" s="164">
        <v>41086</v>
      </c>
      <c r="AA218" s="24" t="s">
        <v>393</v>
      </c>
      <c r="AB218" s="28">
        <v>41045</v>
      </c>
    </row>
    <row r="219" spans="1:28" ht="14.25" customHeight="1" x14ac:dyDescent="0.4">
      <c r="A219">
        <v>592</v>
      </c>
      <c r="B219" s="22">
        <v>0</v>
      </c>
      <c r="C219" s="22">
        <v>0</v>
      </c>
      <c r="D219" s="22">
        <v>0</v>
      </c>
      <c r="E219" s="24">
        <v>41043</v>
      </c>
      <c r="F219" s="24" t="s">
        <v>393</v>
      </c>
      <c r="G219" s="24">
        <v>41046</v>
      </c>
      <c r="H219" s="37">
        <v>585</v>
      </c>
      <c r="I219" s="23">
        <v>41030</v>
      </c>
      <c r="J219" s="37">
        <v>16</v>
      </c>
      <c r="K219" s="24" t="s">
        <v>2129</v>
      </c>
      <c r="L219" s="24">
        <v>0</v>
      </c>
      <c r="M219" s="24">
        <v>41031</v>
      </c>
      <c r="N219" s="22" t="s">
        <v>668</v>
      </c>
      <c r="O219" s="4">
        <v>9120592</v>
      </c>
      <c r="P219" s="22">
        <v>720</v>
      </c>
      <c r="Q219" s="22">
        <v>42</v>
      </c>
      <c r="R219" s="22">
        <v>0</v>
      </c>
      <c r="T219" s="48"/>
      <c r="U219" s="164"/>
      <c r="AA219" s="24" t="s">
        <v>393</v>
      </c>
      <c r="AB219" s="28">
        <v>41046</v>
      </c>
    </row>
    <row r="220" spans="1:28" ht="14.25" customHeight="1" x14ac:dyDescent="0.4">
      <c r="A220">
        <v>593</v>
      </c>
      <c r="B220" s="22">
        <v>0</v>
      </c>
      <c r="C220" s="22">
        <v>0</v>
      </c>
      <c r="D220" s="22">
        <v>0</v>
      </c>
      <c r="E220" s="24">
        <v>41044</v>
      </c>
      <c r="F220" s="24" t="s">
        <v>393</v>
      </c>
      <c r="G220" s="24">
        <v>41052</v>
      </c>
      <c r="H220" s="37">
        <v>586</v>
      </c>
      <c r="I220" s="23">
        <v>41030</v>
      </c>
      <c r="J220" s="37">
        <v>17</v>
      </c>
      <c r="K220" s="24" t="s">
        <v>2129</v>
      </c>
      <c r="L220" s="24">
        <v>0</v>
      </c>
      <c r="M220" s="24">
        <v>41031</v>
      </c>
      <c r="N220" s="22" t="s">
        <v>668</v>
      </c>
      <c r="O220" s="4">
        <v>9120593</v>
      </c>
      <c r="P220" s="22">
        <v>1020</v>
      </c>
      <c r="Q220" s="22">
        <v>42</v>
      </c>
      <c r="R220" s="22">
        <v>0</v>
      </c>
      <c r="S220" s="3" t="s">
        <v>87</v>
      </c>
      <c r="T220" s="48" t="s">
        <v>404</v>
      </c>
      <c r="U220" s="164">
        <v>41061</v>
      </c>
      <c r="AA220" s="24" t="s">
        <v>393</v>
      </c>
      <c r="AB220" s="28">
        <v>41052</v>
      </c>
    </row>
    <row r="221" spans="1:28" ht="14.25" customHeight="1" x14ac:dyDescent="0.4">
      <c r="A221">
        <v>594</v>
      </c>
      <c r="B221" s="22">
        <v>0</v>
      </c>
      <c r="C221" s="22">
        <v>0</v>
      </c>
      <c r="D221" s="22">
        <v>0</v>
      </c>
      <c r="E221" s="24">
        <v>41045</v>
      </c>
      <c r="F221" s="24" t="s">
        <v>393</v>
      </c>
      <c r="G221" s="24">
        <v>41053</v>
      </c>
      <c r="H221" s="37">
        <v>587</v>
      </c>
      <c r="I221" s="23">
        <v>41030</v>
      </c>
      <c r="J221" s="37">
        <v>18</v>
      </c>
      <c r="K221" s="24" t="s">
        <v>2129</v>
      </c>
      <c r="L221" s="24">
        <v>0</v>
      </c>
      <c r="M221" s="24">
        <v>41031</v>
      </c>
      <c r="N221" s="22" t="s">
        <v>668</v>
      </c>
      <c r="O221" s="4">
        <v>9120594</v>
      </c>
      <c r="P221" s="22">
        <v>1020</v>
      </c>
      <c r="Q221" s="22">
        <v>42</v>
      </c>
      <c r="R221" s="22">
        <v>0</v>
      </c>
      <c r="T221" s="48" t="s">
        <v>404</v>
      </c>
      <c r="U221" s="164">
        <v>41090</v>
      </c>
      <c r="AA221" s="24" t="s">
        <v>393</v>
      </c>
      <c r="AB221" s="28">
        <v>41053</v>
      </c>
    </row>
    <row r="222" spans="1:28" s="6" customFormat="1" ht="14.25" customHeight="1" x14ac:dyDescent="0.4">
      <c r="A222">
        <v>595</v>
      </c>
      <c r="B222" s="22">
        <v>0</v>
      </c>
      <c r="C222" s="22" t="s">
        <v>2165</v>
      </c>
      <c r="D222" s="22">
        <v>0</v>
      </c>
      <c r="E222" s="24">
        <v>41046</v>
      </c>
      <c r="F222" s="24" t="s">
        <v>393</v>
      </c>
      <c r="G222" s="24">
        <v>41051</v>
      </c>
      <c r="H222" s="37">
        <v>588</v>
      </c>
      <c r="I222" s="23">
        <v>41030</v>
      </c>
      <c r="J222" s="37">
        <v>19</v>
      </c>
      <c r="K222" s="24" t="s">
        <v>2129</v>
      </c>
      <c r="L222" s="24">
        <v>0</v>
      </c>
      <c r="M222" s="24">
        <v>41031</v>
      </c>
      <c r="N222" s="22" t="s">
        <v>668</v>
      </c>
      <c r="O222" s="4">
        <v>9120595</v>
      </c>
      <c r="P222" s="22">
        <v>1020</v>
      </c>
      <c r="Q222" s="22">
        <v>42</v>
      </c>
      <c r="R222" s="22">
        <v>0</v>
      </c>
      <c r="S222" s="3" t="s">
        <v>2169</v>
      </c>
      <c r="T222" s="48" t="s">
        <v>404</v>
      </c>
      <c r="U222" s="13">
        <v>41138</v>
      </c>
      <c r="V222" s="1"/>
      <c r="W222" s="1"/>
      <c r="X222" s="75"/>
      <c r="Y222" s="1"/>
      <c r="Z222" s="1"/>
      <c r="AA222" s="24" t="s">
        <v>393</v>
      </c>
      <c r="AB222" s="28">
        <v>41051</v>
      </c>
    </row>
    <row r="223" spans="1:28" ht="14.25" customHeight="1" x14ac:dyDescent="0.4">
      <c r="A223">
        <v>596</v>
      </c>
      <c r="B223" s="22">
        <v>0</v>
      </c>
      <c r="C223" s="22">
        <v>0</v>
      </c>
      <c r="D223" s="22">
        <v>0</v>
      </c>
      <c r="E223" s="24">
        <v>41050</v>
      </c>
      <c r="F223" s="24" t="s">
        <v>393</v>
      </c>
      <c r="G223" s="24">
        <v>41051</v>
      </c>
      <c r="H223" s="37">
        <v>589</v>
      </c>
      <c r="I223" s="23">
        <v>41030</v>
      </c>
      <c r="J223" s="37">
        <v>20</v>
      </c>
      <c r="K223" s="24" t="s">
        <v>2129</v>
      </c>
      <c r="L223" s="24">
        <v>0</v>
      </c>
      <c r="M223" s="24">
        <v>41031</v>
      </c>
      <c r="N223" s="22" t="s">
        <v>668</v>
      </c>
      <c r="O223" s="4">
        <v>9120596</v>
      </c>
      <c r="P223" s="22">
        <v>1020</v>
      </c>
      <c r="Q223" s="22">
        <v>42</v>
      </c>
      <c r="R223" s="22">
        <v>0</v>
      </c>
      <c r="S223" s="3" t="s">
        <v>2170</v>
      </c>
      <c r="T223" s="48" t="s">
        <v>404</v>
      </c>
      <c r="U223" s="13">
        <v>41136</v>
      </c>
      <c r="AA223" s="24" t="s">
        <v>393</v>
      </c>
      <c r="AB223" s="28">
        <v>41051</v>
      </c>
    </row>
    <row r="224" spans="1:28" s="6" customFormat="1" ht="14.25" customHeight="1" x14ac:dyDescent="0.4">
      <c r="A224">
        <v>200</v>
      </c>
      <c r="B224" s="24">
        <v>40757</v>
      </c>
      <c r="C224" s="24">
        <v>40757</v>
      </c>
      <c r="D224" s="24">
        <v>40757</v>
      </c>
      <c r="E224" s="24">
        <v>40757</v>
      </c>
      <c r="F224" s="24" t="s">
        <v>393</v>
      </c>
      <c r="G224" s="24">
        <v>40767</v>
      </c>
      <c r="H224" s="37">
        <v>60</v>
      </c>
      <c r="I224" s="23">
        <v>40756</v>
      </c>
      <c r="J224" s="37">
        <v>5</v>
      </c>
      <c r="K224" s="24" t="s">
        <v>412</v>
      </c>
      <c r="L224" s="24">
        <v>0</v>
      </c>
      <c r="M224" s="24">
        <v>40669</v>
      </c>
      <c r="N224" s="22" t="s">
        <v>563</v>
      </c>
      <c r="O224" s="4">
        <v>9120320</v>
      </c>
      <c r="P224" s="22">
        <v>1020</v>
      </c>
      <c r="Q224" s="22">
        <v>50</v>
      </c>
      <c r="R224" s="22">
        <v>0</v>
      </c>
      <c r="S224" s="55"/>
      <c r="T224" s="55"/>
      <c r="U224" s="166"/>
      <c r="V224" s="55"/>
      <c r="W224" s="71"/>
      <c r="X224" s="74"/>
      <c r="Y224" s="28" t="e">
        <v>#REF!</v>
      </c>
      <c r="Z224" s="29"/>
      <c r="AA224" s="24" t="s">
        <v>393</v>
      </c>
      <c r="AB224" s="28">
        <v>40767</v>
      </c>
    </row>
    <row r="225" spans="1:28" ht="14.25" customHeight="1" x14ac:dyDescent="0.4">
      <c r="A225">
        <v>201</v>
      </c>
      <c r="B225" s="24">
        <v>40758</v>
      </c>
      <c r="C225" s="24">
        <v>40758</v>
      </c>
      <c r="D225" s="24">
        <v>40758</v>
      </c>
      <c r="E225" s="24">
        <v>40758</v>
      </c>
      <c r="F225" s="24" t="s">
        <v>393</v>
      </c>
      <c r="G225" s="24">
        <v>40772</v>
      </c>
      <c r="H225" s="37">
        <v>61</v>
      </c>
      <c r="I225" s="23">
        <v>40756</v>
      </c>
      <c r="J225" s="37">
        <v>6</v>
      </c>
      <c r="K225" s="24" t="s">
        <v>412</v>
      </c>
      <c r="L225" s="24">
        <v>0</v>
      </c>
      <c r="M225" s="24">
        <v>40669</v>
      </c>
      <c r="N225" s="22" t="s">
        <v>563</v>
      </c>
      <c r="O225" s="4">
        <v>9120321</v>
      </c>
      <c r="P225" s="22">
        <v>1020</v>
      </c>
      <c r="Q225" s="22">
        <v>50</v>
      </c>
      <c r="R225" s="22" t="s">
        <v>1087</v>
      </c>
      <c r="S225" s="55"/>
      <c r="T225" s="55"/>
      <c r="U225" s="42"/>
      <c r="V225" s="55"/>
      <c r="W225" s="70"/>
      <c r="X225" s="74"/>
      <c r="Y225" s="28" t="e">
        <v>#REF!</v>
      </c>
      <c r="Z225" s="29"/>
      <c r="AA225" s="24" t="s">
        <v>393</v>
      </c>
      <c r="AB225" s="28">
        <v>40772</v>
      </c>
    </row>
    <row r="226" spans="1:28" ht="14.25" customHeight="1" x14ac:dyDescent="0.4">
      <c r="A226">
        <v>202</v>
      </c>
      <c r="B226" s="24">
        <v>40904</v>
      </c>
      <c r="C226" s="24">
        <v>40904</v>
      </c>
      <c r="D226" s="24">
        <v>40904</v>
      </c>
      <c r="E226" s="24">
        <v>40904</v>
      </c>
      <c r="F226" s="24" t="s">
        <v>393</v>
      </c>
      <c r="G226" s="24">
        <v>40906</v>
      </c>
      <c r="H226" s="23">
        <v>362</v>
      </c>
      <c r="I226" s="23">
        <v>40878</v>
      </c>
      <c r="J226" s="37">
        <v>52</v>
      </c>
      <c r="K226" s="24" t="s">
        <v>412</v>
      </c>
      <c r="L226" s="24">
        <v>0</v>
      </c>
      <c r="M226" s="24">
        <v>40669</v>
      </c>
      <c r="N226" s="22" t="s">
        <v>563</v>
      </c>
      <c r="O226" s="4">
        <v>9120322</v>
      </c>
      <c r="P226" s="22">
        <v>1020</v>
      </c>
      <c r="Q226" s="22">
        <v>50</v>
      </c>
      <c r="R226" s="22">
        <v>0</v>
      </c>
      <c r="S226" s="49"/>
      <c r="T226" s="55"/>
      <c r="U226" s="164"/>
      <c r="V226" s="55"/>
      <c r="Y226" s="28" t="e">
        <v>#REF!</v>
      </c>
      <c r="AA226" s="24" t="s">
        <v>393</v>
      </c>
      <c r="AB226" s="28">
        <v>40906</v>
      </c>
    </row>
    <row r="227" spans="1:28" ht="14.25" customHeight="1" x14ac:dyDescent="0.4">
      <c r="A227">
        <v>203</v>
      </c>
      <c r="B227" s="22">
        <v>0</v>
      </c>
      <c r="C227" s="22">
        <v>0</v>
      </c>
      <c r="D227" s="22">
        <v>0</v>
      </c>
      <c r="E227" s="24">
        <v>40780</v>
      </c>
      <c r="F227" s="24" t="s">
        <v>393</v>
      </c>
      <c r="G227" s="24">
        <v>40798</v>
      </c>
      <c r="H227" s="37">
        <v>109</v>
      </c>
      <c r="I227" s="23">
        <v>40756</v>
      </c>
      <c r="J227" s="37">
        <v>54</v>
      </c>
      <c r="K227" s="24" t="s">
        <v>412</v>
      </c>
      <c r="L227" s="24">
        <v>0</v>
      </c>
      <c r="M227" s="24">
        <v>40669</v>
      </c>
      <c r="N227" s="22" t="s">
        <v>563</v>
      </c>
      <c r="O227" s="4">
        <v>9120315</v>
      </c>
      <c r="P227" s="22">
        <v>1220</v>
      </c>
      <c r="Q227" s="22">
        <v>50</v>
      </c>
      <c r="R227" s="22">
        <v>0</v>
      </c>
      <c r="S227" s="55"/>
      <c r="T227" s="102" t="s">
        <v>404</v>
      </c>
      <c r="U227" s="42">
        <v>40935</v>
      </c>
      <c r="V227" s="55" t="s">
        <v>404</v>
      </c>
      <c r="W227" s="28">
        <v>41059</v>
      </c>
      <c r="X227" s="74"/>
      <c r="Y227" s="28" t="e">
        <v>#REF!</v>
      </c>
      <c r="Z227" s="28"/>
      <c r="AA227" s="24" t="s">
        <v>393</v>
      </c>
      <c r="AB227" s="28">
        <v>40798</v>
      </c>
    </row>
    <row r="228" spans="1:28" ht="14.25" customHeight="1" x14ac:dyDescent="0.4">
      <c r="A228">
        <v>204</v>
      </c>
      <c r="B228" s="22">
        <v>0</v>
      </c>
      <c r="C228" s="22">
        <v>0</v>
      </c>
      <c r="D228" s="22">
        <v>0</v>
      </c>
      <c r="E228" s="24" t="s">
        <v>2638</v>
      </c>
      <c r="F228" s="24" t="s">
        <v>393</v>
      </c>
      <c r="G228" s="24">
        <v>40966</v>
      </c>
      <c r="H228" s="37">
        <v>454</v>
      </c>
      <c r="I228" s="23">
        <v>40940</v>
      </c>
      <c r="J228" s="37">
        <v>24</v>
      </c>
      <c r="K228" s="24" t="s">
        <v>412</v>
      </c>
      <c r="L228" s="24">
        <v>0</v>
      </c>
      <c r="M228" s="24">
        <v>40669</v>
      </c>
      <c r="N228" s="22" t="s">
        <v>563</v>
      </c>
      <c r="O228" s="4">
        <v>9120316</v>
      </c>
      <c r="P228" s="22">
        <v>1220</v>
      </c>
      <c r="Q228" s="22">
        <v>50</v>
      </c>
      <c r="R228" s="22">
        <v>0</v>
      </c>
      <c r="S228" s="102"/>
      <c r="T228" s="55" t="s">
        <v>404</v>
      </c>
      <c r="U228" s="42">
        <v>40851</v>
      </c>
      <c r="V228" s="55" t="s">
        <v>404</v>
      </c>
      <c r="W228" s="28">
        <v>41059</v>
      </c>
      <c r="X228" s="74"/>
      <c r="Y228" s="28" t="e">
        <v>#REF!</v>
      </c>
      <c r="Z228" s="9"/>
      <c r="AA228" s="24" t="s">
        <v>393</v>
      </c>
      <c r="AB228" s="28">
        <v>40966</v>
      </c>
    </row>
    <row r="229" spans="1:28" ht="14.25" customHeight="1" x14ac:dyDescent="0.4">
      <c r="A229">
        <v>205</v>
      </c>
      <c r="B229" s="22">
        <v>0</v>
      </c>
      <c r="C229" s="22">
        <v>0</v>
      </c>
      <c r="D229" s="22">
        <v>0</v>
      </c>
      <c r="E229" s="24">
        <v>40949</v>
      </c>
      <c r="F229" s="24" t="s">
        <v>393</v>
      </c>
      <c r="G229" s="24">
        <v>40959</v>
      </c>
      <c r="H229" s="37">
        <v>455</v>
      </c>
      <c r="I229" s="23">
        <v>40940</v>
      </c>
      <c r="J229" s="37">
        <v>25</v>
      </c>
      <c r="K229" s="24" t="s">
        <v>412</v>
      </c>
      <c r="L229" s="24">
        <v>0</v>
      </c>
      <c r="M229" s="24">
        <v>40669</v>
      </c>
      <c r="N229" s="22" t="s">
        <v>563</v>
      </c>
      <c r="O229" s="4">
        <v>9120317</v>
      </c>
      <c r="P229" s="22">
        <v>1220</v>
      </c>
      <c r="Q229" s="22">
        <v>50</v>
      </c>
      <c r="R229" s="22">
        <v>0</v>
      </c>
      <c r="S229" s="55" t="s">
        <v>1859</v>
      </c>
      <c r="T229" s="55"/>
      <c r="U229" s="94"/>
      <c r="V229" s="55"/>
      <c r="W229" s="55"/>
      <c r="X229" s="74"/>
      <c r="Y229" s="28" t="e">
        <v>#REF!</v>
      </c>
      <c r="Z229" s="9"/>
      <c r="AA229" s="24" t="s">
        <v>393</v>
      </c>
      <c r="AB229" s="28">
        <v>40959</v>
      </c>
    </row>
    <row r="230" spans="1:28" ht="14.25" customHeight="1" x14ac:dyDescent="0.4">
      <c r="A230">
        <v>206</v>
      </c>
      <c r="B230" s="24">
        <v>40962</v>
      </c>
      <c r="C230" s="24">
        <v>40962</v>
      </c>
      <c r="D230" s="24">
        <v>40962</v>
      </c>
      <c r="E230" s="24">
        <v>40962</v>
      </c>
      <c r="F230" s="24" t="s">
        <v>393</v>
      </c>
      <c r="G230" s="24">
        <v>40974</v>
      </c>
      <c r="H230" s="23">
        <v>478</v>
      </c>
      <c r="I230" s="23">
        <v>40940</v>
      </c>
      <c r="J230" s="37">
        <v>48</v>
      </c>
      <c r="K230" s="24" t="s">
        <v>412</v>
      </c>
      <c r="L230" s="24">
        <v>0</v>
      </c>
      <c r="M230" s="24">
        <v>40669</v>
      </c>
      <c r="N230" s="22" t="s">
        <v>563</v>
      </c>
      <c r="O230" s="4">
        <v>9120318</v>
      </c>
      <c r="P230" s="22">
        <v>1220</v>
      </c>
      <c r="Q230" s="22">
        <v>50</v>
      </c>
      <c r="R230" s="22">
        <v>0</v>
      </c>
      <c r="S230" s="55" t="s">
        <v>1860</v>
      </c>
      <c r="T230" s="55"/>
      <c r="U230" s="94"/>
      <c r="V230" s="55"/>
      <c r="W230" s="94"/>
      <c r="X230" s="74">
        <v>0</v>
      </c>
      <c r="Y230" s="28" t="e">
        <v>#REF!</v>
      </c>
      <c r="Z230" s="9"/>
      <c r="AA230" s="24" t="s">
        <v>393</v>
      </c>
      <c r="AB230" s="28">
        <v>40974</v>
      </c>
    </row>
    <row r="231" spans="1:28" ht="14.25" customHeight="1" x14ac:dyDescent="0.4">
      <c r="A231">
        <v>207</v>
      </c>
      <c r="B231" s="24">
        <v>40962</v>
      </c>
      <c r="C231" s="24">
        <v>40962</v>
      </c>
      <c r="D231" s="24">
        <v>40962</v>
      </c>
      <c r="E231" s="24">
        <v>40962</v>
      </c>
      <c r="F231" s="24" t="s">
        <v>393</v>
      </c>
      <c r="G231" s="24">
        <v>40983</v>
      </c>
      <c r="H231" s="23">
        <v>479</v>
      </c>
      <c r="I231" s="23">
        <v>40940</v>
      </c>
      <c r="J231" s="37">
        <v>49</v>
      </c>
      <c r="K231" s="24" t="s">
        <v>412</v>
      </c>
      <c r="L231" s="24">
        <v>0</v>
      </c>
      <c r="M231" s="24">
        <v>40669</v>
      </c>
      <c r="N231" s="22" t="s">
        <v>563</v>
      </c>
      <c r="O231" s="4">
        <v>9120319</v>
      </c>
      <c r="P231" s="22">
        <v>1220</v>
      </c>
      <c r="Q231" s="22">
        <v>50</v>
      </c>
      <c r="R231" s="22">
        <v>0</v>
      </c>
      <c r="S231" s="55"/>
      <c r="T231" s="55"/>
      <c r="U231" s="94"/>
      <c r="V231" s="55"/>
      <c r="W231" s="92"/>
      <c r="X231" s="74">
        <v>0</v>
      </c>
      <c r="Y231" s="28" t="e">
        <v>#REF!</v>
      </c>
      <c r="Z231" s="9"/>
      <c r="AA231" s="24" t="s">
        <v>393</v>
      </c>
      <c r="AB231" s="28">
        <v>40983</v>
      </c>
    </row>
    <row r="232" spans="1:28" ht="14.25" customHeight="1" x14ac:dyDescent="0.4">
      <c r="A232">
        <v>208</v>
      </c>
      <c r="B232" s="22">
        <v>0</v>
      </c>
      <c r="C232" s="22" t="s">
        <v>2165</v>
      </c>
      <c r="D232" s="22">
        <v>0</v>
      </c>
      <c r="E232" s="24">
        <v>40732</v>
      </c>
      <c r="F232" s="24" t="s">
        <v>393</v>
      </c>
      <c r="G232" s="24">
        <v>40742</v>
      </c>
      <c r="H232" s="37">
        <v>9</v>
      </c>
      <c r="I232" s="23">
        <v>40725</v>
      </c>
      <c r="J232" s="37">
        <v>9</v>
      </c>
      <c r="K232" s="24" t="s">
        <v>412</v>
      </c>
      <c r="L232" s="24">
        <v>40725</v>
      </c>
      <c r="M232" s="24">
        <v>40673</v>
      </c>
      <c r="N232" s="22" t="s">
        <v>1878</v>
      </c>
      <c r="O232" s="4">
        <v>9120195</v>
      </c>
      <c r="P232" s="22">
        <v>1220</v>
      </c>
      <c r="Q232" s="22">
        <v>50</v>
      </c>
      <c r="R232" s="22">
        <v>0</v>
      </c>
      <c r="S232" s="3" t="s">
        <v>436</v>
      </c>
      <c r="T232" s="55" t="s">
        <v>404</v>
      </c>
      <c r="U232" s="42">
        <v>40988</v>
      </c>
      <c r="V232" s="55" t="s">
        <v>404</v>
      </c>
      <c r="W232" s="92">
        <v>40997</v>
      </c>
      <c r="X232" s="74"/>
      <c r="Y232" s="28" t="e">
        <v>#REF!</v>
      </c>
      <c r="Z232" s="28"/>
      <c r="AA232" s="24" t="s">
        <v>393</v>
      </c>
      <c r="AB232" s="28">
        <v>40742</v>
      </c>
    </row>
    <row r="233" spans="1:28" ht="14.25" customHeight="1" x14ac:dyDescent="0.4">
      <c r="A233">
        <v>209</v>
      </c>
      <c r="B233" s="22">
        <v>0</v>
      </c>
      <c r="C233" s="22" t="s">
        <v>2165</v>
      </c>
      <c r="D233" s="22">
        <v>0</v>
      </c>
      <c r="E233" s="24">
        <v>40732</v>
      </c>
      <c r="F233" s="24" t="s">
        <v>393</v>
      </c>
      <c r="G233" s="24">
        <v>40742</v>
      </c>
      <c r="H233" s="37">
        <v>10</v>
      </c>
      <c r="I233" s="23">
        <v>40725</v>
      </c>
      <c r="J233" s="37">
        <v>10</v>
      </c>
      <c r="K233" s="24" t="s">
        <v>412</v>
      </c>
      <c r="L233" s="24">
        <v>40725</v>
      </c>
      <c r="M233" s="24">
        <v>40673</v>
      </c>
      <c r="N233" s="22" t="s">
        <v>1878</v>
      </c>
      <c r="O233" s="4">
        <v>9120205</v>
      </c>
      <c r="P233" s="22">
        <v>1020</v>
      </c>
      <c r="Q233" s="22">
        <v>50</v>
      </c>
      <c r="R233" s="22" t="s">
        <v>1087</v>
      </c>
      <c r="S233" s="3" t="s">
        <v>437</v>
      </c>
      <c r="T233" s="55" t="s">
        <v>404</v>
      </c>
      <c r="U233" s="42">
        <v>40816</v>
      </c>
      <c r="V233" s="55" t="s">
        <v>404</v>
      </c>
      <c r="W233" s="28">
        <v>40862</v>
      </c>
      <c r="X233" s="74"/>
      <c r="Y233" s="28" t="e">
        <v>#REF!</v>
      </c>
      <c r="Z233" s="9"/>
      <c r="AA233" s="24" t="s">
        <v>393</v>
      </c>
      <c r="AB233" s="28">
        <v>40742</v>
      </c>
    </row>
    <row r="234" spans="1:28" s="4" customFormat="1" ht="14.25" customHeight="1" x14ac:dyDescent="0.4">
      <c r="A234">
        <v>210</v>
      </c>
      <c r="B234" s="22">
        <v>0</v>
      </c>
      <c r="C234" s="22" t="s">
        <v>2165</v>
      </c>
      <c r="D234" s="22">
        <v>0</v>
      </c>
      <c r="E234" s="24">
        <v>40735</v>
      </c>
      <c r="F234" s="24" t="s">
        <v>393</v>
      </c>
      <c r="G234" s="24">
        <v>40745</v>
      </c>
      <c r="H234" s="37">
        <v>11</v>
      </c>
      <c r="I234" s="23">
        <v>40725</v>
      </c>
      <c r="J234" s="37">
        <v>11</v>
      </c>
      <c r="K234" s="24" t="s">
        <v>412</v>
      </c>
      <c r="L234" s="24">
        <v>40725</v>
      </c>
      <c r="M234" s="24">
        <v>40673</v>
      </c>
      <c r="N234" s="22" t="s">
        <v>1878</v>
      </c>
      <c r="O234" s="4">
        <v>9120206</v>
      </c>
      <c r="P234" s="22">
        <v>1020</v>
      </c>
      <c r="Q234" s="22">
        <v>50</v>
      </c>
      <c r="R234" s="22">
        <v>0</v>
      </c>
      <c r="S234" s="3" t="s">
        <v>2029</v>
      </c>
      <c r="T234" s="55" t="s">
        <v>404</v>
      </c>
      <c r="U234" s="42">
        <v>41041</v>
      </c>
      <c r="V234" s="55" t="s">
        <v>404</v>
      </c>
      <c r="W234" s="62">
        <v>41059</v>
      </c>
      <c r="X234" s="74"/>
      <c r="Y234" s="28" t="e">
        <v>#REF!</v>
      </c>
      <c r="Z234" s="28"/>
      <c r="AA234" s="24" t="s">
        <v>393</v>
      </c>
      <c r="AB234" s="28">
        <v>40745</v>
      </c>
    </row>
    <row r="235" spans="1:28" s="4" customFormat="1" ht="14.25" customHeight="1" x14ac:dyDescent="0.4">
      <c r="A235">
        <v>211</v>
      </c>
      <c r="B235" s="22">
        <v>0</v>
      </c>
      <c r="C235" s="22" t="s">
        <v>2165</v>
      </c>
      <c r="D235" s="22">
        <v>0</v>
      </c>
      <c r="E235" s="24">
        <v>40735</v>
      </c>
      <c r="F235" s="24" t="s">
        <v>393</v>
      </c>
      <c r="G235" s="24">
        <v>40742</v>
      </c>
      <c r="H235" s="37">
        <v>12</v>
      </c>
      <c r="I235" s="23">
        <v>40725</v>
      </c>
      <c r="J235" s="37">
        <v>12</v>
      </c>
      <c r="K235" s="24" t="s">
        <v>412</v>
      </c>
      <c r="L235" s="24">
        <v>40725</v>
      </c>
      <c r="M235" s="24">
        <v>40673</v>
      </c>
      <c r="N235" s="22" t="s">
        <v>1878</v>
      </c>
      <c r="O235" s="4">
        <v>9120225</v>
      </c>
      <c r="P235" s="22">
        <v>1020</v>
      </c>
      <c r="Q235" s="22">
        <v>50</v>
      </c>
      <c r="R235" s="22">
        <v>0</v>
      </c>
      <c r="S235" s="3" t="s">
        <v>1042</v>
      </c>
      <c r="T235" s="55" t="s">
        <v>404</v>
      </c>
      <c r="U235" s="94">
        <v>40844</v>
      </c>
      <c r="V235" s="55" t="s">
        <v>404</v>
      </c>
      <c r="W235" s="92">
        <v>40896</v>
      </c>
      <c r="X235" s="74"/>
      <c r="Y235" s="28" t="e">
        <v>#REF!</v>
      </c>
      <c r="Z235" s="9"/>
      <c r="AA235" s="24" t="s">
        <v>393</v>
      </c>
      <c r="AB235" s="28">
        <v>40742</v>
      </c>
    </row>
    <row r="236" spans="1:28" s="4" customFormat="1" ht="14.25" customHeight="1" x14ac:dyDescent="0.4">
      <c r="A236">
        <v>212</v>
      </c>
      <c r="B236" s="24">
        <v>40781</v>
      </c>
      <c r="C236" s="24">
        <v>40781</v>
      </c>
      <c r="D236" s="24">
        <v>40781</v>
      </c>
      <c r="E236" s="24">
        <v>40781</v>
      </c>
      <c r="F236" s="24" t="s">
        <v>393</v>
      </c>
      <c r="G236" s="24">
        <v>40787</v>
      </c>
      <c r="H236" s="37">
        <v>111</v>
      </c>
      <c r="I236" s="23">
        <v>40756</v>
      </c>
      <c r="J236" s="37">
        <v>56</v>
      </c>
      <c r="K236" s="24" t="s">
        <v>412</v>
      </c>
      <c r="L236" s="24">
        <v>40878</v>
      </c>
      <c r="M236" s="24">
        <v>40673</v>
      </c>
      <c r="N236" s="22" t="s">
        <v>1878</v>
      </c>
      <c r="O236" s="4">
        <v>9120215</v>
      </c>
      <c r="P236" s="22">
        <v>1020</v>
      </c>
      <c r="Q236" s="22">
        <v>50</v>
      </c>
      <c r="R236" s="22">
        <v>0</v>
      </c>
      <c r="S236" s="102" t="s">
        <v>1803</v>
      </c>
      <c r="T236" s="55" t="s">
        <v>404</v>
      </c>
      <c r="U236" s="136">
        <v>40983</v>
      </c>
      <c r="V236" s="55" t="s">
        <v>404</v>
      </c>
      <c r="W236" s="93">
        <v>40997</v>
      </c>
      <c r="X236" s="74"/>
      <c r="Y236" s="28" t="e">
        <v>#REF!</v>
      </c>
      <c r="Z236" s="28"/>
      <c r="AA236" s="24" t="s">
        <v>393</v>
      </c>
      <c r="AB236" s="28">
        <v>40787</v>
      </c>
    </row>
    <row r="237" spans="1:28" ht="14.25" customHeight="1" x14ac:dyDescent="0.4">
      <c r="A237">
        <v>213</v>
      </c>
      <c r="B237" s="24">
        <v>40781</v>
      </c>
      <c r="C237" s="24">
        <v>40781</v>
      </c>
      <c r="D237" s="24">
        <v>40781</v>
      </c>
      <c r="E237" s="24">
        <v>40781</v>
      </c>
      <c r="F237" s="24" t="s">
        <v>393</v>
      </c>
      <c r="G237" s="24">
        <v>40792</v>
      </c>
      <c r="H237" s="37">
        <v>112</v>
      </c>
      <c r="I237" s="23">
        <v>40756</v>
      </c>
      <c r="J237" s="37">
        <v>57</v>
      </c>
      <c r="K237" s="24" t="s">
        <v>412</v>
      </c>
      <c r="L237" s="24">
        <v>40879</v>
      </c>
      <c r="M237" s="24">
        <v>40673</v>
      </c>
      <c r="N237" s="22" t="s">
        <v>1878</v>
      </c>
      <c r="O237" s="4">
        <v>9120216</v>
      </c>
      <c r="P237" s="22">
        <v>1020</v>
      </c>
      <c r="Q237" s="22">
        <v>50</v>
      </c>
      <c r="R237" s="22">
        <v>0</v>
      </c>
      <c r="S237" s="3" t="s">
        <v>1043</v>
      </c>
      <c r="T237" s="55" t="s">
        <v>404</v>
      </c>
      <c r="U237" s="94">
        <v>40814</v>
      </c>
      <c r="V237" s="55" t="s">
        <v>404</v>
      </c>
      <c r="W237" s="92">
        <v>40885</v>
      </c>
      <c r="X237" s="74"/>
      <c r="Y237" s="28" t="e">
        <v>#REF!</v>
      </c>
      <c r="Z237" s="9"/>
      <c r="AA237" s="24" t="s">
        <v>393</v>
      </c>
      <c r="AB237" s="28">
        <v>40792</v>
      </c>
    </row>
    <row r="238" spans="1:28" ht="14.25" customHeight="1" x14ac:dyDescent="0.4">
      <c r="A238">
        <v>214</v>
      </c>
      <c r="B238" s="22">
        <v>0</v>
      </c>
      <c r="C238" s="22" t="s">
        <v>2165</v>
      </c>
      <c r="D238" s="22">
        <v>0</v>
      </c>
      <c r="E238" s="24">
        <v>40784</v>
      </c>
      <c r="F238" s="24" t="s">
        <v>393</v>
      </c>
      <c r="G238" s="24">
        <v>40805</v>
      </c>
      <c r="H238" s="37">
        <v>113</v>
      </c>
      <c r="I238" s="23">
        <v>40756</v>
      </c>
      <c r="J238" s="37">
        <v>58</v>
      </c>
      <c r="K238" s="24" t="s">
        <v>412</v>
      </c>
      <c r="L238" s="24">
        <v>40880</v>
      </c>
      <c r="M238" s="24">
        <v>40673</v>
      </c>
      <c r="N238" s="22" t="s">
        <v>1878</v>
      </c>
      <c r="O238" s="4">
        <v>9120217</v>
      </c>
      <c r="P238" s="22">
        <v>1020</v>
      </c>
      <c r="Q238" s="22">
        <v>50</v>
      </c>
      <c r="R238" s="22">
        <v>0</v>
      </c>
      <c r="S238" s="102" t="s">
        <v>438</v>
      </c>
      <c r="T238" s="55" t="s">
        <v>404</v>
      </c>
      <c r="U238" s="94">
        <v>40884</v>
      </c>
      <c r="V238" s="55" t="s">
        <v>404</v>
      </c>
      <c r="W238" s="93">
        <v>40917</v>
      </c>
      <c r="X238" s="74"/>
      <c r="Y238" s="28" t="e">
        <v>#REF!</v>
      </c>
      <c r="Z238" s="9"/>
      <c r="AA238" s="24" t="s">
        <v>393</v>
      </c>
      <c r="AB238" s="28">
        <v>40805</v>
      </c>
    </row>
    <row r="239" spans="1:28" s="6" customFormat="1" ht="14.25" customHeight="1" x14ac:dyDescent="0.4">
      <c r="A239">
        <v>215</v>
      </c>
      <c r="B239" s="22">
        <v>0</v>
      </c>
      <c r="C239" s="22" t="s">
        <v>2165</v>
      </c>
      <c r="D239" s="22">
        <v>0</v>
      </c>
      <c r="E239" s="24">
        <v>40784</v>
      </c>
      <c r="F239" s="24" t="s">
        <v>393</v>
      </c>
      <c r="G239" s="24">
        <v>40807</v>
      </c>
      <c r="H239" s="37">
        <v>114</v>
      </c>
      <c r="I239" s="23">
        <v>40756</v>
      </c>
      <c r="J239" s="37">
        <v>59</v>
      </c>
      <c r="K239" s="24" t="s">
        <v>412</v>
      </c>
      <c r="L239" s="24">
        <v>40881</v>
      </c>
      <c r="M239" s="24">
        <v>40673</v>
      </c>
      <c r="N239" s="22" t="s">
        <v>1878</v>
      </c>
      <c r="O239" s="4">
        <v>9120218</v>
      </c>
      <c r="P239" s="22">
        <v>1020</v>
      </c>
      <c r="Q239" s="22">
        <v>50</v>
      </c>
      <c r="R239" s="22">
        <v>0</v>
      </c>
      <c r="S239" s="3" t="s">
        <v>439</v>
      </c>
      <c r="T239" s="55" t="s">
        <v>404</v>
      </c>
      <c r="U239" s="94">
        <v>40877</v>
      </c>
      <c r="V239" s="55" t="s">
        <v>404</v>
      </c>
      <c r="W239" s="169">
        <v>40963</v>
      </c>
      <c r="X239" s="86"/>
      <c r="Y239" s="28" t="e">
        <v>#REF!</v>
      </c>
      <c r="Z239" s="28"/>
      <c r="AA239" s="24" t="s">
        <v>393</v>
      </c>
      <c r="AB239" s="28">
        <v>40807</v>
      </c>
    </row>
    <row r="240" spans="1:28" s="4" customFormat="1" ht="14.25" customHeight="1" x14ac:dyDescent="0.4">
      <c r="A240">
        <v>216</v>
      </c>
      <c r="B240" s="22">
        <v>0</v>
      </c>
      <c r="C240" s="22" t="s">
        <v>2165</v>
      </c>
      <c r="D240" s="22">
        <v>0</v>
      </c>
      <c r="E240" s="24">
        <v>40801</v>
      </c>
      <c r="F240" s="24" t="s">
        <v>393</v>
      </c>
      <c r="G240" s="24">
        <v>40816</v>
      </c>
      <c r="H240" s="37">
        <v>147</v>
      </c>
      <c r="I240" s="23">
        <v>40787</v>
      </c>
      <c r="J240" s="37">
        <v>23</v>
      </c>
      <c r="K240" s="24" t="s">
        <v>412</v>
      </c>
      <c r="L240" s="24">
        <v>40850</v>
      </c>
      <c r="M240" s="24">
        <v>40673</v>
      </c>
      <c r="N240" s="22" t="s">
        <v>1878</v>
      </c>
      <c r="O240" s="4">
        <v>9120211</v>
      </c>
      <c r="P240" s="22">
        <v>1020</v>
      </c>
      <c r="Q240" s="22">
        <v>50</v>
      </c>
      <c r="R240" s="22" t="s">
        <v>2639</v>
      </c>
      <c r="S240" s="102" t="s">
        <v>1044</v>
      </c>
      <c r="T240" s="55" t="s">
        <v>404</v>
      </c>
      <c r="U240" s="94">
        <v>40777</v>
      </c>
      <c r="V240" s="55" t="s">
        <v>404</v>
      </c>
      <c r="W240" s="92">
        <v>40875</v>
      </c>
      <c r="X240" s="74"/>
      <c r="Y240" s="28" t="e">
        <v>#REF!</v>
      </c>
      <c r="Z240" s="9"/>
      <c r="AA240" s="24" t="s">
        <v>393</v>
      </c>
      <c r="AB240" s="28">
        <v>40816</v>
      </c>
    </row>
    <row r="241" spans="1:28" s="4" customFormat="1" ht="14.25" customHeight="1" x14ac:dyDescent="0.4">
      <c r="A241">
        <v>217</v>
      </c>
      <c r="B241" s="22">
        <v>0</v>
      </c>
      <c r="C241" s="22">
        <v>0</v>
      </c>
      <c r="D241" s="22">
        <v>0</v>
      </c>
      <c r="E241" s="24">
        <v>40801</v>
      </c>
      <c r="F241" s="24" t="s">
        <v>393</v>
      </c>
      <c r="G241" s="24">
        <v>40805</v>
      </c>
      <c r="H241" s="37">
        <v>148</v>
      </c>
      <c r="I241" s="23">
        <v>40787</v>
      </c>
      <c r="J241" s="37">
        <v>24</v>
      </c>
      <c r="K241" s="24" t="s">
        <v>412</v>
      </c>
      <c r="L241" s="24">
        <v>40851</v>
      </c>
      <c r="M241" s="24">
        <v>40673</v>
      </c>
      <c r="N241" s="22" t="s">
        <v>1878</v>
      </c>
      <c r="O241" s="4">
        <v>9120212</v>
      </c>
      <c r="P241" s="22">
        <v>1020</v>
      </c>
      <c r="Q241" s="22">
        <v>50</v>
      </c>
      <c r="R241" s="22" t="s">
        <v>2640</v>
      </c>
      <c r="S241" s="3" t="s">
        <v>1045</v>
      </c>
      <c r="T241" s="55" t="s">
        <v>404</v>
      </c>
      <c r="U241" s="42">
        <v>40782</v>
      </c>
      <c r="V241" s="55" t="s">
        <v>404</v>
      </c>
      <c r="W241" s="28">
        <v>40892</v>
      </c>
      <c r="X241" s="74"/>
      <c r="Y241" s="28" t="e">
        <v>#REF!</v>
      </c>
      <c r="Z241" s="28"/>
      <c r="AA241" s="24" t="s">
        <v>393</v>
      </c>
      <c r="AB241" s="28">
        <v>40805</v>
      </c>
    </row>
    <row r="242" spans="1:28" s="4" customFormat="1" ht="14.25" customHeight="1" x14ac:dyDescent="0.4">
      <c r="A242">
        <v>218</v>
      </c>
      <c r="B242" s="22">
        <v>0</v>
      </c>
      <c r="C242" s="22">
        <v>0</v>
      </c>
      <c r="D242" s="22">
        <v>0</v>
      </c>
      <c r="E242" s="24">
        <v>40801</v>
      </c>
      <c r="F242" s="24" t="s">
        <v>393</v>
      </c>
      <c r="G242" s="24">
        <v>40813</v>
      </c>
      <c r="H242" s="37">
        <v>149</v>
      </c>
      <c r="I242" s="23">
        <v>40787</v>
      </c>
      <c r="J242" s="37">
        <v>25</v>
      </c>
      <c r="K242" s="24" t="s">
        <v>412</v>
      </c>
      <c r="L242" s="24">
        <v>40882</v>
      </c>
      <c r="M242" s="24">
        <v>40673</v>
      </c>
      <c r="N242" s="22" t="s">
        <v>1878</v>
      </c>
      <c r="O242" s="4">
        <v>9120219</v>
      </c>
      <c r="P242" s="22">
        <v>1020</v>
      </c>
      <c r="Q242" s="22">
        <v>50</v>
      </c>
      <c r="R242" s="22">
        <v>0</v>
      </c>
      <c r="S242" s="3" t="s">
        <v>1874</v>
      </c>
      <c r="T242" s="55" t="s">
        <v>404</v>
      </c>
      <c r="U242" s="42">
        <v>40962</v>
      </c>
      <c r="V242" s="55" t="s">
        <v>404</v>
      </c>
      <c r="W242" s="92">
        <v>41028</v>
      </c>
      <c r="X242" s="74"/>
      <c r="Y242" s="28" t="e">
        <v>#REF!</v>
      </c>
      <c r="Z242" s="28"/>
      <c r="AA242" s="24" t="s">
        <v>393</v>
      </c>
      <c r="AB242" s="28">
        <v>40813</v>
      </c>
    </row>
    <row r="243" spans="1:28" ht="14.25" customHeight="1" x14ac:dyDescent="0.4">
      <c r="A243">
        <v>219</v>
      </c>
      <c r="B243" s="22">
        <v>0</v>
      </c>
      <c r="C243" s="22">
        <v>0</v>
      </c>
      <c r="D243" s="22">
        <v>0</v>
      </c>
      <c r="E243" s="24">
        <v>40801</v>
      </c>
      <c r="F243" s="24" t="s">
        <v>393</v>
      </c>
      <c r="G243" s="24">
        <v>40823</v>
      </c>
      <c r="H243" s="37">
        <v>150</v>
      </c>
      <c r="I243" s="23">
        <v>40787</v>
      </c>
      <c r="J243" s="37">
        <v>26</v>
      </c>
      <c r="K243" s="24" t="s">
        <v>412</v>
      </c>
      <c r="L243" s="24">
        <v>40883</v>
      </c>
      <c r="M243" s="24">
        <v>40673</v>
      </c>
      <c r="N243" s="22" t="s">
        <v>1878</v>
      </c>
      <c r="O243" s="4">
        <v>9120220</v>
      </c>
      <c r="P243" s="22">
        <v>1020</v>
      </c>
      <c r="Q243" s="22">
        <v>50</v>
      </c>
      <c r="R243" s="22">
        <v>0</v>
      </c>
      <c r="S243" s="55"/>
      <c r="T243" s="55" t="s">
        <v>406</v>
      </c>
      <c r="U243" s="94"/>
      <c r="V243" s="55"/>
      <c r="W243" s="92"/>
      <c r="Y243" s="28" t="e">
        <v>#REF!</v>
      </c>
      <c r="Z243" s="9"/>
      <c r="AA243" s="24" t="s">
        <v>393</v>
      </c>
      <c r="AB243" s="28">
        <v>40823</v>
      </c>
    </row>
    <row r="244" spans="1:28" s="4" customFormat="1" ht="14.25" customHeight="1" x14ac:dyDescent="0.4">
      <c r="A244">
        <v>220</v>
      </c>
      <c r="B244" s="22">
        <v>0</v>
      </c>
      <c r="C244" s="22">
        <v>0</v>
      </c>
      <c r="D244" s="22">
        <v>0</v>
      </c>
      <c r="E244" s="24">
        <v>40802</v>
      </c>
      <c r="F244" s="24" t="s">
        <v>393</v>
      </c>
      <c r="G244" s="24">
        <v>40813</v>
      </c>
      <c r="H244" s="37">
        <v>151</v>
      </c>
      <c r="I244" s="23">
        <v>40787</v>
      </c>
      <c r="J244" s="37">
        <v>27</v>
      </c>
      <c r="K244" s="24" t="s">
        <v>412</v>
      </c>
      <c r="L244" s="24">
        <v>40884</v>
      </c>
      <c r="M244" s="24">
        <v>40673</v>
      </c>
      <c r="N244" s="22" t="s">
        <v>1878</v>
      </c>
      <c r="O244" s="4">
        <v>9120221</v>
      </c>
      <c r="P244" s="22">
        <v>1020</v>
      </c>
      <c r="Q244" s="22">
        <v>50</v>
      </c>
      <c r="R244" s="22">
        <v>0</v>
      </c>
      <c r="S244" s="3" t="s">
        <v>267</v>
      </c>
      <c r="T244" s="55" t="s">
        <v>406</v>
      </c>
      <c r="U244" s="94"/>
      <c r="V244" s="55"/>
      <c r="W244" s="92"/>
      <c r="X244" s="74"/>
      <c r="Y244" s="28" t="e">
        <v>#REF!</v>
      </c>
      <c r="Z244" s="9"/>
      <c r="AA244" s="24" t="s">
        <v>393</v>
      </c>
      <c r="AB244" s="28">
        <v>40813</v>
      </c>
    </row>
    <row r="245" spans="1:28" s="4" customFormat="1" ht="14.25" customHeight="1" x14ac:dyDescent="0.4">
      <c r="A245">
        <v>221</v>
      </c>
      <c r="B245" s="22">
        <v>0</v>
      </c>
      <c r="C245" s="22">
        <v>0</v>
      </c>
      <c r="D245" s="22">
        <v>0</v>
      </c>
      <c r="E245" s="24">
        <v>40802</v>
      </c>
      <c r="F245" s="24" t="s">
        <v>393</v>
      </c>
      <c r="G245" s="24">
        <v>40814</v>
      </c>
      <c r="H245" s="37">
        <v>152</v>
      </c>
      <c r="I245" s="23">
        <v>40787</v>
      </c>
      <c r="J245" s="37">
        <v>28</v>
      </c>
      <c r="K245" s="24" t="s">
        <v>412</v>
      </c>
      <c r="L245" s="24">
        <v>40885</v>
      </c>
      <c r="M245" s="24">
        <v>40673</v>
      </c>
      <c r="N245" s="22" t="s">
        <v>1878</v>
      </c>
      <c r="O245" s="4">
        <v>9120222</v>
      </c>
      <c r="P245" s="22">
        <v>1020</v>
      </c>
      <c r="Q245" s="22">
        <v>50</v>
      </c>
      <c r="R245" s="22">
        <v>0</v>
      </c>
      <c r="S245" s="3" t="s">
        <v>267</v>
      </c>
      <c r="T245" s="55" t="s">
        <v>406</v>
      </c>
      <c r="U245" s="94"/>
      <c r="V245" s="55"/>
      <c r="W245" s="92"/>
      <c r="X245" s="74"/>
      <c r="Y245" s="28" t="e">
        <v>#REF!</v>
      </c>
      <c r="Z245" s="9"/>
      <c r="AA245" s="24" t="s">
        <v>393</v>
      </c>
      <c r="AB245" s="28">
        <v>40814</v>
      </c>
    </row>
    <row r="246" spans="1:28" s="4" customFormat="1" ht="14.25" customHeight="1" x14ac:dyDescent="0.4">
      <c r="A246">
        <v>222</v>
      </c>
      <c r="B246" s="24">
        <v>40828</v>
      </c>
      <c r="C246" s="24">
        <v>40828</v>
      </c>
      <c r="D246" s="24">
        <v>40828</v>
      </c>
      <c r="E246" s="24">
        <v>40828</v>
      </c>
      <c r="F246" s="24" t="s">
        <v>393</v>
      </c>
      <c r="G246" s="24">
        <v>40847</v>
      </c>
      <c r="H246" s="37">
        <v>208</v>
      </c>
      <c r="I246" s="23">
        <v>40817</v>
      </c>
      <c r="J246" s="37">
        <v>21</v>
      </c>
      <c r="K246" s="24" t="s">
        <v>412</v>
      </c>
      <c r="L246" s="24">
        <v>40817</v>
      </c>
      <c r="M246" s="24">
        <v>40673</v>
      </c>
      <c r="N246" s="22" t="s">
        <v>1878</v>
      </c>
      <c r="O246" s="4">
        <v>9120207</v>
      </c>
      <c r="P246" s="22">
        <v>1020</v>
      </c>
      <c r="Q246" s="22">
        <v>50</v>
      </c>
      <c r="R246" s="22">
        <v>0</v>
      </c>
      <c r="S246" s="3" t="s">
        <v>267</v>
      </c>
      <c r="T246" s="55" t="s">
        <v>406</v>
      </c>
      <c r="U246" s="94"/>
      <c r="V246" s="55"/>
      <c r="W246" s="28"/>
      <c r="X246" s="74"/>
      <c r="Y246" s="28" t="e">
        <v>#REF!</v>
      </c>
      <c r="Z246" s="9"/>
      <c r="AA246" s="24" t="s">
        <v>393</v>
      </c>
      <c r="AB246" s="28">
        <v>40847</v>
      </c>
    </row>
    <row r="247" spans="1:28" ht="14.25" customHeight="1" x14ac:dyDescent="0.4">
      <c r="A247">
        <v>223</v>
      </c>
      <c r="B247" s="24">
        <v>40829</v>
      </c>
      <c r="C247" s="24">
        <v>40829</v>
      </c>
      <c r="D247" s="24">
        <v>40829</v>
      </c>
      <c r="E247" s="24">
        <v>40829</v>
      </c>
      <c r="F247" s="24" t="s">
        <v>393</v>
      </c>
      <c r="G247" s="24">
        <v>40844</v>
      </c>
      <c r="H247" s="37">
        <v>209</v>
      </c>
      <c r="I247" s="23">
        <v>40817</v>
      </c>
      <c r="J247" s="37">
        <v>22</v>
      </c>
      <c r="K247" s="24" t="s">
        <v>412</v>
      </c>
      <c r="L247" s="24">
        <v>40818</v>
      </c>
      <c r="M247" s="24">
        <v>40673</v>
      </c>
      <c r="N247" s="22" t="s">
        <v>1878</v>
      </c>
      <c r="O247" s="4">
        <v>9120208</v>
      </c>
      <c r="P247" s="22">
        <v>1020</v>
      </c>
      <c r="Q247" s="22">
        <v>50</v>
      </c>
      <c r="R247" s="22">
        <v>0</v>
      </c>
      <c r="S247" s="55"/>
      <c r="T247" s="55" t="s">
        <v>406</v>
      </c>
      <c r="U247" s="94"/>
      <c r="V247" s="55"/>
      <c r="W247" s="28"/>
      <c r="X247" s="74"/>
      <c r="Y247" s="28" t="e">
        <v>#REF!</v>
      </c>
      <c r="Z247" s="28"/>
      <c r="AA247" s="24" t="s">
        <v>393</v>
      </c>
      <c r="AB247" s="28">
        <v>40844</v>
      </c>
    </row>
    <row r="248" spans="1:28" ht="14.25" customHeight="1" x14ac:dyDescent="0.4">
      <c r="A248">
        <v>224</v>
      </c>
      <c r="B248" s="24">
        <v>40830</v>
      </c>
      <c r="C248" s="24">
        <v>40830</v>
      </c>
      <c r="D248" s="24">
        <v>40830</v>
      </c>
      <c r="E248" s="24">
        <v>40830</v>
      </c>
      <c r="F248" s="24" t="s">
        <v>393</v>
      </c>
      <c r="G248" s="24">
        <v>40847</v>
      </c>
      <c r="H248" s="37">
        <v>215</v>
      </c>
      <c r="I248" s="23">
        <v>40817</v>
      </c>
      <c r="J248" s="37">
        <v>28</v>
      </c>
      <c r="K248" s="24" t="s">
        <v>412</v>
      </c>
      <c r="L248" s="24">
        <v>40848</v>
      </c>
      <c r="M248" s="24">
        <v>40673</v>
      </c>
      <c r="N248" s="22" t="s">
        <v>1878</v>
      </c>
      <c r="O248" s="4">
        <v>9120209</v>
      </c>
      <c r="P248" s="22">
        <v>1020</v>
      </c>
      <c r="Q248" s="22">
        <v>50</v>
      </c>
      <c r="R248" s="22">
        <v>0</v>
      </c>
      <c r="S248" s="55"/>
      <c r="T248" s="55" t="s">
        <v>406</v>
      </c>
      <c r="U248" s="42"/>
      <c r="V248" s="55"/>
      <c r="W248" s="28"/>
      <c r="X248" s="74"/>
      <c r="Y248" s="28" t="e">
        <v>#REF!</v>
      </c>
      <c r="Z248" s="28"/>
      <c r="AA248" s="24" t="s">
        <v>393</v>
      </c>
      <c r="AB248" s="28">
        <v>40847</v>
      </c>
    </row>
    <row r="249" spans="1:28" ht="14.25" customHeight="1" x14ac:dyDescent="0.4">
      <c r="A249">
        <v>225</v>
      </c>
      <c r="B249" s="24">
        <v>40954</v>
      </c>
      <c r="C249" s="24">
        <v>40954</v>
      </c>
      <c r="D249" s="24">
        <v>40954</v>
      </c>
      <c r="E249" s="24">
        <v>40954</v>
      </c>
      <c r="F249" s="24" t="s">
        <v>393</v>
      </c>
      <c r="G249" s="24">
        <v>40956</v>
      </c>
      <c r="H249" s="37">
        <v>465</v>
      </c>
      <c r="I249" s="23">
        <v>40940</v>
      </c>
      <c r="J249" s="37">
        <v>35</v>
      </c>
      <c r="K249" s="24" t="s">
        <v>412</v>
      </c>
      <c r="L249" s="24">
        <v>40849</v>
      </c>
      <c r="M249" s="24">
        <v>40673</v>
      </c>
      <c r="N249" s="22" t="s">
        <v>1878</v>
      </c>
      <c r="O249" s="4">
        <v>9120210</v>
      </c>
      <c r="P249" s="22">
        <v>1020</v>
      </c>
      <c r="Q249" s="22">
        <v>50</v>
      </c>
      <c r="R249" s="22" t="s">
        <v>2641</v>
      </c>
      <c r="S249" s="34" t="s">
        <v>2030</v>
      </c>
      <c r="T249" s="55" t="s">
        <v>404</v>
      </c>
      <c r="U249" s="42">
        <v>40899</v>
      </c>
      <c r="V249" s="55" t="s">
        <v>404</v>
      </c>
      <c r="W249" s="28">
        <v>41074</v>
      </c>
      <c r="X249" s="74"/>
      <c r="Y249" s="28" t="e">
        <v>#REF!</v>
      </c>
      <c r="Z249" s="9"/>
      <c r="AA249" s="24" t="s">
        <v>393</v>
      </c>
      <c r="AB249" s="28">
        <v>40956</v>
      </c>
    </row>
    <row r="250" spans="1:28" s="4" customFormat="1" ht="14.25" customHeight="1" x14ac:dyDescent="0.4">
      <c r="A250">
        <v>226</v>
      </c>
      <c r="B250" s="22">
        <v>0</v>
      </c>
      <c r="C250" s="22" t="s">
        <v>2102</v>
      </c>
      <c r="D250" s="22">
        <v>0</v>
      </c>
      <c r="E250" s="24">
        <v>40932</v>
      </c>
      <c r="F250" s="24" t="s">
        <v>393</v>
      </c>
      <c r="G250" s="24">
        <v>40949</v>
      </c>
      <c r="H250" s="37">
        <v>417</v>
      </c>
      <c r="I250" s="23">
        <v>40909</v>
      </c>
      <c r="J250" s="37">
        <v>50</v>
      </c>
      <c r="K250" s="24" t="s">
        <v>412</v>
      </c>
      <c r="L250" s="24">
        <v>40848</v>
      </c>
      <c r="M250" s="24">
        <v>40673</v>
      </c>
      <c r="N250" s="22" t="s">
        <v>1878</v>
      </c>
      <c r="O250" s="4">
        <v>9120203</v>
      </c>
      <c r="P250" s="22">
        <v>1020</v>
      </c>
      <c r="Q250" s="22">
        <v>42</v>
      </c>
      <c r="R250" s="22" t="s">
        <v>2642</v>
      </c>
      <c r="S250" s="1"/>
      <c r="T250" s="55" t="s">
        <v>404</v>
      </c>
      <c r="U250" s="94">
        <v>40926</v>
      </c>
      <c r="V250" s="55" t="s">
        <v>404</v>
      </c>
      <c r="W250" s="92">
        <v>41008</v>
      </c>
      <c r="X250" s="75"/>
      <c r="Y250" s="28" t="e">
        <v>#REF!</v>
      </c>
      <c r="Z250" s="9"/>
      <c r="AA250" s="24" t="s">
        <v>393</v>
      </c>
      <c r="AB250" s="28">
        <v>40949</v>
      </c>
    </row>
    <row r="251" spans="1:28" s="4" customFormat="1" ht="14.25" customHeight="1" x14ac:dyDescent="0.4">
      <c r="A251">
        <v>227</v>
      </c>
      <c r="B251" s="22">
        <v>0</v>
      </c>
      <c r="C251" s="22" t="s">
        <v>2165</v>
      </c>
      <c r="D251" s="22">
        <v>0</v>
      </c>
      <c r="E251" s="24">
        <v>40966</v>
      </c>
      <c r="F251" s="24" t="s">
        <v>393</v>
      </c>
      <c r="G251" s="24">
        <v>40973</v>
      </c>
      <c r="H251" s="37">
        <v>486</v>
      </c>
      <c r="I251" s="23">
        <v>40940</v>
      </c>
      <c r="J251" s="37">
        <v>56</v>
      </c>
      <c r="K251" s="24" t="s">
        <v>412</v>
      </c>
      <c r="L251" s="24">
        <v>40849</v>
      </c>
      <c r="M251" s="24">
        <v>40673</v>
      </c>
      <c r="N251" s="22" t="s">
        <v>1878</v>
      </c>
      <c r="O251" s="4">
        <v>9120204</v>
      </c>
      <c r="P251" s="22">
        <v>1220</v>
      </c>
      <c r="Q251" s="22">
        <v>50</v>
      </c>
      <c r="R251" s="22" t="s">
        <v>1804</v>
      </c>
      <c r="S251" s="1" t="s">
        <v>1804</v>
      </c>
      <c r="T251" s="55" t="s">
        <v>404</v>
      </c>
      <c r="U251" s="94">
        <v>40882</v>
      </c>
      <c r="V251" s="55" t="s">
        <v>404</v>
      </c>
      <c r="W251" s="92">
        <v>41074</v>
      </c>
      <c r="X251" s="75"/>
      <c r="Y251" s="28" t="e">
        <v>#REF!</v>
      </c>
      <c r="Z251" s="9"/>
      <c r="AA251" s="24" t="s">
        <v>393</v>
      </c>
      <c r="AB251" s="28">
        <v>40973</v>
      </c>
    </row>
    <row r="252" spans="1:28" s="4" customFormat="1" ht="14.25" customHeight="1" x14ac:dyDescent="0.4">
      <c r="A252">
        <v>228</v>
      </c>
      <c r="B252" s="22">
        <v>0</v>
      </c>
      <c r="C252" s="22">
        <v>0</v>
      </c>
      <c r="D252" s="22">
        <v>0</v>
      </c>
      <c r="E252" s="24">
        <v>40953</v>
      </c>
      <c r="F252" s="24" t="s">
        <v>393</v>
      </c>
      <c r="G252" s="24">
        <v>40955</v>
      </c>
      <c r="H252" s="37">
        <v>459</v>
      </c>
      <c r="I252" s="23">
        <v>40940</v>
      </c>
      <c r="J252" s="37">
        <v>29</v>
      </c>
      <c r="K252" s="24" t="s">
        <v>412</v>
      </c>
      <c r="L252" s="24">
        <v>40852</v>
      </c>
      <c r="M252" s="24">
        <v>40673</v>
      </c>
      <c r="N252" s="22" t="s">
        <v>1878</v>
      </c>
      <c r="O252" s="4">
        <v>9120213</v>
      </c>
      <c r="P252" s="22">
        <v>1020</v>
      </c>
      <c r="Q252" s="22">
        <v>50</v>
      </c>
      <c r="R252" s="22" t="s">
        <v>2643</v>
      </c>
      <c r="S252" s="1" t="s">
        <v>1806</v>
      </c>
      <c r="T252" s="55" t="s">
        <v>404</v>
      </c>
      <c r="U252" s="94">
        <v>40830</v>
      </c>
      <c r="V252" s="55" t="s">
        <v>404</v>
      </c>
      <c r="W252" s="92">
        <v>40884</v>
      </c>
      <c r="X252" s="74"/>
      <c r="Y252" s="28" t="e">
        <v>#REF!</v>
      </c>
      <c r="Z252" s="28"/>
      <c r="AA252" s="24" t="s">
        <v>393</v>
      </c>
      <c r="AB252" s="28">
        <v>40955</v>
      </c>
    </row>
    <row r="253" spans="1:28" s="4" customFormat="1" ht="14.25" customHeight="1" x14ac:dyDescent="0.4">
      <c r="A253">
        <v>229</v>
      </c>
      <c r="B253" s="22">
        <v>0</v>
      </c>
      <c r="C253" s="22">
        <v>0</v>
      </c>
      <c r="D253" s="22">
        <v>0</v>
      </c>
      <c r="E253" s="24">
        <v>40892</v>
      </c>
      <c r="F253" s="24" t="s">
        <v>393</v>
      </c>
      <c r="G253" s="24">
        <v>40896</v>
      </c>
      <c r="H253" s="37">
        <v>344</v>
      </c>
      <c r="I253" s="23">
        <v>40878</v>
      </c>
      <c r="J253" s="37">
        <v>34</v>
      </c>
      <c r="K253" s="24" t="s">
        <v>412</v>
      </c>
      <c r="L253" s="24">
        <v>40853</v>
      </c>
      <c r="M253" s="24">
        <v>40673</v>
      </c>
      <c r="N253" s="22" t="s">
        <v>1878</v>
      </c>
      <c r="O253" s="4">
        <v>9120214</v>
      </c>
      <c r="P253" s="22">
        <v>1020</v>
      </c>
      <c r="Q253" s="22">
        <v>50</v>
      </c>
      <c r="R253" s="22" t="s">
        <v>1837</v>
      </c>
      <c r="S253" s="102" t="s">
        <v>1837</v>
      </c>
      <c r="T253" s="55" t="s">
        <v>404</v>
      </c>
      <c r="U253" s="94">
        <v>40844</v>
      </c>
      <c r="V253" s="55" t="s">
        <v>404</v>
      </c>
      <c r="W253" s="92">
        <v>40844</v>
      </c>
      <c r="X253" s="74"/>
      <c r="Y253" s="28" t="e">
        <v>#REF!</v>
      </c>
      <c r="Z253" s="28"/>
      <c r="AA253" s="24" t="s">
        <v>393</v>
      </c>
      <c r="AB253" s="28">
        <v>40896</v>
      </c>
    </row>
    <row r="254" spans="1:28" s="4" customFormat="1" ht="14.25" customHeight="1" x14ac:dyDescent="0.4">
      <c r="A254">
        <v>230</v>
      </c>
      <c r="B254" s="24">
        <v>40954</v>
      </c>
      <c r="C254" s="24">
        <v>40954</v>
      </c>
      <c r="D254" s="24">
        <v>40954</v>
      </c>
      <c r="E254" s="24">
        <v>40954</v>
      </c>
      <c r="F254" s="24" t="s">
        <v>393</v>
      </c>
      <c r="G254" s="24">
        <v>40973</v>
      </c>
      <c r="H254" s="23">
        <v>463</v>
      </c>
      <c r="I254" s="23">
        <v>40940</v>
      </c>
      <c r="J254" s="37">
        <v>33</v>
      </c>
      <c r="K254" s="24" t="s">
        <v>412</v>
      </c>
      <c r="L254" s="24">
        <v>40886</v>
      </c>
      <c r="M254" s="24">
        <v>40673</v>
      </c>
      <c r="N254" s="22" t="s">
        <v>1878</v>
      </c>
      <c r="O254" s="4">
        <v>9120223</v>
      </c>
      <c r="P254" s="22">
        <v>1020</v>
      </c>
      <c r="Q254" s="22">
        <v>50</v>
      </c>
      <c r="R254" s="22" t="s">
        <v>2644</v>
      </c>
      <c r="S254" s="1" t="s">
        <v>1807</v>
      </c>
      <c r="T254" s="55" t="s">
        <v>404</v>
      </c>
      <c r="U254" s="94">
        <v>40830</v>
      </c>
      <c r="V254" s="55" t="s">
        <v>404</v>
      </c>
      <c r="W254" s="28">
        <v>40907</v>
      </c>
      <c r="X254" s="74">
        <v>0</v>
      </c>
      <c r="Y254" s="28" t="e">
        <v>#REF!</v>
      </c>
      <c r="Z254" s="9"/>
      <c r="AA254" s="24" t="s">
        <v>393</v>
      </c>
      <c r="AB254" s="28">
        <v>40973</v>
      </c>
    </row>
    <row r="255" spans="1:28" s="4" customFormat="1" ht="14.25" customHeight="1" x14ac:dyDescent="0.4">
      <c r="A255">
        <v>231</v>
      </c>
      <c r="B255" s="24">
        <v>40954</v>
      </c>
      <c r="C255" s="24">
        <v>40954</v>
      </c>
      <c r="D255" s="24">
        <v>40954</v>
      </c>
      <c r="E255" s="24">
        <v>40954</v>
      </c>
      <c r="F255" s="24" t="s">
        <v>393</v>
      </c>
      <c r="G255" s="24">
        <v>40959</v>
      </c>
      <c r="H255" s="23">
        <v>464</v>
      </c>
      <c r="I255" s="23">
        <v>40940</v>
      </c>
      <c r="J255" s="37">
        <v>34</v>
      </c>
      <c r="K255" s="24" t="s">
        <v>412</v>
      </c>
      <c r="L255" s="24">
        <v>40887</v>
      </c>
      <c r="M255" s="24">
        <v>40673</v>
      </c>
      <c r="N255" s="22" t="s">
        <v>1878</v>
      </c>
      <c r="O255" s="4">
        <v>9120224</v>
      </c>
      <c r="P255" s="22">
        <v>1020</v>
      </c>
      <c r="Q255" s="22">
        <v>50</v>
      </c>
      <c r="R255" s="22" t="s">
        <v>1808</v>
      </c>
      <c r="S255" s="102" t="s">
        <v>1808</v>
      </c>
      <c r="T255" s="55" t="s">
        <v>404</v>
      </c>
      <c r="U255" s="94">
        <v>40903</v>
      </c>
      <c r="V255" s="55"/>
      <c r="W255" s="92"/>
      <c r="X255" s="74">
        <v>0</v>
      </c>
      <c r="Y255" s="28" t="e">
        <v>#REF!</v>
      </c>
      <c r="Z255" s="9"/>
      <c r="AA255" s="24" t="s">
        <v>393</v>
      </c>
      <c r="AB255" s="28">
        <v>40959</v>
      </c>
    </row>
    <row r="256" spans="1:28" s="4" customFormat="1" ht="14.25" customHeight="1" x14ac:dyDescent="0.4">
      <c r="A256">
        <v>232</v>
      </c>
      <c r="B256" s="24">
        <v>40912</v>
      </c>
      <c r="C256" s="24">
        <v>40912</v>
      </c>
      <c r="D256" s="24">
        <v>40912</v>
      </c>
      <c r="E256" s="24">
        <v>40912</v>
      </c>
      <c r="F256" s="24" t="s">
        <v>393</v>
      </c>
      <c r="G256" s="24">
        <v>40933</v>
      </c>
      <c r="H256" s="23">
        <v>375</v>
      </c>
      <c r="I256" s="23">
        <v>40909</v>
      </c>
      <c r="J256" s="37">
        <v>8</v>
      </c>
      <c r="K256" s="24" t="s">
        <v>412</v>
      </c>
      <c r="L256" s="24">
        <v>40878</v>
      </c>
      <c r="M256" s="24">
        <v>40673</v>
      </c>
      <c r="N256" s="22" t="s">
        <v>1878</v>
      </c>
      <c r="O256" s="4">
        <v>9120226</v>
      </c>
      <c r="P256" s="22">
        <v>1020</v>
      </c>
      <c r="Q256" s="22">
        <v>42</v>
      </c>
      <c r="R256" s="22" t="s">
        <v>921</v>
      </c>
      <c r="S256" s="55" t="s">
        <v>921</v>
      </c>
      <c r="T256" s="55" t="s">
        <v>404</v>
      </c>
      <c r="U256" s="94">
        <v>40815</v>
      </c>
      <c r="V256" s="55" t="s">
        <v>404</v>
      </c>
      <c r="W256" s="28">
        <v>40907</v>
      </c>
      <c r="X256" s="74">
        <v>0</v>
      </c>
      <c r="Y256" s="28" t="e">
        <v>#REF!</v>
      </c>
      <c r="Z256" s="9"/>
      <c r="AA256" s="24" t="s">
        <v>393</v>
      </c>
      <c r="AB256" s="28">
        <v>40933</v>
      </c>
    </row>
    <row r="257" spans="1:28" s="4" customFormat="1" ht="14.25" customHeight="1" x14ac:dyDescent="0.4">
      <c r="A257">
        <v>233</v>
      </c>
      <c r="B257" s="24">
        <v>40829</v>
      </c>
      <c r="C257" s="24">
        <v>40829</v>
      </c>
      <c r="D257" s="24">
        <v>40829</v>
      </c>
      <c r="E257" s="24">
        <v>40829</v>
      </c>
      <c r="F257" s="24" t="s">
        <v>393</v>
      </c>
      <c r="G257" s="24">
        <v>40830</v>
      </c>
      <c r="H257" s="23">
        <v>211</v>
      </c>
      <c r="I257" s="23">
        <v>40817</v>
      </c>
      <c r="J257" s="37">
        <v>24</v>
      </c>
      <c r="K257" s="24" t="s">
        <v>412</v>
      </c>
      <c r="L257" s="24">
        <v>40878</v>
      </c>
      <c r="M257" s="24">
        <v>40673</v>
      </c>
      <c r="N257" s="22" t="s">
        <v>1878</v>
      </c>
      <c r="O257" s="4">
        <v>9120227</v>
      </c>
      <c r="P257" s="22">
        <v>1020</v>
      </c>
      <c r="Q257" s="22">
        <v>42</v>
      </c>
      <c r="R257" s="22" t="s">
        <v>2645</v>
      </c>
      <c r="S257" s="102" t="s">
        <v>2031</v>
      </c>
      <c r="T257" s="55" t="s">
        <v>404</v>
      </c>
      <c r="U257" s="94">
        <v>40814</v>
      </c>
      <c r="V257" s="55" t="s">
        <v>404</v>
      </c>
      <c r="W257" s="92">
        <v>40851</v>
      </c>
      <c r="X257" s="74">
        <v>0</v>
      </c>
      <c r="Y257" s="28" t="e">
        <v>#REF!</v>
      </c>
      <c r="Z257" s="9"/>
      <c r="AA257" s="24" t="s">
        <v>393</v>
      </c>
      <c r="AB257" s="28">
        <v>40830</v>
      </c>
    </row>
    <row r="258" spans="1:28" s="4" customFormat="1" ht="14.25" customHeight="1" x14ac:dyDescent="0.4">
      <c r="A258">
        <v>234</v>
      </c>
      <c r="B258" s="22">
        <v>0</v>
      </c>
      <c r="C258" s="22">
        <v>0</v>
      </c>
      <c r="D258" s="22">
        <v>0</v>
      </c>
      <c r="E258" s="24">
        <v>40996</v>
      </c>
      <c r="F258" s="24" t="s">
        <v>393</v>
      </c>
      <c r="G258" s="24">
        <v>41016</v>
      </c>
      <c r="H258" s="37">
        <v>533</v>
      </c>
      <c r="I258" s="23">
        <v>40969</v>
      </c>
      <c r="J258" s="37">
        <v>40</v>
      </c>
      <c r="K258" s="24" t="s">
        <v>412</v>
      </c>
      <c r="L258" s="24">
        <v>40909</v>
      </c>
      <c r="M258" s="24">
        <v>40673</v>
      </c>
      <c r="N258" s="22" t="s">
        <v>1878</v>
      </c>
      <c r="O258" s="4">
        <v>9120196</v>
      </c>
      <c r="P258" s="22">
        <v>1220</v>
      </c>
      <c r="Q258" s="22">
        <v>50</v>
      </c>
      <c r="R258" s="22" t="s">
        <v>2646</v>
      </c>
      <c r="S258" s="1" t="s">
        <v>1861</v>
      </c>
      <c r="T258" s="55" t="s">
        <v>404</v>
      </c>
      <c r="U258" s="42">
        <v>40792</v>
      </c>
      <c r="V258" s="55" t="s">
        <v>404</v>
      </c>
      <c r="W258" s="28">
        <v>41098</v>
      </c>
      <c r="X258" s="74"/>
      <c r="Y258" s="28" t="e">
        <v>#REF!</v>
      </c>
      <c r="Z258" s="28"/>
      <c r="AA258" s="24" t="s">
        <v>393</v>
      </c>
      <c r="AB258" s="28">
        <v>41016</v>
      </c>
    </row>
    <row r="259" spans="1:28" s="4" customFormat="1" ht="14.25" customHeight="1" x14ac:dyDescent="0.4">
      <c r="A259">
        <v>235</v>
      </c>
      <c r="B259" s="22">
        <v>0</v>
      </c>
      <c r="C259" s="22">
        <v>0</v>
      </c>
      <c r="D259" s="22">
        <v>0</v>
      </c>
      <c r="E259" s="24">
        <v>40996</v>
      </c>
      <c r="F259" s="24" t="s">
        <v>393</v>
      </c>
      <c r="G259" s="24">
        <v>41004</v>
      </c>
      <c r="H259" s="37">
        <v>531</v>
      </c>
      <c r="I259" s="23">
        <v>40969</v>
      </c>
      <c r="J259" s="37">
        <v>38</v>
      </c>
      <c r="K259" s="24" t="s">
        <v>412</v>
      </c>
      <c r="L259" s="24">
        <v>41001</v>
      </c>
      <c r="M259" s="24">
        <v>40673</v>
      </c>
      <c r="N259" s="22" t="s">
        <v>1878</v>
      </c>
      <c r="O259" s="4">
        <v>9120197</v>
      </c>
      <c r="P259" s="22">
        <v>1220</v>
      </c>
      <c r="Q259" s="22">
        <v>50</v>
      </c>
      <c r="R259" s="22" t="s">
        <v>1809</v>
      </c>
      <c r="S259" s="102" t="s">
        <v>1809</v>
      </c>
      <c r="T259" s="55" t="s">
        <v>404</v>
      </c>
      <c r="U259" s="42">
        <v>40851</v>
      </c>
      <c r="V259" s="55" t="s">
        <v>404</v>
      </c>
      <c r="W259" s="28">
        <v>41078</v>
      </c>
      <c r="X259" s="74"/>
      <c r="Y259" s="28" t="e">
        <v>#REF!</v>
      </c>
      <c r="Z259" s="9"/>
      <c r="AA259" s="24" t="s">
        <v>393</v>
      </c>
      <c r="AB259" s="28">
        <v>41004</v>
      </c>
    </row>
    <row r="260" spans="1:28" s="4" customFormat="1" ht="14.25" customHeight="1" x14ac:dyDescent="0.4">
      <c r="A260">
        <v>236</v>
      </c>
      <c r="B260" s="22">
        <v>0</v>
      </c>
      <c r="C260" s="22">
        <v>0</v>
      </c>
      <c r="D260" s="22">
        <v>0</v>
      </c>
      <c r="E260" s="24">
        <v>41001</v>
      </c>
      <c r="F260" s="24" t="s">
        <v>393</v>
      </c>
      <c r="G260" s="24">
        <v>41005</v>
      </c>
      <c r="H260" s="23">
        <v>535</v>
      </c>
      <c r="I260" s="23">
        <v>40969</v>
      </c>
      <c r="J260" s="37">
        <v>42</v>
      </c>
      <c r="K260" s="24" t="s">
        <v>412</v>
      </c>
      <c r="L260" s="24">
        <v>40940</v>
      </c>
      <c r="M260" s="24">
        <v>40673</v>
      </c>
      <c r="N260" s="22" t="s">
        <v>1878</v>
      </c>
      <c r="O260" s="4">
        <v>9120198</v>
      </c>
      <c r="P260" s="22">
        <v>1220</v>
      </c>
      <c r="Q260" s="22">
        <v>50</v>
      </c>
      <c r="R260" s="22" t="s">
        <v>2032</v>
      </c>
      <c r="S260" s="102" t="s">
        <v>2032</v>
      </c>
      <c r="T260" s="55" t="s">
        <v>404</v>
      </c>
      <c r="U260" s="42">
        <v>40855</v>
      </c>
      <c r="V260" s="55" t="s">
        <v>404</v>
      </c>
      <c r="W260" s="28">
        <v>40857</v>
      </c>
      <c r="X260" s="74"/>
      <c r="Y260" s="28" t="e">
        <v>#REF!</v>
      </c>
      <c r="Z260" s="28"/>
      <c r="AA260" s="24" t="s">
        <v>393</v>
      </c>
      <c r="AB260" s="28">
        <v>41005</v>
      </c>
    </row>
    <row r="261" spans="1:28" s="4" customFormat="1" ht="14.25" customHeight="1" x14ac:dyDescent="0.4">
      <c r="A261">
        <v>237</v>
      </c>
      <c r="B261" s="22">
        <v>0</v>
      </c>
      <c r="C261" s="22">
        <v>0</v>
      </c>
      <c r="D261" s="22">
        <v>0</v>
      </c>
      <c r="E261" s="24">
        <v>41002</v>
      </c>
      <c r="F261" s="24" t="s">
        <v>393</v>
      </c>
      <c r="G261" s="24">
        <v>41005</v>
      </c>
      <c r="H261" s="23">
        <v>536</v>
      </c>
      <c r="I261" s="23">
        <v>40969</v>
      </c>
      <c r="J261" s="37">
        <v>43</v>
      </c>
      <c r="K261" s="24" t="s">
        <v>412</v>
      </c>
      <c r="L261" s="24">
        <v>40941</v>
      </c>
      <c r="M261" s="24">
        <v>40673</v>
      </c>
      <c r="N261" s="22" t="s">
        <v>1878</v>
      </c>
      <c r="O261" s="4">
        <v>9120199</v>
      </c>
      <c r="P261" s="22">
        <v>1220</v>
      </c>
      <c r="Q261" s="22">
        <v>50</v>
      </c>
      <c r="R261" s="22" t="s">
        <v>2033</v>
      </c>
      <c r="S261" s="102" t="s">
        <v>2033</v>
      </c>
      <c r="T261" s="55" t="s">
        <v>404</v>
      </c>
      <c r="U261" s="42">
        <v>40856</v>
      </c>
      <c r="V261" s="55" t="s">
        <v>404</v>
      </c>
      <c r="W261" s="28">
        <v>41059</v>
      </c>
      <c r="X261" s="74"/>
      <c r="Y261" s="28" t="e">
        <v>#REF!</v>
      </c>
      <c r="Z261" s="28"/>
      <c r="AA261" s="24" t="s">
        <v>393</v>
      </c>
      <c r="AB261" s="28">
        <v>41005</v>
      </c>
    </row>
    <row r="262" spans="1:28" s="4" customFormat="1" ht="14.25" customHeight="1" x14ac:dyDescent="0.4">
      <c r="A262">
        <v>238</v>
      </c>
      <c r="B262" s="22">
        <v>0</v>
      </c>
      <c r="C262" s="22" t="s">
        <v>2102</v>
      </c>
      <c r="D262" s="22">
        <v>0</v>
      </c>
      <c r="E262" s="24">
        <v>40997</v>
      </c>
      <c r="F262" s="24" t="s">
        <v>393</v>
      </c>
      <c r="G262" s="24">
        <v>41011</v>
      </c>
      <c r="H262" s="23">
        <v>534</v>
      </c>
      <c r="I262" s="23">
        <v>40969</v>
      </c>
      <c r="J262" s="37">
        <v>41</v>
      </c>
      <c r="K262" s="24" t="s">
        <v>412</v>
      </c>
      <c r="L262" s="24">
        <v>40969</v>
      </c>
      <c r="M262" s="24">
        <v>40673</v>
      </c>
      <c r="N262" s="22" t="s">
        <v>1878</v>
      </c>
      <c r="O262" s="4">
        <v>9120200</v>
      </c>
      <c r="P262" s="22">
        <v>1220</v>
      </c>
      <c r="Q262" s="22">
        <v>50</v>
      </c>
      <c r="R262" s="22" t="s">
        <v>2034</v>
      </c>
      <c r="S262" s="102" t="s">
        <v>2034</v>
      </c>
      <c r="T262" s="55" t="s">
        <v>404</v>
      </c>
      <c r="U262" s="94">
        <v>40877</v>
      </c>
      <c r="V262" s="55" t="s">
        <v>404</v>
      </c>
      <c r="W262" s="92">
        <v>40907</v>
      </c>
      <c r="X262" s="74"/>
      <c r="Y262" s="28" t="e">
        <v>#REF!</v>
      </c>
      <c r="Z262" s="9"/>
      <c r="AA262" s="24" t="s">
        <v>393</v>
      </c>
      <c r="AB262" s="28">
        <v>41011</v>
      </c>
    </row>
    <row r="263" spans="1:28" s="4" customFormat="1" ht="14.25" customHeight="1" x14ac:dyDescent="0.4">
      <c r="A263">
        <v>239</v>
      </c>
      <c r="B263" s="22">
        <v>0</v>
      </c>
      <c r="C263" s="22">
        <v>0</v>
      </c>
      <c r="D263" s="22">
        <v>0</v>
      </c>
      <c r="E263" s="24">
        <v>40931</v>
      </c>
      <c r="F263" s="24" t="s">
        <v>393</v>
      </c>
      <c r="G263" s="24">
        <v>40934</v>
      </c>
      <c r="H263" s="23">
        <v>413</v>
      </c>
      <c r="I263" s="23">
        <v>40909</v>
      </c>
      <c r="J263" s="37">
        <v>46</v>
      </c>
      <c r="K263" s="24" t="s">
        <v>412</v>
      </c>
      <c r="L263" s="24">
        <v>40969</v>
      </c>
      <c r="M263" s="24">
        <v>40673</v>
      </c>
      <c r="N263" s="22" t="s">
        <v>1878</v>
      </c>
      <c r="O263" s="4">
        <v>9120228</v>
      </c>
      <c r="P263" s="22">
        <v>1020</v>
      </c>
      <c r="Q263" s="22">
        <v>42</v>
      </c>
      <c r="R263" s="22" t="s">
        <v>2647</v>
      </c>
      <c r="S263" s="102" t="s">
        <v>1810</v>
      </c>
      <c r="T263" s="55" t="s">
        <v>404</v>
      </c>
      <c r="U263" s="94">
        <v>40814</v>
      </c>
      <c r="V263" s="55"/>
      <c r="W263" s="94"/>
      <c r="X263" s="75"/>
      <c r="Y263" s="28" t="e">
        <v>#REF!</v>
      </c>
      <c r="Z263" s="9"/>
      <c r="AA263" s="24" t="s">
        <v>393</v>
      </c>
      <c r="AB263" s="28">
        <v>40934</v>
      </c>
    </row>
    <row r="264" spans="1:28" s="4" customFormat="1" ht="14.25" customHeight="1" x14ac:dyDescent="0.4">
      <c r="A264">
        <v>240</v>
      </c>
      <c r="B264" s="24">
        <v>40996</v>
      </c>
      <c r="C264" s="24">
        <v>40996</v>
      </c>
      <c r="D264" s="24">
        <v>40996</v>
      </c>
      <c r="E264" s="24">
        <v>40996</v>
      </c>
      <c r="F264" s="24" t="s">
        <v>393</v>
      </c>
      <c r="G264" s="24">
        <v>41005</v>
      </c>
      <c r="H264" s="23">
        <v>532</v>
      </c>
      <c r="I264" s="23">
        <v>40969</v>
      </c>
      <c r="J264" s="37">
        <v>39</v>
      </c>
      <c r="K264" s="24" t="s">
        <v>412</v>
      </c>
      <c r="L264" s="24">
        <v>41000</v>
      </c>
      <c r="M264" s="24">
        <v>40673</v>
      </c>
      <c r="N264" s="22" t="s">
        <v>1878</v>
      </c>
      <c r="O264" s="4">
        <v>9120201</v>
      </c>
      <c r="P264" s="22">
        <v>1220</v>
      </c>
      <c r="Q264" s="22">
        <v>50</v>
      </c>
      <c r="R264" s="22" t="s">
        <v>2648</v>
      </c>
      <c r="S264" s="3"/>
      <c r="T264" s="55" t="s">
        <v>404</v>
      </c>
      <c r="U264" s="167">
        <v>40947</v>
      </c>
      <c r="V264" s="55" t="s">
        <v>404</v>
      </c>
      <c r="W264" s="42">
        <v>41098</v>
      </c>
      <c r="X264" s="75"/>
      <c r="Y264" s="28" t="e">
        <v>#REF!</v>
      </c>
      <c r="Z264" s="1"/>
      <c r="AA264" s="24" t="s">
        <v>393</v>
      </c>
      <c r="AB264" s="28">
        <v>41005</v>
      </c>
    </row>
    <row r="265" spans="1:28" s="4" customFormat="1" ht="14.25" customHeight="1" x14ac:dyDescent="0.4">
      <c r="A265">
        <v>241</v>
      </c>
      <c r="B265" s="24">
        <v>41037</v>
      </c>
      <c r="C265" s="24">
        <v>41037</v>
      </c>
      <c r="D265" s="24">
        <v>41037</v>
      </c>
      <c r="E265" s="24">
        <v>41037</v>
      </c>
      <c r="F265" s="24" t="s">
        <v>393</v>
      </c>
      <c r="G265" s="24">
        <v>41067</v>
      </c>
      <c r="H265" s="23">
        <v>576</v>
      </c>
      <c r="I265" s="23">
        <v>41030</v>
      </c>
      <c r="J265" s="37">
        <v>7</v>
      </c>
      <c r="K265" s="24" t="s">
        <v>412</v>
      </c>
      <c r="L265" s="24">
        <v>41000</v>
      </c>
      <c r="M265" s="24">
        <v>40673</v>
      </c>
      <c r="N265" s="22" t="s">
        <v>1878</v>
      </c>
      <c r="O265" s="4">
        <v>9120202</v>
      </c>
      <c r="P265" s="22">
        <v>1220</v>
      </c>
      <c r="Q265" s="22">
        <v>50</v>
      </c>
      <c r="R265" s="22">
        <v>0</v>
      </c>
      <c r="S265" s="3"/>
      <c r="T265" s="55" t="s">
        <v>406</v>
      </c>
      <c r="U265" s="167"/>
      <c r="V265" s="55"/>
      <c r="W265" s="42"/>
      <c r="X265" s="75"/>
      <c r="Y265" s="28" t="e">
        <v>#REF!</v>
      </c>
      <c r="Z265" s="1"/>
      <c r="AA265" s="24" t="s">
        <v>393</v>
      </c>
      <c r="AB265" s="28">
        <v>41067</v>
      </c>
    </row>
    <row r="266" spans="1:28" s="4" customFormat="1" ht="14.25" customHeight="1" x14ac:dyDescent="0.4">
      <c r="A266">
        <v>242</v>
      </c>
      <c r="B266" s="24">
        <v>40987</v>
      </c>
      <c r="C266" s="24">
        <v>40987</v>
      </c>
      <c r="D266" s="24">
        <v>40987</v>
      </c>
      <c r="E266" s="24">
        <v>40987</v>
      </c>
      <c r="F266" s="24" t="s">
        <v>393</v>
      </c>
      <c r="G266" s="24">
        <v>40989</v>
      </c>
      <c r="H266" s="23">
        <v>517</v>
      </c>
      <c r="I266" s="23">
        <v>40969</v>
      </c>
      <c r="J266" s="37">
        <v>24</v>
      </c>
      <c r="K266" s="24" t="s">
        <v>412</v>
      </c>
      <c r="L266" s="24">
        <v>41000</v>
      </c>
      <c r="M266" s="24">
        <v>40673</v>
      </c>
      <c r="N266" s="22" t="s">
        <v>1878</v>
      </c>
      <c r="O266" s="4">
        <v>9120229</v>
      </c>
      <c r="P266" s="22">
        <v>720</v>
      </c>
      <c r="Q266" s="22">
        <v>42</v>
      </c>
      <c r="R266" s="22" t="s">
        <v>2649</v>
      </c>
      <c r="S266" s="3" t="s">
        <v>1811</v>
      </c>
      <c r="T266" s="55" t="s">
        <v>404</v>
      </c>
      <c r="U266" s="167">
        <v>40941</v>
      </c>
      <c r="V266" s="55" t="s">
        <v>404</v>
      </c>
      <c r="W266" s="42">
        <v>41071</v>
      </c>
      <c r="X266" s="75"/>
      <c r="Y266" s="28" t="e">
        <v>#REF!</v>
      </c>
      <c r="Z266" s="1"/>
      <c r="AA266" s="24" t="s">
        <v>393</v>
      </c>
      <c r="AB266" s="28">
        <v>40989</v>
      </c>
    </row>
    <row r="267" spans="1:28" ht="14.25" customHeight="1" x14ac:dyDescent="0.4">
      <c r="A267">
        <v>243</v>
      </c>
      <c r="B267" s="24">
        <v>41024</v>
      </c>
      <c r="C267" s="24">
        <v>41024</v>
      </c>
      <c r="D267" s="24">
        <v>41024</v>
      </c>
      <c r="E267" s="24">
        <v>41024</v>
      </c>
      <c r="F267" s="24" t="s">
        <v>393</v>
      </c>
      <c r="G267" s="24">
        <v>41026</v>
      </c>
      <c r="H267" s="23">
        <v>565</v>
      </c>
      <c r="I267" s="23">
        <v>41000</v>
      </c>
      <c r="J267" s="37">
        <v>24</v>
      </c>
      <c r="K267" s="24" t="s">
        <v>412</v>
      </c>
      <c r="L267" s="24">
        <v>41001</v>
      </c>
      <c r="M267" s="24">
        <v>40673</v>
      </c>
      <c r="N267" s="22" t="s">
        <v>1878</v>
      </c>
      <c r="O267" s="4">
        <v>9120230</v>
      </c>
      <c r="P267" s="22">
        <v>720</v>
      </c>
      <c r="Q267" s="22">
        <v>42</v>
      </c>
      <c r="R267" s="22">
        <v>0</v>
      </c>
      <c r="S267" s="3" t="s">
        <v>1118</v>
      </c>
      <c r="T267" s="55" t="s">
        <v>404</v>
      </c>
      <c r="U267" s="167">
        <v>41011</v>
      </c>
      <c r="V267" s="55" t="s">
        <v>404</v>
      </c>
      <c r="W267" s="42">
        <v>41103</v>
      </c>
      <c r="Y267" s="28" t="e">
        <v>#REF!</v>
      </c>
      <c r="AA267" s="24" t="s">
        <v>393</v>
      </c>
      <c r="AB267" s="28">
        <v>41026</v>
      </c>
    </row>
    <row r="268" spans="1:28" s="5" customFormat="1" ht="14.25" customHeight="1" x14ac:dyDescent="0.4">
      <c r="A268">
        <v>244</v>
      </c>
      <c r="B268" s="24">
        <v>40974</v>
      </c>
      <c r="C268" s="24">
        <v>40974</v>
      </c>
      <c r="D268" s="24">
        <v>40974</v>
      </c>
      <c r="E268" s="24">
        <v>40974</v>
      </c>
      <c r="F268" s="24" t="s">
        <v>393</v>
      </c>
      <c r="G268" s="24">
        <v>40987</v>
      </c>
      <c r="H268" s="23">
        <v>503</v>
      </c>
      <c r="I268" s="23">
        <v>40969</v>
      </c>
      <c r="J268" s="37">
        <v>10</v>
      </c>
      <c r="K268" s="24" t="s">
        <v>412</v>
      </c>
      <c r="L268" s="24">
        <v>0</v>
      </c>
      <c r="M268" s="24">
        <v>40858</v>
      </c>
      <c r="N268" s="22" t="s">
        <v>1878</v>
      </c>
      <c r="O268" s="4">
        <v>9120503</v>
      </c>
      <c r="P268" s="22">
        <v>1020</v>
      </c>
      <c r="Q268" s="22">
        <v>50</v>
      </c>
      <c r="R268" s="22" t="s">
        <v>2650</v>
      </c>
      <c r="S268" s="3" t="s">
        <v>1812</v>
      </c>
      <c r="T268" s="55" t="s">
        <v>404</v>
      </c>
      <c r="U268" s="167">
        <v>40889</v>
      </c>
      <c r="V268" s="102" t="s">
        <v>404</v>
      </c>
      <c r="W268" s="42">
        <v>41061</v>
      </c>
      <c r="X268" s="75"/>
      <c r="Y268" s="28" t="e">
        <v>#REF!</v>
      </c>
      <c r="Z268" s="1"/>
      <c r="AA268" s="24" t="s">
        <v>393</v>
      </c>
      <c r="AB268" s="28">
        <v>40987</v>
      </c>
    </row>
    <row r="269" spans="1:28" ht="14.25" customHeight="1" x14ac:dyDescent="0.4">
      <c r="A269">
        <v>245</v>
      </c>
      <c r="B269" s="24">
        <v>40974</v>
      </c>
      <c r="C269" s="24">
        <v>40974</v>
      </c>
      <c r="D269" s="24">
        <v>40974</v>
      </c>
      <c r="E269" s="24">
        <v>40974</v>
      </c>
      <c r="F269" s="24" t="s">
        <v>393</v>
      </c>
      <c r="G269" s="24">
        <v>40975</v>
      </c>
      <c r="H269" s="23">
        <v>504</v>
      </c>
      <c r="I269" s="23">
        <v>40969</v>
      </c>
      <c r="J269" s="37">
        <v>11</v>
      </c>
      <c r="K269" s="24" t="s">
        <v>412</v>
      </c>
      <c r="L269" s="24">
        <v>0</v>
      </c>
      <c r="M269" s="24">
        <v>40858</v>
      </c>
      <c r="N269" s="22" t="s">
        <v>1878</v>
      </c>
      <c r="O269" s="4">
        <v>9120504</v>
      </c>
      <c r="P269" s="22">
        <v>1020</v>
      </c>
      <c r="Q269" s="22">
        <v>50</v>
      </c>
      <c r="R269" s="22" t="s">
        <v>2651</v>
      </c>
      <c r="S269" s="3" t="s">
        <v>1813</v>
      </c>
      <c r="T269" s="55" t="s">
        <v>404</v>
      </c>
      <c r="U269" s="167">
        <v>40920</v>
      </c>
      <c r="V269" s="55"/>
      <c r="W269" s="42"/>
      <c r="Y269" s="28" t="e">
        <v>#REF!</v>
      </c>
      <c r="AA269" s="24" t="s">
        <v>393</v>
      </c>
      <c r="AB269" s="28">
        <v>40975</v>
      </c>
    </row>
    <row r="270" spans="1:28" ht="14.25" customHeight="1" x14ac:dyDescent="0.4">
      <c r="A270">
        <v>246</v>
      </c>
      <c r="B270" s="24">
        <v>40956</v>
      </c>
      <c r="C270" s="24">
        <v>40956</v>
      </c>
      <c r="D270" s="24">
        <v>40956</v>
      </c>
      <c r="E270" s="24">
        <v>40956</v>
      </c>
      <c r="F270" s="24" t="s">
        <v>393</v>
      </c>
      <c r="G270" s="24">
        <v>40966</v>
      </c>
      <c r="H270" s="23">
        <v>467</v>
      </c>
      <c r="I270" s="23">
        <v>40940</v>
      </c>
      <c r="J270" s="37">
        <v>37</v>
      </c>
      <c r="K270" s="24" t="s">
        <v>412</v>
      </c>
      <c r="L270" s="24">
        <v>0</v>
      </c>
      <c r="M270" s="24">
        <v>40858</v>
      </c>
      <c r="N270" s="22" t="s">
        <v>1878</v>
      </c>
      <c r="O270" s="4">
        <v>9120505</v>
      </c>
      <c r="P270" s="22">
        <v>1020</v>
      </c>
      <c r="Q270" s="22">
        <v>50</v>
      </c>
      <c r="R270" s="22" t="s">
        <v>1547</v>
      </c>
      <c r="S270" s="38" t="s">
        <v>1458</v>
      </c>
      <c r="T270" s="4" t="s">
        <v>404</v>
      </c>
      <c r="U270" s="189">
        <v>41152</v>
      </c>
      <c r="V270" s="55"/>
      <c r="W270" s="42"/>
      <c r="Y270" s="28" t="e">
        <v>#REF!</v>
      </c>
      <c r="AA270" s="24" t="s">
        <v>393</v>
      </c>
      <c r="AB270" s="28">
        <v>40966</v>
      </c>
    </row>
    <row r="271" spans="1:28" ht="14.25" customHeight="1" x14ac:dyDescent="0.4">
      <c r="A271">
        <v>247</v>
      </c>
      <c r="B271" s="24">
        <v>40956</v>
      </c>
      <c r="C271" s="24">
        <v>40956</v>
      </c>
      <c r="D271" s="24">
        <v>40956</v>
      </c>
      <c r="E271" s="24">
        <v>40956</v>
      </c>
      <c r="F271" s="24" t="s">
        <v>393</v>
      </c>
      <c r="G271" s="24">
        <v>40973</v>
      </c>
      <c r="H271" s="23">
        <v>468</v>
      </c>
      <c r="I271" s="23">
        <v>40940</v>
      </c>
      <c r="J271" s="37">
        <v>38</v>
      </c>
      <c r="K271" s="24" t="s">
        <v>412</v>
      </c>
      <c r="L271" s="24">
        <v>0</v>
      </c>
      <c r="M271" s="24">
        <v>40858</v>
      </c>
      <c r="N271" s="22" t="s">
        <v>1878</v>
      </c>
      <c r="O271" s="4">
        <v>9120506</v>
      </c>
      <c r="P271" s="22">
        <v>1020</v>
      </c>
      <c r="Q271" s="22">
        <v>50</v>
      </c>
      <c r="R271" s="22" t="s">
        <v>1548</v>
      </c>
      <c r="S271" s="3" t="s">
        <v>1838</v>
      </c>
      <c r="T271" s="55" t="s">
        <v>404</v>
      </c>
      <c r="U271" s="167">
        <v>40973</v>
      </c>
      <c r="V271" s="55" t="s">
        <v>404</v>
      </c>
      <c r="W271" s="42">
        <v>41059</v>
      </c>
      <c r="Y271" s="28" t="e">
        <v>#REF!</v>
      </c>
      <c r="AA271" s="24" t="s">
        <v>393</v>
      </c>
      <c r="AB271" s="28">
        <v>40973</v>
      </c>
    </row>
    <row r="272" spans="1:28" s="4" customFormat="1" ht="14.25" customHeight="1" x14ac:dyDescent="0.4">
      <c r="A272">
        <v>248</v>
      </c>
      <c r="B272" s="24">
        <v>40981</v>
      </c>
      <c r="C272" s="24">
        <v>40981</v>
      </c>
      <c r="D272" s="24">
        <v>40981</v>
      </c>
      <c r="E272" s="24">
        <v>40981</v>
      </c>
      <c r="F272" s="24" t="s">
        <v>393</v>
      </c>
      <c r="G272" s="24">
        <v>40989</v>
      </c>
      <c r="H272" s="23">
        <v>515</v>
      </c>
      <c r="I272" s="23">
        <v>40969</v>
      </c>
      <c r="J272" s="37">
        <v>22</v>
      </c>
      <c r="K272" s="24" t="s">
        <v>412</v>
      </c>
      <c r="L272" s="24">
        <v>0</v>
      </c>
      <c r="M272" s="24">
        <v>40858</v>
      </c>
      <c r="N272" s="22" t="s">
        <v>1878</v>
      </c>
      <c r="O272" s="4">
        <v>9120507</v>
      </c>
      <c r="P272" s="22">
        <v>1020</v>
      </c>
      <c r="Q272" s="22">
        <v>50</v>
      </c>
      <c r="R272" s="22" t="s">
        <v>2652</v>
      </c>
      <c r="S272" s="3" t="s">
        <v>1174</v>
      </c>
      <c r="T272" s="55" t="s">
        <v>404</v>
      </c>
      <c r="U272" s="167">
        <v>40945</v>
      </c>
      <c r="V272" s="102" t="s">
        <v>404</v>
      </c>
      <c r="W272" s="42">
        <v>41059</v>
      </c>
      <c r="X272" s="75"/>
      <c r="Y272" s="28" t="e">
        <v>#REF!</v>
      </c>
      <c r="Z272" s="1"/>
      <c r="AA272" s="24" t="s">
        <v>393</v>
      </c>
      <c r="AB272" s="28">
        <v>40989</v>
      </c>
    </row>
    <row r="273" spans="1:28" s="4" customFormat="1" ht="14.25" customHeight="1" x14ac:dyDescent="0.4">
      <c r="A273">
        <v>249</v>
      </c>
      <c r="B273" s="24">
        <v>40987</v>
      </c>
      <c r="C273" s="24">
        <v>40987</v>
      </c>
      <c r="D273" s="24">
        <v>40987</v>
      </c>
      <c r="E273" s="24">
        <v>40987</v>
      </c>
      <c r="F273" s="24" t="s">
        <v>393</v>
      </c>
      <c r="G273" s="24">
        <v>40989</v>
      </c>
      <c r="H273" s="23">
        <v>518</v>
      </c>
      <c r="I273" s="23">
        <v>40969</v>
      </c>
      <c r="J273" s="37">
        <v>25</v>
      </c>
      <c r="K273" s="24" t="s">
        <v>412</v>
      </c>
      <c r="L273" s="24">
        <v>0</v>
      </c>
      <c r="M273" s="24">
        <v>40858</v>
      </c>
      <c r="N273" s="22" t="s">
        <v>1878</v>
      </c>
      <c r="O273" s="4">
        <v>9120508</v>
      </c>
      <c r="P273" s="22">
        <v>1020</v>
      </c>
      <c r="Q273" s="22">
        <v>50</v>
      </c>
      <c r="R273" s="22" t="s">
        <v>2653</v>
      </c>
      <c r="S273" s="3" t="s">
        <v>312</v>
      </c>
      <c r="T273" s="55" t="s">
        <v>404</v>
      </c>
      <c r="U273" s="167">
        <v>40945</v>
      </c>
      <c r="V273" s="55" t="s">
        <v>404</v>
      </c>
      <c r="W273" s="42">
        <v>41059</v>
      </c>
      <c r="X273" s="75"/>
      <c r="Y273" s="28" t="e">
        <v>#REF!</v>
      </c>
      <c r="Z273" s="1"/>
      <c r="AA273" s="24" t="s">
        <v>393</v>
      </c>
      <c r="AB273" s="28">
        <v>40989</v>
      </c>
    </row>
    <row r="274" spans="1:28" s="4" customFormat="1" ht="14.25" customHeight="1" x14ac:dyDescent="0.4">
      <c r="A274">
        <v>250</v>
      </c>
      <c r="B274" s="24">
        <v>40759</v>
      </c>
      <c r="C274" s="24">
        <v>40759</v>
      </c>
      <c r="D274" s="24">
        <v>40759</v>
      </c>
      <c r="E274" s="24">
        <v>40759</v>
      </c>
      <c r="F274" s="24" t="s">
        <v>392</v>
      </c>
      <c r="G274" s="24">
        <v>40779</v>
      </c>
      <c r="H274" s="23">
        <v>66</v>
      </c>
      <c r="I274" s="23">
        <v>40756</v>
      </c>
      <c r="J274" s="37">
        <v>11</v>
      </c>
      <c r="K274" s="24" t="s">
        <v>412</v>
      </c>
      <c r="L274" s="24">
        <v>40848</v>
      </c>
      <c r="M274" s="24">
        <v>40673</v>
      </c>
      <c r="N274" s="22" t="s">
        <v>674</v>
      </c>
      <c r="O274" s="4">
        <v>9120095</v>
      </c>
      <c r="P274" s="22">
        <v>1020</v>
      </c>
      <c r="Q274" s="22">
        <v>50</v>
      </c>
      <c r="R274" s="22">
        <v>0</v>
      </c>
      <c r="S274" s="102" t="s">
        <v>84</v>
      </c>
      <c r="T274" s="55" t="s">
        <v>404</v>
      </c>
      <c r="U274" s="94">
        <v>40856</v>
      </c>
      <c r="V274" s="55" t="s">
        <v>404</v>
      </c>
      <c r="W274" s="42">
        <v>41028</v>
      </c>
      <c r="X274" s="74">
        <v>0</v>
      </c>
      <c r="Y274" s="28" t="e">
        <v>#REF!</v>
      </c>
      <c r="Z274" s="9"/>
      <c r="AA274" s="24" t="s">
        <v>392</v>
      </c>
      <c r="AB274" s="28">
        <v>40779</v>
      </c>
    </row>
    <row r="275" spans="1:28" s="4" customFormat="1" ht="14.25" customHeight="1" x14ac:dyDescent="0.4">
      <c r="A275">
        <v>251</v>
      </c>
      <c r="B275" s="24">
        <v>40760</v>
      </c>
      <c r="C275" s="24">
        <v>40760</v>
      </c>
      <c r="D275" s="24">
        <v>40760</v>
      </c>
      <c r="E275" s="24">
        <v>40760</v>
      </c>
      <c r="F275" s="24" t="s">
        <v>393</v>
      </c>
      <c r="G275" s="24">
        <v>40771</v>
      </c>
      <c r="H275" s="23">
        <v>67</v>
      </c>
      <c r="I275" s="23">
        <v>40756</v>
      </c>
      <c r="J275" s="37">
        <v>12</v>
      </c>
      <c r="K275" s="24" t="s">
        <v>412</v>
      </c>
      <c r="L275" s="24">
        <v>40848</v>
      </c>
      <c r="M275" s="24">
        <v>40673</v>
      </c>
      <c r="N275" s="22" t="s">
        <v>674</v>
      </c>
      <c r="O275" s="4">
        <v>9120096</v>
      </c>
      <c r="P275" s="22">
        <v>1020</v>
      </c>
      <c r="Q275" s="22">
        <v>50</v>
      </c>
      <c r="R275" s="22">
        <v>0</v>
      </c>
      <c r="S275" s="3" t="s">
        <v>85</v>
      </c>
      <c r="T275" s="55" t="s">
        <v>404</v>
      </c>
      <c r="U275" s="164">
        <v>40904</v>
      </c>
      <c r="V275" s="102" t="s">
        <v>404</v>
      </c>
      <c r="W275" s="164">
        <v>41014</v>
      </c>
      <c r="X275" s="75"/>
      <c r="Y275" s="28" t="e">
        <v>#REF!</v>
      </c>
      <c r="Z275" s="1"/>
      <c r="AA275" s="24" t="s">
        <v>393</v>
      </c>
      <c r="AB275" s="28">
        <v>40771</v>
      </c>
    </row>
    <row r="276" spans="1:28" ht="14.25" customHeight="1" x14ac:dyDescent="0.4">
      <c r="A276">
        <v>252</v>
      </c>
      <c r="B276" s="24">
        <v>40760</v>
      </c>
      <c r="C276" s="24">
        <v>40760</v>
      </c>
      <c r="D276" s="24">
        <v>40760</v>
      </c>
      <c r="E276" s="24">
        <v>40760</v>
      </c>
      <c r="F276" s="24" t="s">
        <v>393</v>
      </c>
      <c r="G276" s="24">
        <v>40765</v>
      </c>
      <c r="H276" s="23">
        <v>68</v>
      </c>
      <c r="I276" s="23">
        <v>40756</v>
      </c>
      <c r="J276" s="37">
        <v>13</v>
      </c>
      <c r="K276" s="24" t="s">
        <v>412</v>
      </c>
      <c r="L276" s="24">
        <v>40878</v>
      </c>
      <c r="M276" s="24">
        <v>40673</v>
      </c>
      <c r="N276" s="22" t="s">
        <v>674</v>
      </c>
      <c r="O276" s="4">
        <v>9120097</v>
      </c>
      <c r="P276" s="22">
        <v>1020</v>
      </c>
      <c r="Q276" s="22">
        <v>50</v>
      </c>
      <c r="R276" s="22">
        <v>0</v>
      </c>
      <c r="S276" s="3" t="s">
        <v>1119</v>
      </c>
      <c r="T276" s="55" t="s">
        <v>404</v>
      </c>
      <c r="U276" s="164">
        <v>41100</v>
      </c>
      <c r="V276" s="55" t="s">
        <v>404</v>
      </c>
      <c r="W276" s="28">
        <v>41100</v>
      </c>
      <c r="Y276" s="28" t="e">
        <v>#REF!</v>
      </c>
      <c r="AA276" s="24" t="s">
        <v>393</v>
      </c>
      <c r="AB276" s="28">
        <v>40765</v>
      </c>
    </row>
    <row r="277" spans="1:28" s="4" customFormat="1" ht="14.25" customHeight="1" x14ac:dyDescent="0.4">
      <c r="A277">
        <v>253</v>
      </c>
      <c r="B277" s="22">
        <v>0</v>
      </c>
      <c r="C277" s="22" t="s">
        <v>2165</v>
      </c>
      <c r="D277" s="22">
        <v>0</v>
      </c>
      <c r="E277" s="24">
        <v>40760</v>
      </c>
      <c r="F277" s="24" t="s">
        <v>393</v>
      </c>
      <c r="G277" s="24">
        <v>40765</v>
      </c>
      <c r="H277" s="37">
        <v>69</v>
      </c>
      <c r="I277" s="23">
        <v>40756</v>
      </c>
      <c r="J277" s="37">
        <v>14</v>
      </c>
      <c r="K277" s="24" t="s">
        <v>412</v>
      </c>
      <c r="L277" s="24">
        <v>40878</v>
      </c>
      <c r="M277" s="24">
        <v>40673</v>
      </c>
      <c r="N277" s="22" t="s">
        <v>674</v>
      </c>
      <c r="O277" s="4">
        <v>9120098</v>
      </c>
      <c r="P277" s="22">
        <v>1020</v>
      </c>
      <c r="Q277" s="22">
        <v>50</v>
      </c>
      <c r="R277" s="22">
        <v>0</v>
      </c>
      <c r="S277" s="55"/>
      <c r="T277" s="55" t="s">
        <v>404</v>
      </c>
      <c r="U277" s="164">
        <v>41014</v>
      </c>
      <c r="V277" s="102" t="s">
        <v>404</v>
      </c>
      <c r="W277" s="164">
        <v>41014</v>
      </c>
      <c r="X277" s="74"/>
      <c r="Y277" s="28" t="e">
        <v>#REF!</v>
      </c>
      <c r="Z277" s="28"/>
      <c r="AA277" s="24" t="s">
        <v>393</v>
      </c>
      <c r="AB277" s="28">
        <v>40765</v>
      </c>
    </row>
    <row r="278" spans="1:28" s="4" customFormat="1" ht="14.25" customHeight="1" x14ac:dyDescent="0.4">
      <c r="A278">
        <v>254</v>
      </c>
      <c r="B278" s="24">
        <v>40749</v>
      </c>
      <c r="C278" s="24">
        <v>40749</v>
      </c>
      <c r="D278" s="24">
        <v>40749</v>
      </c>
      <c r="E278" s="24">
        <v>40749</v>
      </c>
      <c r="F278" s="24" t="s">
        <v>393</v>
      </c>
      <c r="G278" s="24">
        <v>40757</v>
      </c>
      <c r="H278" s="37">
        <v>41</v>
      </c>
      <c r="I278" s="23">
        <v>40725</v>
      </c>
      <c r="J278" s="37">
        <v>41</v>
      </c>
      <c r="K278" s="24" t="s">
        <v>412</v>
      </c>
      <c r="L278" s="24">
        <v>40848</v>
      </c>
      <c r="M278" s="24">
        <v>40673</v>
      </c>
      <c r="N278" s="22" t="s">
        <v>674</v>
      </c>
      <c r="O278" s="4">
        <v>9120149</v>
      </c>
      <c r="P278" s="22">
        <v>1020</v>
      </c>
      <c r="Q278" s="22">
        <v>42</v>
      </c>
      <c r="R278" s="22">
        <v>0</v>
      </c>
      <c r="S278" s="102" t="s">
        <v>1120</v>
      </c>
      <c r="T278" s="55" t="s">
        <v>406</v>
      </c>
      <c r="U278" s="94"/>
      <c r="V278" s="55"/>
      <c r="W278" s="92"/>
      <c r="X278" s="74">
        <v>0</v>
      </c>
      <c r="Y278" s="28" t="e">
        <v>#REF!</v>
      </c>
      <c r="Z278" s="9"/>
      <c r="AA278" s="24" t="s">
        <v>393</v>
      </c>
      <c r="AB278" s="28">
        <v>40757</v>
      </c>
    </row>
    <row r="279" spans="1:28" s="4" customFormat="1" ht="14.25" customHeight="1" x14ac:dyDescent="0.4">
      <c r="A279">
        <v>255</v>
      </c>
      <c r="B279" s="22">
        <v>0</v>
      </c>
      <c r="C279" s="22" t="s">
        <v>2165</v>
      </c>
      <c r="D279" s="22">
        <v>0</v>
      </c>
      <c r="E279" s="24">
        <v>40750</v>
      </c>
      <c r="F279" s="24" t="s">
        <v>393</v>
      </c>
      <c r="G279" s="24">
        <v>40760</v>
      </c>
      <c r="H279" s="37">
        <v>43</v>
      </c>
      <c r="I279" s="23">
        <v>40725</v>
      </c>
      <c r="J279" s="37">
        <v>43</v>
      </c>
      <c r="K279" s="24" t="s">
        <v>412</v>
      </c>
      <c r="L279" s="24">
        <v>40878</v>
      </c>
      <c r="M279" s="24">
        <v>40673</v>
      </c>
      <c r="N279" s="22" t="s">
        <v>674</v>
      </c>
      <c r="O279" s="4">
        <v>9120157</v>
      </c>
      <c r="P279" s="22">
        <v>1020</v>
      </c>
      <c r="Q279" s="22">
        <v>42</v>
      </c>
      <c r="R279" s="22">
        <v>0</v>
      </c>
      <c r="S279" s="55"/>
      <c r="T279" s="102" t="s">
        <v>404</v>
      </c>
      <c r="U279" s="164">
        <v>41014</v>
      </c>
      <c r="V279" s="102" t="s">
        <v>404</v>
      </c>
      <c r="W279" s="164">
        <v>41014</v>
      </c>
      <c r="X279" s="74"/>
      <c r="Y279" s="28" t="e">
        <v>#REF!</v>
      </c>
      <c r="Z279" s="9"/>
      <c r="AA279" s="24" t="s">
        <v>393</v>
      </c>
      <c r="AB279" s="28">
        <v>40760</v>
      </c>
    </row>
    <row r="280" spans="1:28" s="4" customFormat="1" ht="14.25" customHeight="1" x14ac:dyDescent="0.4">
      <c r="A280">
        <v>256</v>
      </c>
      <c r="B280" s="22">
        <v>0</v>
      </c>
      <c r="C280" s="22" t="s">
        <v>2165</v>
      </c>
      <c r="D280" s="22">
        <v>0</v>
      </c>
      <c r="E280" s="24">
        <v>40750</v>
      </c>
      <c r="F280" s="24" t="s">
        <v>393</v>
      </c>
      <c r="G280" s="24">
        <v>40757</v>
      </c>
      <c r="H280" s="37">
        <v>44</v>
      </c>
      <c r="I280" s="23">
        <v>40725</v>
      </c>
      <c r="J280" s="37">
        <v>44</v>
      </c>
      <c r="K280" s="24" t="s">
        <v>412</v>
      </c>
      <c r="L280" s="24">
        <v>40879</v>
      </c>
      <c r="M280" s="24">
        <v>40673</v>
      </c>
      <c r="N280" s="22" t="s">
        <v>674</v>
      </c>
      <c r="O280" s="4">
        <v>9120158</v>
      </c>
      <c r="P280" s="22">
        <v>1020</v>
      </c>
      <c r="Q280" s="22">
        <v>42</v>
      </c>
      <c r="R280" s="22">
        <v>0</v>
      </c>
      <c r="S280" s="102" t="s">
        <v>1121</v>
      </c>
      <c r="T280" s="55" t="s">
        <v>406</v>
      </c>
      <c r="U280" s="94"/>
      <c r="V280" s="55"/>
      <c r="W280" s="92"/>
      <c r="X280" s="74"/>
      <c r="Y280" s="28" t="e">
        <v>#REF!</v>
      </c>
      <c r="Z280" s="9"/>
      <c r="AA280" s="24" t="s">
        <v>393</v>
      </c>
      <c r="AB280" s="28">
        <v>40757</v>
      </c>
    </row>
    <row r="281" spans="1:28" ht="14.25" customHeight="1" x14ac:dyDescent="0.4">
      <c r="A281">
        <v>257</v>
      </c>
      <c r="B281" s="22">
        <v>0</v>
      </c>
      <c r="C281" s="22" t="s">
        <v>2165</v>
      </c>
      <c r="D281" s="22">
        <v>0</v>
      </c>
      <c r="E281" s="24">
        <v>40749</v>
      </c>
      <c r="F281" s="24" t="s">
        <v>393</v>
      </c>
      <c r="G281" s="24">
        <v>40757</v>
      </c>
      <c r="H281" s="37">
        <v>42</v>
      </c>
      <c r="I281" s="23">
        <v>40725</v>
      </c>
      <c r="J281" s="37">
        <v>42</v>
      </c>
      <c r="K281" s="24" t="s">
        <v>412</v>
      </c>
      <c r="L281" s="24">
        <v>40848</v>
      </c>
      <c r="M281" s="24">
        <v>40739</v>
      </c>
      <c r="N281" s="22" t="s">
        <v>674</v>
      </c>
      <c r="O281" s="4">
        <v>9120150</v>
      </c>
      <c r="P281" s="22">
        <v>1020</v>
      </c>
      <c r="Q281" s="22">
        <v>42</v>
      </c>
      <c r="R281" s="22">
        <v>0</v>
      </c>
      <c r="S281" s="132" t="s">
        <v>1122</v>
      </c>
      <c r="T281" s="55" t="s">
        <v>406</v>
      </c>
      <c r="U281" s="94"/>
      <c r="V281" s="55"/>
      <c r="W281" s="92"/>
      <c r="X281" s="74"/>
      <c r="Y281" s="28" t="e">
        <v>#REF!</v>
      </c>
      <c r="Z281" s="9"/>
      <c r="AA281" s="24" t="s">
        <v>393</v>
      </c>
      <c r="AB281" s="28">
        <v>40757</v>
      </c>
    </row>
    <row r="282" spans="1:28" ht="14.25" customHeight="1" x14ac:dyDescent="0.4">
      <c r="A282">
        <v>258</v>
      </c>
      <c r="B282" s="22">
        <v>0</v>
      </c>
      <c r="C282" s="22" t="s">
        <v>2165</v>
      </c>
      <c r="D282" s="22">
        <v>0</v>
      </c>
      <c r="E282" s="24">
        <v>40795</v>
      </c>
      <c r="F282" s="24" t="s">
        <v>393</v>
      </c>
      <c r="G282" s="24">
        <v>40798</v>
      </c>
      <c r="H282" s="37">
        <v>139</v>
      </c>
      <c r="I282" s="23">
        <v>40787</v>
      </c>
      <c r="J282" s="37">
        <v>15</v>
      </c>
      <c r="K282" s="24" t="s">
        <v>412</v>
      </c>
      <c r="L282" s="24">
        <v>40848</v>
      </c>
      <c r="M282" s="24">
        <v>40673</v>
      </c>
      <c r="N282" s="22" t="s">
        <v>674</v>
      </c>
      <c r="O282" s="4">
        <v>9120151</v>
      </c>
      <c r="P282" s="22">
        <v>1020</v>
      </c>
      <c r="Q282" s="22">
        <v>42</v>
      </c>
      <c r="R282" s="22">
        <v>0</v>
      </c>
      <c r="S282" s="102" t="s">
        <v>1119</v>
      </c>
      <c r="T282" s="55" t="s">
        <v>406</v>
      </c>
      <c r="U282" s="94"/>
      <c r="V282" s="55"/>
      <c r="W282" s="92"/>
      <c r="X282" s="74"/>
      <c r="Y282" s="28" t="e">
        <v>#REF!</v>
      </c>
      <c r="Z282" s="9"/>
      <c r="AA282" s="24" t="s">
        <v>393</v>
      </c>
      <c r="AB282" s="28">
        <v>40798</v>
      </c>
    </row>
    <row r="283" spans="1:28" ht="14.25" customHeight="1" x14ac:dyDescent="0.4">
      <c r="A283">
        <v>259</v>
      </c>
      <c r="B283" s="22">
        <v>0</v>
      </c>
      <c r="C283" s="22" t="s">
        <v>2165</v>
      </c>
      <c r="D283" s="22">
        <v>0</v>
      </c>
      <c r="E283" s="24">
        <v>40798</v>
      </c>
      <c r="F283" s="24" t="s">
        <v>393</v>
      </c>
      <c r="G283" s="24">
        <v>40800</v>
      </c>
      <c r="H283" s="37">
        <v>140</v>
      </c>
      <c r="I283" s="23">
        <v>40787</v>
      </c>
      <c r="J283" s="37">
        <v>16</v>
      </c>
      <c r="K283" s="24" t="s">
        <v>412</v>
      </c>
      <c r="L283" s="24">
        <v>40848</v>
      </c>
      <c r="M283" s="24">
        <v>40673</v>
      </c>
      <c r="N283" s="22" t="s">
        <v>674</v>
      </c>
      <c r="O283" s="4">
        <v>9120152</v>
      </c>
      <c r="P283" s="22">
        <v>1020</v>
      </c>
      <c r="Q283" s="22">
        <v>42</v>
      </c>
      <c r="R283" s="22">
        <v>0</v>
      </c>
      <c r="S283" s="102" t="s">
        <v>1123</v>
      </c>
      <c r="T283" s="55" t="s">
        <v>406</v>
      </c>
      <c r="U283" s="94"/>
      <c r="V283" s="55"/>
      <c r="W283" s="28"/>
      <c r="X283" s="74"/>
      <c r="Y283" s="28" t="e">
        <v>#REF!</v>
      </c>
      <c r="Z283" s="9"/>
      <c r="AA283" s="24" t="s">
        <v>393</v>
      </c>
      <c r="AB283" s="28">
        <v>40800</v>
      </c>
    </row>
    <row r="284" spans="1:28" ht="14.25" customHeight="1" x14ac:dyDescent="0.4">
      <c r="A284">
        <v>260</v>
      </c>
      <c r="B284" s="22">
        <v>0</v>
      </c>
      <c r="C284" s="22">
        <v>0</v>
      </c>
      <c r="D284" s="22">
        <v>0</v>
      </c>
      <c r="E284" s="24">
        <v>40798</v>
      </c>
      <c r="F284" s="24" t="s">
        <v>393</v>
      </c>
      <c r="G284" s="24">
        <v>40807</v>
      </c>
      <c r="H284" s="37">
        <v>141</v>
      </c>
      <c r="I284" s="23">
        <v>40787</v>
      </c>
      <c r="J284" s="37">
        <v>17</v>
      </c>
      <c r="K284" s="24" t="s">
        <v>412</v>
      </c>
      <c r="L284" s="24">
        <v>40880</v>
      </c>
      <c r="M284" s="24">
        <v>40673</v>
      </c>
      <c r="N284" s="22" t="s">
        <v>674</v>
      </c>
      <c r="O284" s="4">
        <v>9120159</v>
      </c>
      <c r="P284" s="22">
        <v>1020</v>
      </c>
      <c r="Q284" s="22">
        <v>42</v>
      </c>
      <c r="R284" s="22">
        <v>0</v>
      </c>
      <c r="S284" s="102" t="s">
        <v>91</v>
      </c>
      <c r="T284" s="55" t="s">
        <v>404</v>
      </c>
      <c r="U284" s="42">
        <v>40914</v>
      </c>
      <c r="V284" s="102" t="s">
        <v>404</v>
      </c>
      <c r="W284" s="164">
        <v>41014</v>
      </c>
      <c r="X284" s="74"/>
      <c r="Y284" s="28" t="e">
        <v>#REF!</v>
      </c>
      <c r="Z284" s="9"/>
      <c r="AA284" s="24" t="s">
        <v>393</v>
      </c>
      <c r="AB284" s="28">
        <v>40807</v>
      </c>
    </row>
    <row r="285" spans="1:28" ht="14.25" customHeight="1" x14ac:dyDescent="0.4">
      <c r="A285">
        <v>261</v>
      </c>
      <c r="B285" s="22">
        <v>0</v>
      </c>
      <c r="C285" s="22">
        <v>0</v>
      </c>
      <c r="D285" s="22">
        <v>0</v>
      </c>
      <c r="E285" s="24">
        <v>40799</v>
      </c>
      <c r="F285" s="24" t="s">
        <v>393</v>
      </c>
      <c r="G285" s="24">
        <v>40800</v>
      </c>
      <c r="H285" s="37">
        <v>142</v>
      </c>
      <c r="I285" s="23">
        <v>40787</v>
      </c>
      <c r="J285" s="37">
        <v>18</v>
      </c>
      <c r="K285" s="24" t="s">
        <v>412</v>
      </c>
      <c r="L285" s="24">
        <v>40881</v>
      </c>
      <c r="M285" s="24">
        <v>40673</v>
      </c>
      <c r="N285" s="22" t="s">
        <v>674</v>
      </c>
      <c r="O285" s="4">
        <v>9120160</v>
      </c>
      <c r="P285" s="22">
        <v>1020</v>
      </c>
      <c r="Q285" s="22">
        <v>42</v>
      </c>
      <c r="R285" s="22">
        <v>0</v>
      </c>
      <c r="S285" s="55"/>
      <c r="T285" s="102" t="s">
        <v>404</v>
      </c>
      <c r="U285" s="164">
        <v>41014</v>
      </c>
      <c r="V285" s="102" t="s">
        <v>404</v>
      </c>
      <c r="W285" s="164">
        <v>41014</v>
      </c>
      <c r="X285" s="74"/>
      <c r="Y285" s="28" t="e">
        <v>#REF!</v>
      </c>
      <c r="Z285" s="9"/>
      <c r="AA285" s="24" t="s">
        <v>393</v>
      </c>
      <c r="AB285" s="28">
        <v>40800</v>
      </c>
    </row>
    <row r="286" spans="1:28" ht="14.25" customHeight="1" x14ac:dyDescent="0.4">
      <c r="A286">
        <v>262</v>
      </c>
      <c r="B286" s="24">
        <v>40905</v>
      </c>
      <c r="C286" s="24">
        <v>40905</v>
      </c>
      <c r="D286" s="24">
        <v>40905</v>
      </c>
      <c r="E286" s="24">
        <v>40905</v>
      </c>
      <c r="F286" s="24" t="s">
        <v>393</v>
      </c>
      <c r="G286" s="24">
        <v>40906</v>
      </c>
      <c r="H286" s="37">
        <v>365</v>
      </c>
      <c r="I286" s="23">
        <v>40878</v>
      </c>
      <c r="J286" s="37">
        <v>55</v>
      </c>
      <c r="K286" s="24" t="s">
        <v>412</v>
      </c>
      <c r="L286" s="24">
        <v>40878</v>
      </c>
      <c r="M286" s="24">
        <v>40673</v>
      </c>
      <c r="N286" s="22" t="s">
        <v>674</v>
      </c>
      <c r="O286" s="4">
        <v>9120099</v>
      </c>
      <c r="P286" s="22">
        <v>1020</v>
      </c>
      <c r="Q286" s="22">
        <v>50</v>
      </c>
      <c r="R286" s="22">
        <v>0</v>
      </c>
      <c r="S286" s="55"/>
      <c r="T286" s="102" t="s">
        <v>404</v>
      </c>
      <c r="U286" s="164">
        <v>41014</v>
      </c>
      <c r="V286" s="102" t="s">
        <v>404</v>
      </c>
      <c r="W286" s="164">
        <v>41014</v>
      </c>
      <c r="X286" s="74"/>
      <c r="Y286" s="28" t="e">
        <v>#REF!</v>
      </c>
      <c r="Z286" s="9"/>
      <c r="AA286" s="24" t="s">
        <v>393</v>
      </c>
      <c r="AB286" s="28">
        <v>40906</v>
      </c>
    </row>
    <row r="287" spans="1:28" s="4" customFormat="1" ht="14.25" customHeight="1" x14ac:dyDescent="0.4">
      <c r="A287">
        <v>263</v>
      </c>
      <c r="B287" s="24">
        <v>40905</v>
      </c>
      <c r="C287" s="24">
        <v>40905</v>
      </c>
      <c r="D287" s="24">
        <v>40905</v>
      </c>
      <c r="E287" s="24">
        <v>40905</v>
      </c>
      <c r="F287" s="24" t="s">
        <v>393</v>
      </c>
      <c r="G287" s="24">
        <v>40932</v>
      </c>
      <c r="H287" s="37">
        <v>366</v>
      </c>
      <c r="I287" s="23">
        <v>40878</v>
      </c>
      <c r="J287" s="37">
        <v>56</v>
      </c>
      <c r="K287" s="24" t="s">
        <v>412</v>
      </c>
      <c r="L287" s="24">
        <v>40878</v>
      </c>
      <c r="M287" s="24">
        <v>40673</v>
      </c>
      <c r="N287" s="22" t="s">
        <v>674</v>
      </c>
      <c r="O287" s="4">
        <v>9120100</v>
      </c>
      <c r="P287" s="22">
        <v>1020</v>
      </c>
      <c r="Q287" s="22">
        <v>50</v>
      </c>
      <c r="R287" s="22">
        <v>0</v>
      </c>
      <c r="S287" s="55"/>
      <c r="T287" s="55" t="s">
        <v>404</v>
      </c>
      <c r="U287" s="164">
        <v>41014</v>
      </c>
      <c r="V287" s="102" t="s">
        <v>404</v>
      </c>
      <c r="W287" s="164">
        <v>41014</v>
      </c>
      <c r="X287" s="74"/>
      <c r="Y287" s="28" t="e">
        <v>#REF!</v>
      </c>
      <c r="Z287" s="9"/>
      <c r="AA287" s="24" t="s">
        <v>393</v>
      </c>
      <c r="AB287" s="28">
        <v>40932</v>
      </c>
    </row>
    <row r="288" spans="1:28" ht="14.25" customHeight="1" x14ac:dyDescent="0.4">
      <c r="A288">
        <v>264</v>
      </c>
      <c r="B288" s="22">
        <v>0</v>
      </c>
      <c r="C288" s="22">
        <v>0</v>
      </c>
      <c r="D288" s="22">
        <v>0</v>
      </c>
      <c r="E288" s="24">
        <v>40884</v>
      </c>
      <c r="F288" s="24" t="s">
        <v>393</v>
      </c>
      <c r="G288" s="24">
        <v>40898</v>
      </c>
      <c r="H288" s="37">
        <v>328</v>
      </c>
      <c r="I288" s="23">
        <v>40878</v>
      </c>
      <c r="J288" s="37">
        <v>18</v>
      </c>
      <c r="K288" s="24" t="s">
        <v>412</v>
      </c>
      <c r="L288" s="24">
        <v>40848</v>
      </c>
      <c r="M288" s="24">
        <v>40673</v>
      </c>
      <c r="N288" s="22" t="s">
        <v>674</v>
      </c>
      <c r="O288" s="4">
        <v>9120153</v>
      </c>
      <c r="P288" s="22">
        <v>1020</v>
      </c>
      <c r="Q288" s="22">
        <v>42</v>
      </c>
      <c r="R288" s="22">
        <v>0</v>
      </c>
      <c r="S288" s="1" t="s">
        <v>1124</v>
      </c>
      <c r="T288" s="55" t="s">
        <v>406</v>
      </c>
      <c r="U288" s="42"/>
      <c r="V288" s="55"/>
      <c r="W288" s="92"/>
      <c r="X288" s="74"/>
      <c r="Y288" s="28" t="e">
        <v>#REF!</v>
      </c>
      <c r="Z288" s="28"/>
      <c r="AA288" s="24" t="s">
        <v>393</v>
      </c>
      <c r="AB288" s="28">
        <v>40898</v>
      </c>
    </row>
    <row r="289" spans="1:28" s="4" customFormat="1" ht="14.25" customHeight="1" x14ac:dyDescent="0.4">
      <c r="A289">
        <v>265</v>
      </c>
      <c r="B289" s="22">
        <v>0</v>
      </c>
      <c r="C289" s="22">
        <v>0</v>
      </c>
      <c r="D289" s="22">
        <v>0</v>
      </c>
      <c r="E289" s="24">
        <v>40885</v>
      </c>
      <c r="F289" s="24" t="s">
        <v>393</v>
      </c>
      <c r="G289" s="24">
        <v>40898</v>
      </c>
      <c r="H289" s="37">
        <v>329</v>
      </c>
      <c r="I289" s="23">
        <v>40878</v>
      </c>
      <c r="J289" s="37">
        <v>19</v>
      </c>
      <c r="K289" s="24" t="s">
        <v>412</v>
      </c>
      <c r="L289" s="24">
        <v>40848</v>
      </c>
      <c r="M289" s="24">
        <v>40673</v>
      </c>
      <c r="N289" s="22" t="s">
        <v>674</v>
      </c>
      <c r="O289" s="4">
        <v>9120154</v>
      </c>
      <c r="P289" s="22">
        <v>1020</v>
      </c>
      <c r="Q289" s="22">
        <v>42</v>
      </c>
      <c r="R289" s="22">
        <v>0</v>
      </c>
      <c r="S289" s="102" t="s">
        <v>1123</v>
      </c>
      <c r="T289" s="55" t="s">
        <v>406</v>
      </c>
      <c r="U289" s="94"/>
      <c r="V289" s="55"/>
      <c r="W289" s="92"/>
      <c r="X289" s="74"/>
      <c r="Y289" s="28" t="e">
        <v>#REF!</v>
      </c>
      <c r="Z289" s="9"/>
      <c r="AA289" s="24" t="s">
        <v>393</v>
      </c>
      <c r="AB289" s="28">
        <v>40898</v>
      </c>
    </row>
    <row r="290" spans="1:28" ht="14.25" customHeight="1" x14ac:dyDescent="0.4">
      <c r="A290">
        <v>266</v>
      </c>
      <c r="B290" s="22">
        <v>0</v>
      </c>
      <c r="C290" s="22">
        <v>0</v>
      </c>
      <c r="D290" s="22">
        <v>0</v>
      </c>
      <c r="E290" s="24">
        <v>40885</v>
      </c>
      <c r="F290" s="24" t="s">
        <v>393</v>
      </c>
      <c r="G290" s="24">
        <v>40889</v>
      </c>
      <c r="H290" s="37">
        <v>330</v>
      </c>
      <c r="I290" s="23">
        <v>40878</v>
      </c>
      <c r="J290" s="37">
        <v>20</v>
      </c>
      <c r="K290" s="24" t="s">
        <v>412</v>
      </c>
      <c r="L290" s="24">
        <v>40848</v>
      </c>
      <c r="M290" s="24">
        <v>40673</v>
      </c>
      <c r="N290" s="22" t="s">
        <v>674</v>
      </c>
      <c r="O290" s="4">
        <v>9120155</v>
      </c>
      <c r="P290" s="22">
        <v>1020</v>
      </c>
      <c r="Q290" s="22">
        <v>42</v>
      </c>
      <c r="R290" s="22">
        <v>0</v>
      </c>
      <c r="S290" s="102" t="s">
        <v>1122</v>
      </c>
      <c r="T290" s="55" t="s">
        <v>406</v>
      </c>
      <c r="U290" s="94"/>
      <c r="V290" s="55"/>
      <c r="W290" s="92"/>
      <c r="X290" s="74"/>
      <c r="Y290" s="28" t="e">
        <v>#REF!</v>
      </c>
      <c r="Z290" s="9"/>
      <c r="AA290" s="24" t="s">
        <v>393</v>
      </c>
      <c r="AB290" s="28">
        <v>40889</v>
      </c>
    </row>
    <row r="291" spans="1:28" ht="14.25" customHeight="1" x14ac:dyDescent="0.4">
      <c r="A291">
        <v>267</v>
      </c>
      <c r="B291" s="22">
        <v>0</v>
      </c>
      <c r="C291" s="22" t="s">
        <v>2102</v>
      </c>
      <c r="D291" s="22">
        <v>0</v>
      </c>
      <c r="E291" s="24">
        <v>40885</v>
      </c>
      <c r="F291" s="24" t="s">
        <v>393</v>
      </c>
      <c r="G291" s="24">
        <v>40906</v>
      </c>
      <c r="H291" s="37">
        <v>331</v>
      </c>
      <c r="I291" s="23">
        <v>40878</v>
      </c>
      <c r="J291" s="37">
        <v>21</v>
      </c>
      <c r="K291" s="24" t="s">
        <v>412</v>
      </c>
      <c r="L291" s="24">
        <v>40848</v>
      </c>
      <c r="M291" s="24">
        <v>40673</v>
      </c>
      <c r="N291" s="22" t="s">
        <v>674</v>
      </c>
      <c r="O291" s="4">
        <v>9120156</v>
      </c>
      <c r="P291" s="22">
        <v>1020</v>
      </c>
      <c r="Q291" s="22">
        <v>42</v>
      </c>
      <c r="R291" s="22">
        <v>0</v>
      </c>
      <c r="S291" s="55"/>
      <c r="T291" s="102" t="s">
        <v>404</v>
      </c>
      <c r="U291" s="94">
        <v>41014</v>
      </c>
      <c r="V291" s="102" t="s">
        <v>404</v>
      </c>
      <c r="W291" s="164">
        <v>41014</v>
      </c>
      <c r="X291" s="74"/>
      <c r="Y291" s="28" t="e">
        <v>#REF!</v>
      </c>
      <c r="Z291" s="28"/>
      <c r="AA291" s="24" t="s">
        <v>393</v>
      </c>
      <c r="AB291" s="28">
        <v>40906</v>
      </c>
    </row>
    <row r="292" spans="1:28" ht="14.25" customHeight="1" x14ac:dyDescent="0.4">
      <c r="A292">
        <v>268</v>
      </c>
      <c r="B292" s="22">
        <v>0</v>
      </c>
      <c r="C292" s="22" t="s">
        <v>2102</v>
      </c>
      <c r="D292" s="22">
        <v>0</v>
      </c>
      <c r="E292" s="24">
        <v>40884</v>
      </c>
      <c r="F292" s="24" t="s">
        <v>393</v>
      </c>
      <c r="G292" s="24">
        <v>40898</v>
      </c>
      <c r="H292" s="37">
        <v>326</v>
      </c>
      <c r="I292" s="23">
        <v>40878</v>
      </c>
      <c r="J292" s="37">
        <v>16</v>
      </c>
      <c r="K292" s="24" t="s">
        <v>412</v>
      </c>
      <c r="L292" s="24">
        <v>40882</v>
      </c>
      <c r="M292" s="24">
        <v>40673</v>
      </c>
      <c r="N292" s="22" t="s">
        <v>674</v>
      </c>
      <c r="O292" s="4">
        <v>9120161</v>
      </c>
      <c r="P292" s="22">
        <v>1020</v>
      </c>
      <c r="Q292" s="22">
        <v>42</v>
      </c>
      <c r="R292" s="22">
        <v>0</v>
      </c>
      <c r="S292" s="102" t="s">
        <v>1125</v>
      </c>
      <c r="T292" s="55" t="s">
        <v>406</v>
      </c>
      <c r="U292" s="94"/>
      <c r="V292" s="55"/>
      <c r="W292" s="128"/>
      <c r="X292" s="74"/>
      <c r="Y292" s="28" t="e">
        <v>#REF!</v>
      </c>
      <c r="Z292" s="9"/>
      <c r="AA292" s="24" t="s">
        <v>393</v>
      </c>
      <c r="AB292" s="28">
        <v>40898</v>
      </c>
    </row>
    <row r="293" spans="1:28" ht="14.25" customHeight="1" x14ac:dyDescent="0.4">
      <c r="A293">
        <v>269</v>
      </c>
      <c r="B293" s="22">
        <v>0</v>
      </c>
      <c r="C293" s="22" t="s">
        <v>2102</v>
      </c>
      <c r="D293" s="22">
        <v>0</v>
      </c>
      <c r="E293" s="24">
        <v>40884</v>
      </c>
      <c r="F293" s="24" t="s">
        <v>393</v>
      </c>
      <c r="G293" s="24">
        <v>40889</v>
      </c>
      <c r="H293" s="37">
        <v>327</v>
      </c>
      <c r="I293" s="23">
        <v>40878</v>
      </c>
      <c r="J293" s="37">
        <v>17</v>
      </c>
      <c r="K293" s="24" t="s">
        <v>412</v>
      </c>
      <c r="L293" s="24">
        <v>40883</v>
      </c>
      <c r="M293" s="24">
        <v>40673</v>
      </c>
      <c r="N293" s="22" t="s">
        <v>674</v>
      </c>
      <c r="O293" s="4">
        <v>9120162</v>
      </c>
      <c r="P293" s="22">
        <v>1020</v>
      </c>
      <c r="Q293" s="22">
        <v>42</v>
      </c>
      <c r="R293" s="22">
        <v>0</v>
      </c>
      <c r="S293" s="102" t="s">
        <v>1122</v>
      </c>
      <c r="T293" s="55" t="s">
        <v>406</v>
      </c>
      <c r="U293" s="42"/>
      <c r="V293" s="55"/>
      <c r="W293" s="157"/>
      <c r="X293" s="74"/>
      <c r="Y293" s="28" t="e">
        <v>#REF!</v>
      </c>
      <c r="Z293" s="28"/>
      <c r="AA293" s="24" t="s">
        <v>393</v>
      </c>
      <c r="AB293" s="28">
        <v>40889</v>
      </c>
    </row>
    <row r="294" spans="1:28" ht="14.25" customHeight="1" x14ac:dyDescent="0.4">
      <c r="A294">
        <v>270</v>
      </c>
      <c r="B294" s="22">
        <v>0</v>
      </c>
      <c r="C294" s="22" t="s">
        <v>2102</v>
      </c>
      <c r="D294" s="22">
        <v>0</v>
      </c>
      <c r="E294" s="24">
        <v>40893</v>
      </c>
      <c r="F294" s="24" t="s">
        <v>393</v>
      </c>
      <c r="G294" s="24">
        <v>40933</v>
      </c>
      <c r="H294" s="37">
        <v>348</v>
      </c>
      <c r="I294" s="23">
        <v>40878</v>
      </c>
      <c r="J294" s="37">
        <v>38</v>
      </c>
      <c r="K294" s="24" t="s">
        <v>412</v>
      </c>
      <c r="L294" s="24">
        <v>40884</v>
      </c>
      <c r="M294" s="24">
        <v>40673</v>
      </c>
      <c r="N294" s="22" t="s">
        <v>674</v>
      </c>
      <c r="O294" s="4">
        <v>9120163</v>
      </c>
      <c r="P294" s="22">
        <v>1020</v>
      </c>
      <c r="Q294" s="22">
        <v>50</v>
      </c>
      <c r="R294" s="22">
        <v>0</v>
      </c>
      <c r="S294" s="102" t="s">
        <v>92</v>
      </c>
      <c r="T294" s="55" t="s">
        <v>404</v>
      </c>
      <c r="U294" s="94">
        <v>40856</v>
      </c>
      <c r="V294" s="55" t="s">
        <v>404</v>
      </c>
      <c r="W294" s="164">
        <v>41014</v>
      </c>
      <c r="X294" s="74"/>
      <c r="Y294" s="28" t="e">
        <v>#REF!</v>
      </c>
      <c r="Z294" s="28"/>
      <c r="AA294" s="24" t="s">
        <v>393</v>
      </c>
      <c r="AB294" s="28">
        <v>40933</v>
      </c>
    </row>
    <row r="295" spans="1:28" ht="14.25" customHeight="1" x14ac:dyDescent="0.4">
      <c r="A295">
        <v>271</v>
      </c>
      <c r="B295" s="22">
        <v>0</v>
      </c>
      <c r="C295" s="22">
        <v>0</v>
      </c>
      <c r="D295" s="22">
        <v>0</v>
      </c>
      <c r="E295" s="24">
        <v>40893</v>
      </c>
      <c r="F295" s="24" t="s">
        <v>393</v>
      </c>
      <c r="G295" s="24">
        <v>40904</v>
      </c>
      <c r="H295" s="37">
        <v>349</v>
      </c>
      <c r="I295" s="23">
        <v>40878</v>
      </c>
      <c r="J295" s="37">
        <v>39</v>
      </c>
      <c r="K295" s="24" t="s">
        <v>412</v>
      </c>
      <c r="L295" s="24">
        <v>40885</v>
      </c>
      <c r="M295" s="24">
        <v>40673</v>
      </c>
      <c r="N295" s="22" t="s">
        <v>674</v>
      </c>
      <c r="O295" s="4">
        <v>9120164</v>
      </c>
      <c r="P295" s="22">
        <v>1020</v>
      </c>
      <c r="Q295" s="22">
        <v>50</v>
      </c>
      <c r="R295" s="22">
        <v>0</v>
      </c>
      <c r="S295" s="102" t="s">
        <v>93</v>
      </c>
      <c r="T295" s="55" t="s">
        <v>404</v>
      </c>
      <c r="U295" s="94">
        <v>40856</v>
      </c>
      <c r="V295" s="55" t="s">
        <v>404</v>
      </c>
      <c r="W295" s="164">
        <v>41014</v>
      </c>
      <c r="X295" s="74"/>
      <c r="Y295" s="28" t="e">
        <v>#REF!</v>
      </c>
      <c r="Z295" s="28"/>
      <c r="AA295" s="24" t="s">
        <v>393</v>
      </c>
      <c r="AB295" s="28">
        <v>40904</v>
      </c>
    </row>
    <row r="296" spans="1:28" s="4" customFormat="1" ht="14.25" customHeight="1" x14ac:dyDescent="0.4">
      <c r="A296">
        <v>272</v>
      </c>
      <c r="B296" s="22">
        <v>0</v>
      </c>
      <c r="C296" s="22" t="s">
        <v>2165</v>
      </c>
      <c r="D296" s="22">
        <v>0</v>
      </c>
      <c r="E296" s="24">
        <v>40939</v>
      </c>
      <c r="F296" s="24" t="s">
        <v>393</v>
      </c>
      <c r="G296" s="24">
        <v>40945</v>
      </c>
      <c r="H296" s="23">
        <v>433</v>
      </c>
      <c r="I296" s="23">
        <v>40940</v>
      </c>
      <c r="J296" s="37">
        <v>3</v>
      </c>
      <c r="K296" s="24" t="s">
        <v>412</v>
      </c>
      <c r="L296" s="24">
        <v>40940</v>
      </c>
      <c r="M296" s="24">
        <v>40673</v>
      </c>
      <c r="N296" s="22" t="s">
        <v>674</v>
      </c>
      <c r="O296" s="4">
        <v>9120083</v>
      </c>
      <c r="P296" s="22">
        <v>720</v>
      </c>
      <c r="Q296" s="22">
        <v>42</v>
      </c>
      <c r="R296" s="22">
        <v>0</v>
      </c>
      <c r="S296" s="55"/>
      <c r="T296" s="102" t="s">
        <v>404</v>
      </c>
      <c r="U296" s="164">
        <v>41014</v>
      </c>
      <c r="V296" s="102" t="s">
        <v>404</v>
      </c>
      <c r="W296" s="164">
        <v>41014</v>
      </c>
      <c r="X296" s="74"/>
      <c r="Y296" s="28" t="e">
        <v>#REF!</v>
      </c>
      <c r="Z296" s="9"/>
      <c r="AA296" s="24" t="s">
        <v>393</v>
      </c>
      <c r="AB296" s="28">
        <v>40945</v>
      </c>
    </row>
    <row r="297" spans="1:28" ht="14.25" customHeight="1" x14ac:dyDescent="0.4">
      <c r="A297">
        <v>273</v>
      </c>
      <c r="B297" s="22">
        <v>0</v>
      </c>
      <c r="C297" s="22">
        <v>0</v>
      </c>
      <c r="D297" s="22">
        <v>0</v>
      </c>
      <c r="E297" s="24">
        <v>40940</v>
      </c>
      <c r="F297" s="24" t="s">
        <v>393</v>
      </c>
      <c r="G297" s="24">
        <v>40946</v>
      </c>
      <c r="H297" s="23">
        <v>434</v>
      </c>
      <c r="I297" s="23">
        <v>40940</v>
      </c>
      <c r="J297" s="37">
        <v>4</v>
      </c>
      <c r="K297" s="24" t="s">
        <v>412</v>
      </c>
      <c r="L297" s="24">
        <v>40940</v>
      </c>
      <c r="M297" s="24">
        <v>40673</v>
      </c>
      <c r="N297" s="22" t="s">
        <v>674</v>
      </c>
      <c r="O297" s="4">
        <v>9120084</v>
      </c>
      <c r="P297" s="22">
        <v>720</v>
      </c>
      <c r="Q297" s="22">
        <v>42</v>
      </c>
      <c r="R297" s="22">
        <v>0</v>
      </c>
      <c r="S297" s="55"/>
      <c r="T297" s="102" t="s">
        <v>404</v>
      </c>
      <c r="U297" s="164">
        <v>41014</v>
      </c>
      <c r="V297" s="102" t="s">
        <v>404</v>
      </c>
      <c r="W297" s="164">
        <v>41014</v>
      </c>
      <c r="X297" s="74"/>
      <c r="Y297" s="28" t="e">
        <v>#REF!</v>
      </c>
      <c r="Z297" s="9"/>
      <c r="AA297" s="24" t="s">
        <v>393</v>
      </c>
      <c r="AB297" s="28">
        <v>40946</v>
      </c>
    </row>
    <row r="298" spans="1:28" ht="14.25" customHeight="1" x14ac:dyDescent="0.4">
      <c r="A298">
        <v>274</v>
      </c>
      <c r="B298" s="22">
        <v>0</v>
      </c>
      <c r="C298" s="22">
        <v>0</v>
      </c>
      <c r="D298" s="22">
        <v>0</v>
      </c>
      <c r="E298" s="24">
        <v>40940</v>
      </c>
      <c r="F298" s="24" t="s">
        <v>393</v>
      </c>
      <c r="G298" s="24">
        <v>40947</v>
      </c>
      <c r="H298" s="23">
        <v>435</v>
      </c>
      <c r="I298" s="23">
        <v>40940</v>
      </c>
      <c r="J298" s="37">
        <v>5</v>
      </c>
      <c r="K298" s="24" t="s">
        <v>412</v>
      </c>
      <c r="L298" s="24">
        <v>40940</v>
      </c>
      <c r="M298" s="24">
        <v>40673</v>
      </c>
      <c r="N298" s="22" t="s">
        <v>674</v>
      </c>
      <c r="O298" s="4">
        <v>9120085</v>
      </c>
      <c r="P298" s="22">
        <v>720</v>
      </c>
      <c r="Q298" s="22">
        <v>42</v>
      </c>
      <c r="R298" s="22">
        <v>0</v>
      </c>
      <c r="S298" s="55"/>
      <c r="T298" s="55" t="s">
        <v>404</v>
      </c>
      <c r="U298" s="164">
        <v>41014</v>
      </c>
      <c r="V298" s="55" t="s">
        <v>404</v>
      </c>
      <c r="W298" s="164">
        <v>41014</v>
      </c>
      <c r="X298" s="74"/>
      <c r="Y298" s="28" t="e">
        <v>#REF!</v>
      </c>
      <c r="Z298" s="9"/>
      <c r="AA298" s="24" t="s">
        <v>393</v>
      </c>
      <c r="AB298" s="28">
        <v>40947</v>
      </c>
    </row>
    <row r="299" spans="1:28" ht="14.25" customHeight="1" x14ac:dyDescent="0.4">
      <c r="A299">
        <v>275</v>
      </c>
      <c r="B299" s="22">
        <v>0</v>
      </c>
      <c r="C299" s="22">
        <v>0</v>
      </c>
      <c r="D299" s="22">
        <v>0</v>
      </c>
      <c r="E299" s="24">
        <v>40940</v>
      </c>
      <c r="F299" s="24" t="s">
        <v>393</v>
      </c>
      <c r="G299" s="24">
        <v>40967</v>
      </c>
      <c r="H299" s="23">
        <v>436</v>
      </c>
      <c r="I299" s="23">
        <v>40940</v>
      </c>
      <c r="J299" s="37">
        <v>6</v>
      </c>
      <c r="K299" s="24" t="s">
        <v>412</v>
      </c>
      <c r="L299" s="24">
        <v>40940</v>
      </c>
      <c r="M299" s="24">
        <v>40673</v>
      </c>
      <c r="N299" s="22" t="s">
        <v>674</v>
      </c>
      <c r="O299" s="4">
        <v>9120086</v>
      </c>
      <c r="P299" s="22">
        <v>720</v>
      </c>
      <c r="Q299" s="22">
        <v>42</v>
      </c>
      <c r="R299" s="22">
        <v>0</v>
      </c>
      <c r="S299" s="102" t="s">
        <v>1027</v>
      </c>
      <c r="T299" s="55" t="s">
        <v>406</v>
      </c>
      <c r="U299" s="42"/>
      <c r="V299" s="55"/>
      <c r="W299" s="92"/>
      <c r="Y299" s="28" t="e">
        <v>#REF!</v>
      </c>
      <c r="Z299" s="28"/>
      <c r="AA299" s="24" t="s">
        <v>393</v>
      </c>
      <c r="AB299" s="28">
        <v>40967</v>
      </c>
    </row>
    <row r="300" spans="1:28" ht="14.25" customHeight="1" x14ac:dyDescent="0.4">
      <c r="A300">
        <v>276</v>
      </c>
      <c r="B300" s="22">
        <v>0</v>
      </c>
      <c r="C300" s="22" t="s">
        <v>2102</v>
      </c>
      <c r="D300" s="22">
        <v>0</v>
      </c>
      <c r="E300" s="24">
        <v>40969</v>
      </c>
      <c r="F300" s="24" t="s">
        <v>393</v>
      </c>
      <c r="G300" s="24">
        <v>40973</v>
      </c>
      <c r="H300" s="23">
        <v>495</v>
      </c>
      <c r="I300" s="23">
        <v>40969</v>
      </c>
      <c r="J300" s="37">
        <v>2</v>
      </c>
      <c r="K300" s="24" t="s">
        <v>412</v>
      </c>
      <c r="L300" s="24">
        <v>40969</v>
      </c>
      <c r="M300" s="24">
        <v>40673</v>
      </c>
      <c r="N300" s="22" t="s">
        <v>674</v>
      </c>
      <c r="O300" s="4">
        <v>9120087</v>
      </c>
      <c r="P300" s="22">
        <v>720</v>
      </c>
      <c r="Q300" s="22">
        <v>42</v>
      </c>
      <c r="R300" s="22">
        <v>0</v>
      </c>
      <c r="S300" s="1" t="s">
        <v>1862</v>
      </c>
      <c r="T300" s="55" t="s">
        <v>404</v>
      </c>
      <c r="U300" s="94">
        <v>41068</v>
      </c>
      <c r="V300" s="55" t="s">
        <v>404</v>
      </c>
      <c r="W300" s="92">
        <v>41075</v>
      </c>
      <c r="X300" s="74"/>
      <c r="Y300" s="28" t="e">
        <v>#REF!</v>
      </c>
      <c r="Z300" s="9"/>
      <c r="AA300" s="24" t="s">
        <v>393</v>
      </c>
      <c r="AB300" s="28">
        <v>40973</v>
      </c>
    </row>
    <row r="301" spans="1:28" ht="14.25" customHeight="1" x14ac:dyDescent="0.4">
      <c r="A301">
        <v>277</v>
      </c>
      <c r="B301" s="22">
        <v>0</v>
      </c>
      <c r="C301" s="22" t="s">
        <v>2102</v>
      </c>
      <c r="D301" s="22">
        <v>0</v>
      </c>
      <c r="E301" s="24">
        <v>40970</v>
      </c>
      <c r="F301" s="24" t="s">
        <v>393</v>
      </c>
      <c r="G301" s="24">
        <v>40974</v>
      </c>
      <c r="H301" s="23">
        <v>496</v>
      </c>
      <c r="I301" s="23">
        <v>40969</v>
      </c>
      <c r="J301" s="37">
        <v>3</v>
      </c>
      <c r="K301" s="24" t="s">
        <v>412</v>
      </c>
      <c r="L301" s="24">
        <v>40969</v>
      </c>
      <c r="M301" s="24">
        <v>40673</v>
      </c>
      <c r="N301" s="22" t="s">
        <v>674</v>
      </c>
      <c r="O301" s="4">
        <v>9120088</v>
      </c>
      <c r="P301" s="22">
        <v>720</v>
      </c>
      <c r="Q301" s="22">
        <v>42</v>
      </c>
      <c r="R301" s="22">
        <v>0</v>
      </c>
      <c r="S301" s="102" t="s">
        <v>1122</v>
      </c>
      <c r="T301" s="102" t="s">
        <v>404</v>
      </c>
      <c r="U301" s="94">
        <v>41059</v>
      </c>
      <c r="V301" s="55" t="s">
        <v>404</v>
      </c>
      <c r="W301" s="92">
        <v>41059</v>
      </c>
      <c r="X301" s="74"/>
      <c r="Y301" s="28" t="e">
        <v>#REF!</v>
      </c>
      <c r="Z301" s="28"/>
      <c r="AA301" s="24" t="s">
        <v>393</v>
      </c>
      <c r="AB301" s="28">
        <v>40974</v>
      </c>
    </row>
    <row r="302" spans="1:28" ht="14.25" customHeight="1" x14ac:dyDescent="0.4">
      <c r="A302">
        <v>278</v>
      </c>
      <c r="B302" s="24">
        <v>40970</v>
      </c>
      <c r="C302" s="24">
        <v>40970</v>
      </c>
      <c r="D302" s="24">
        <v>40970</v>
      </c>
      <c r="E302" s="24">
        <v>40970</v>
      </c>
      <c r="F302" s="24" t="s">
        <v>393</v>
      </c>
      <c r="G302" s="24">
        <v>40973</v>
      </c>
      <c r="H302" s="23">
        <v>497</v>
      </c>
      <c r="I302" s="23">
        <v>40969</v>
      </c>
      <c r="J302" s="37">
        <v>4</v>
      </c>
      <c r="K302" s="24" t="s">
        <v>412</v>
      </c>
      <c r="L302" s="24">
        <v>40969</v>
      </c>
      <c r="M302" s="24">
        <v>40673</v>
      </c>
      <c r="N302" s="22" t="s">
        <v>674</v>
      </c>
      <c r="O302" s="4">
        <v>9120089</v>
      </c>
      <c r="P302" s="22">
        <v>720</v>
      </c>
      <c r="Q302" s="22">
        <v>42</v>
      </c>
      <c r="R302" s="22">
        <v>0</v>
      </c>
      <c r="S302" s="102" t="s">
        <v>1119</v>
      </c>
      <c r="T302" s="55" t="s">
        <v>404</v>
      </c>
      <c r="U302" s="94">
        <v>41100</v>
      </c>
      <c r="V302" s="55" t="s">
        <v>404</v>
      </c>
      <c r="W302" s="92">
        <v>41100</v>
      </c>
      <c r="X302" s="74"/>
      <c r="Y302" s="28" t="e">
        <v>#REF!</v>
      </c>
      <c r="Z302" s="9"/>
      <c r="AA302" s="24" t="s">
        <v>393</v>
      </c>
      <c r="AB302" s="28">
        <v>40973</v>
      </c>
    </row>
    <row r="303" spans="1:28" s="4" customFormat="1" ht="14.25" customHeight="1" x14ac:dyDescent="0.4">
      <c r="A303">
        <v>279</v>
      </c>
      <c r="B303" s="22">
        <v>0</v>
      </c>
      <c r="C303" s="22">
        <v>0</v>
      </c>
      <c r="D303" s="22">
        <v>0</v>
      </c>
      <c r="E303" s="24">
        <v>40966</v>
      </c>
      <c r="F303" s="24" t="s">
        <v>393</v>
      </c>
      <c r="G303" s="24">
        <v>40967</v>
      </c>
      <c r="H303" s="23">
        <v>484</v>
      </c>
      <c r="I303" s="23">
        <v>40940</v>
      </c>
      <c r="J303" s="37">
        <v>54</v>
      </c>
      <c r="K303" s="24" t="s">
        <v>412</v>
      </c>
      <c r="L303" s="24">
        <v>40969</v>
      </c>
      <c r="M303" s="24">
        <v>40724</v>
      </c>
      <c r="N303" s="22" t="s">
        <v>674</v>
      </c>
      <c r="O303" s="4">
        <v>9120090</v>
      </c>
      <c r="P303" s="22">
        <v>720</v>
      </c>
      <c r="Q303" s="22">
        <v>42</v>
      </c>
      <c r="R303" s="22">
        <v>0</v>
      </c>
      <c r="S303" s="102" t="s">
        <v>94</v>
      </c>
      <c r="T303" s="55" t="s">
        <v>404</v>
      </c>
      <c r="U303" s="94">
        <v>40921</v>
      </c>
      <c r="V303" s="55" t="s">
        <v>404</v>
      </c>
      <c r="W303" s="164">
        <v>41014</v>
      </c>
      <c r="X303" s="75"/>
      <c r="Y303" s="28" t="e">
        <v>#REF!</v>
      </c>
      <c r="Z303" s="28"/>
      <c r="AA303" s="24" t="s">
        <v>393</v>
      </c>
      <c r="AB303" s="28">
        <v>40967</v>
      </c>
    </row>
    <row r="304" spans="1:28" s="4" customFormat="1" ht="14.25" customHeight="1" x14ac:dyDescent="0.4">
      <c r="A304">
        <v>280</v>
      </c>
      <c r="B304" s="22">
        <v>0</v>
      </c>
      <c r="C304" s="22" t="s">
        <v>2165</v>
      </c>
      <c r="D304" s="22">
        <v>0</v>
      </c>
      <c r="E304" s="24">
        <v>40966</v>
      </c>
      <c r="F304" s="24" t="s">
        <v>393</v>
      </c>
      <c r="G304" s="24">
        <v>40968</v>
      </c>
      <c r="H304" s="23">
        <v>485</v>
      </c>
      <c r="I304" s="23">
        <v>40940</v>
      </c>
      <c r="J304" s="37">
        <v>55</v>
      </c>
      <c r="K304" s="24" t="s">
        <v>412</v>
      </c>
      <c r="L304" s="24">
        <v>40969</v>
      </c>
      <c r="M304" s="24">
        <v>40673</v>
      </c>
      <c r="N304" s="22" t="s">
        <v>674</v>
      </c>
      <c r="O304" s="4">
        <v>9120091</v>
      </c>
      <c r="P304" s="22">
        <v>720</v>
      </c>
      <c r="Q304" s="22">
        <v>42</v>
      </c>
      <c r="R304" s="22">
        <v>0</v>
      </c>
      <c r="S304" s="102" t="s">
        <v>83</v>
      </c>
      <c r="T304" s="55" t="s">
        <v>404</v>
      </c>
      <c r="U304" s="94">
        <v>40907</v>
      </c>
      <c r="V304" s="55" t="s">
        <v>404</v>
      </c>
      <c r="W304" s="164">
        <v>41014</v>
      </c>
      <c r="X304" s="74"/>
      <c r="Y304" s="28" t="e">
        <v>#REF!</v>
      </c>
      <c r="Z304" s="9"/>
      <c r="AA304" s="24" t="s">
        <v>393</v>
      </c>
      <c r="AB304" s="28">
        <v>40968</v>
      </c>
    </row>
    <row r="305" spans="1:28" ht="14.25" customHeight="1" x14ac:dyDescent="0.4">
      <c r="A305">
        <v>281</v>
      </c>
      <c r="B305" s="22">
        <v>0</v>
      </c>
      <c r="C305" s="22" t="s">
        <v>2102</v>
      </c>
      <c r="D305" s="22">
        <v>0</v>
      </c>
      <c r="E305" s="24">
        <v>40970</v>
      </c>
      <c r="F305" s="24" t="s">
        <v>393</v>
      </c>
      <c r="G305" s="24">
        <v>40975</v>
      </c>
      <c r="H305" s="23">
        <v>498</v>
      </c>
      <c r="I305" s="23">
        <v>40969</v>
      </c>
      <c r="J305" s="37">
        <v>5</v>
      </c>
      <c r="K305" s="24" t="s">
        <v>412</v>
      </c>
      <c r="L305" s="24">
        <v>40969</v>
      </c>
      <c r="M305" s="24">
        <v>40673</v>
      </c>
      <c r="N305" s="22" t="s">
        <v>674</v>
      </c>
      <c r="O305" s="4">
        <v>9120092</v>
      </c>
      <c r="P305" s="22">
        <v>720</v>
      </c>
      <c r="Q305" s="22">
        <v>42</v>
      </c>
      <c r="R305" s="22">
        <v>0</v>
      </c>
      <c r="S305" s="3" t="s">
        <v>1027</v>
      </c>
      <c r="T305" s="102" t="s">
        <v>404</v>
      </c>
      <c r="U305" s="94">
        <v>41059</v>
      </c>
      <c r="V305" s="55" t="s">
        <v>404</v>
      </c>
      <c r="W305" s="92">
        <v>41059</v>
      </c>
      <c r="Y305" s="28" t="e">
        <v>#REF!</v>
      </c>
      <c r="Z305" s="28"/>
      <c r="AA305" s="24" t="s">
        <v>393</v>
      </c>
      <c r="AB305" s="28">
        <v>40975</v>
      </c>
    </row>
    <row r="306" spans="1:28" ht="14.25" customHeight="1" x14ac:dyDescent="0.4">
      <c r="A306">
        <v>282</v>
      </c>
      <c r="B306" s="22">
        <v>0</v>
      </c>
      <c r="C306" s="22" t="s">
        <v>2102</v>
      </c>
      <c r="D306" s="22">
        <v>0</v>
      </c>
      <c r="E306" s="24">
        <v>40973</v>
      </c>
      <c r="F306" s="24" t="s">
        <v>393</v>
      </c>
      <c r="G306" s="24">
        <v>40974</v>
      </c>
      <c r="H306" s="23">
        <v>499</v>
      </c>
      <c r="I306" s="23">
        <v>40969</v>
      </c>
      <c r="J306" s="37">
        <v>6</v>
      </c>
      <c r="K306" s="24" t="s">
        <v>412</v>
      </c>
      <c r="L306" s="24">
        <v>40969</v>
      </c>
      <c r="M306" s="24">
        <v>40673</v>
      </c>
      <c r="N306" s="22" t="s">
        <v>674</v>
      </c>
      <c r="O306" s="4">
        <v>9120093</v>
      </c>
      <c r="P306" s="22">
        <v>720</v>
      </c>
      <c r="Q306" s="22">
        <v>42</v>
      </c>
      <c r="R306" s="22">
        <v>0</v>
      </c>
      <c r="S306" s="102" t="s">
        <v>1126</v>
      </c>
      <c r="T306" s="102" t="s">
        <v>404</v>
      </c>
      <c r="U306" s="94">
        <v>41059</v>
      </c>
      <c r="V306" s="55" t="s">
        <v>404</v>
      </c>
      <c r="W306" s="92">
        <v>41059</v>
      </c>
      <c r="X306" s="74"/>
      <c r="Y306" s="28" t="e">
        <v>#REF!</v>
      </c>
      <c r="Z306" s="28"/>
      <c r="AA306" s="24" t="s">
        <v>393</v>
      </c>
      <c r="AB306" s="28">
        <v>40974</v>
      </c>
    </row>
    <row r="307" spans="1:28" ht="14.25" customHeight="1" x14ac:dyDescent="0.4">
      <c r="A307">
        <v>283</v>
      </c>
      <c r="B307" s="22">
        <v>0</v>
      </c>
      <c r="C307" s="22" t="s">
        <v>2165</v>
      </c>
      <c r="D307" s="22">
        <v>0</v>
      </c>
      <c r="E307" s="24">
        <v>40973</v>
      </c>
      <c r="F307" s="24" t="s">
        <v>393</v>
      </c>
      <c r="G307" s="24">
        <v>40981</v>
      </c>
      <c r="H307" s="23">
        <v>500</v>
      </c>
      <c r="I307" s="23">
        <v>40969</v>
      </c>
      <c r="J307" s="37">
        <v>7</v>
      </c>
      <c r="K307" s="24" t="s">
        <v>412</v>
      </c>
      <c r="L307" s="24">
        <v>40969</v>
      </c>
      <c r="M307" s="24">
        <v>40673</v>
      </c>
      <c r="N307" s="22" t="s">
        <v>674</v>
      </c>
      <c r="O307" s="4">
        <v>9120094</v>
      </c>
      <c r="P307" s="22">
        <v>720</v>
      </c>
      <c r="Q307" s="22">
        <v>42</v>
      </c>
      <c r="R307" s="22">
        <v>0</v>
      </c>
      <c r="S307" s="102" t="s">
        <v>1121</v>
      </c>
      <c r="T307" s="102" t="s">
        <v>404</v>
      </c>
      <c r="U307" s="94">
        <v>41100</v>
      </c>
      <c r="V307" s="1" t="s">
        <v>404</v>
      </c>
      <c r="W307" s="62">
        <v>41100</v>
      </c>
      <c r="X307" s="74"/>
      <c r="Y307" s="28" t="e">
        <v>#REF!</v>
      </c>
      <c r="Z307" s="28"/>
      <c r="AA307" s="24" t="s">
        <v>393</v>
      </c>
      <c r="AB307" s="28">
        <v>40981</v>
      </c>
    </row>
    <row r="308" spans="1:28" s="4" customFormat="1" ht="14.25" customHeight="1" x14ac:dyDescent="0.4">
      <c r="A308">
        <v>585</v>
      </c>
      <c r="B308" s="22">
        <v>0</v>
      </c>
      <c r="C308" s="22">
        <v>0</v>
      </c>
      <c r="D308" s="22">
        <v>0</v>
      </c>
      <c r="E308" s="24">
        <v>41043</v>
      </c>
      <c r="F308" s="24" t="s">
        <v>393</v>
      </c>
      <c r="G308" s="24">
        <v>41050</v>
      </c>
      <c r="H308" s="37">
        <v>584</v>
      </c>
      <c r="I308" s="23">
        <v>41030</v>
      </c>
      <c r="J308" s="37">
        <v>15</v>
      </c>
      <c r="K308" s="24" t="s">
        <v>412</v>
      </c>
      <c r="L308" s="24">
        <v>0</v>
      </c>
      <c r="M308" s="24">
        <v>41025</v>
      </c>
      <c r="N308" s="22" t="s">
        <v>674</v>
      </c>
      <c r="O308" s="4">
        <v>9120585</v>
      </c>
      <c r="P308" s="22">
        <v>720</v>
      </c>
      <c r="Q308" s="22">
        <v>50</v>
      </c>
      <c r="R308" s="22" t="s">
        <v>2654</v>
      </c>
      <c r="S308" s="3"/>
      <c r="T308" s="3" t="s">
        <v>404</v>
      </c>
      <c r="U308" s="80">
        <v>41025</v>
      </c>
      <c r="V308" s="1" t="s">
        <v>404</v>
      </c>
      <c r="W308" s="43">
        <v>41068</v>
      </c>
      <c r="X308" s="75"/>
      <c r="Y308" s="1"/>
      <c r="Z308" s="1"/>
      <c r="AA308" s="24" t="s">
        <v>393</v>
      </c>
      <c r="AB308" s="28">
        <v>41050</v>
      </c>
    </row>
    <row r="309" spans="1:28" s="4" customFormat="1" ht="14.25" customHeight="1" x14ac:dyDescent="0.4">
      <c r="A309">
        <v>577</v>
      </c>
      <c r="B309" s="22">
        <v>0</v>
      </c>
      <c r="C309" s="22" t="s">
        <v>2165</v>
      </c>
      <c r="D309" s="22">
        <v>0</v>
      </c>
      <c r="E309" s="24">
        <v>41015</v>
      </c>
      <c r="F309" s="24" t="s">
        <v>393</v>
      </c>
      <c r="G309" s="24">
        <v>41022</v>
      </c>
      <c r="H309" s="37">
        <v>551</v>
      </c>
      <c r="I309" s="23">
        <v>41000</v>
      </c>
      <c r="J309" s="37">
        <v>11</v>
      </c>
      <c r="K309" s="24" t="s">
        <v>412</v>
      </c>
      <c r="L309" s="24">
        <v>0</v>
      </c>
      <c r="M309" s="24">
        <v>40987</v>
      </c>
      <c r="N309" s="22" t="s">
        <v>674</v>
      </c>
      <c r="O309" s="4">
        <v>9120577</v>
      </c>
      <c r="P309" s="22">
        <v>720</v>
      </c>
      <c r="Q309" s="22">
        <v>42</v>
      </c>
      <c r="R309" s="22" t="s">
        <v>2655</v>
      </c>
      <c r="S309" s="3"/>
      <c r="T309" s="161" t="s">
        <v>404</v>
      </c>
      <c r="U309" s="154">
        <v>40988</v>
      </c>
      <c r="V309" s="55" t="s">
        <v>404</v>
      </c>
      <c r="W309" s="94">
        <v>41068</v>
      </c>
      <c r="X309" s="75"/>
      <c r="Y309" s="28" t="e">
        <v>#REF!</v>
      </c>
      <c r="Z309" s="1"/>
      <c r="AA309" s="24" t="s">
        <v>393</v>
      </c>
      <c r="AB309" s="28">
        <v>41022</v>
      </c>
    </row>
    <row r="310" spans="1:28" s="4" customFormat="1" ht="14.25" customHeight="1" x14ac:dyDescent="0.4">
      <c r="A310">
        <v>603</v>
      </c>
      <c r="B310" s="22">
        <v>0</v>
      </c>
      <c r="C310" s="22" t="s">
        <v>2165</v>
      </c>
      <c r="D310" s="22">
        <v>0</v>
      </c>
      <c r="E310" s="24">
        <v>41074</v>
      </c>
      <c r="F310" s="24" t="s">
        <v>393</v>
      </c>
      <c r="G310" s="24">
        <v>41085</v>
      </c>
      <c r="H310" s="37">
        <v>596</v>
      </c>
      <c r="I310" s="23">
        <v>41061</v>
      </c>
      <c r="J310" s="37">
        <v>6</v>
      </c>
      <c r="K310" s="24" t="s">
        <v>412</v>
      </c>
      <c r="L310" s="24">
        <v>0</v>
      </c>
      <c r="M310" s="24">
        <v>41061</v>
      </c>
      <c r="N310" s="22" t="s">
        <v>674</v>
      </c>
      <c r="O310" s="4">
        <v>9120603</v>
      </c>
      <c r="P310" s="22">
        <v>720</v>
      </c>
      <c r="Q310" s="22">
        <v>50</v>
      </c>
      <c r="R310" s="22" t="s">
        <v>2656</v>
      </c>
      <c r="S310" s="3"/>
      <c r="T310" s="3" t="s">
        <v>404</v>
      </c>
      <c r="U310" s="164">
        <v>41059</v>
      </c>
      <c r="V310" s="1" t="s">
        <v>404</v>
      </c>
      <c r="W310" s="62">
        <v>41113</v>
      </c>
      <c r="X310" s="75"/>
      <c r="Y310" s="1"/>
      <c r="Z310" s="1"/>
      <c r="AA310" s="24" t="s">
        <v>393</v>
      </c>
      <c r="AB310" s="28">
        <v>41085</v>
      </c>
    </row>
    <row r="311" spans="1:28" s="4" customFormat="1" ht="14.25" customHeight="1" x14ac:dyDescent="0.4">
      <c r="A311">
        <v>288</v>
      </c>
      <c r="B311" s="22">
        <v>0</v>
      </c>
      <c r="C311" s="22">
        <v>0</v>
      </c>
      <c r="D311" s="22">
        <v>0</v>
      </c>
      <c r="E311" s="24">
        <v>40729</v>
      </c>
      <c r="F311" s="24" t="s">
        <v>393</v>
      </c>
      <c r="G311" s="24">
        <v>40731</v>
      </c>
      <c r="H311" s="37">
        <v>4</v>
      </c>
      <c r="I311" s="23">
        <v>40725</v>
      </c>
      <c r="J311" s="37">
        <v>4</v>
      </c>
      <c r="K311" s="24" t="s">
        <v>550</v>
      </c>
      <c r="L311" s="24">
        <v>40817</v>
      </c>
      <c r="M311" s="24">
        <v>40672</v>
      </c>
      <c r="N311" s="22" t="s">
        <v>576</v>
      </c>
      <c r="O311" s="4">
        <v>9120049</v>
      </c>
      <c r="P311" s="22">
        <v>720</v>
      </c>
      <c r="Q311" s="22">
        <v>42</v>
      </c>
      <c r="R311" s="22" t="s">
        <v>2657</v>
      </c>
      <c r="S311" s="182" t="s">
        <v>1625</v>
      </c>
      <c r="T311" s="182" t="s">
        <v>404</v>
      </c>
      <c r="U311" s="183">
        <v>40909</v>
      </c>
      <c r="V311" s="184" t="s">
        <v>404</v>
      </c>
      <c r="W311" s="185">
        <v>40909</v>
      </c>
      <c r="X311" s="74"/>
      <c r="Y311" s="28" t="e">
        <v>#REF!</v>
      </c>
      <c r="Z311" s="9"/>
      <c r="AA311" s="24" t="s">
        <v>393</v>
      </c>
      <c r="AB311" s="28">
        <v>40731</v>
      </c>
    </row>
    <row r="312" spans="1:28" s="4" customFormat="1" ht="14.25" customHeight="1" x14ac:dyDescent="0.4">
      <c r="A312">
        <v>289</v>
      </c>
      <c r="B312" s="22">
        <v>0</v>
      </c>
      <c r="C312" s="22">
        <v>0</v>
      </c>
      <c r="D312" s="22">
        <v>0</v>
      </c>
      <c r="E312" s="24">
        <v>40730</v>
      </c>
      <c r="F312" s="24" t="s">
        <v>393</v>
      </c>
      <c r="G312" s="24">
        <v>40742</v>
      </c>
      <c r="H312" s="37">
        <v>5</v>
      </c>
      <c r="I312" s="23">
        <v>40725</v>
      </c>
      <c r="J312" s="37">
        <v>5</v>
      </c>
      <c r="K312" s="24" t="s">
        <v>550</v>
      </c>
      <c r="L312" s="24">
        <v>40817</v>
      </c>
      <c r="M312" s="24">
        <v>40672</v>
      </c>
      <c r="N312" s="22" t="s">
        <v>576</v>
      </c>
      <c r="O312" s="4">
        <v>9120050</v>
      </c>
      <c r="P312" s="22">
        <v>720</v>
      </c>
      <c r="Q312" s="22">
        <v>42</v>
      </c>
      <c r="R312" s="22" t="s">
        <v>2658</v>
      </c>
      <c r="S312" s="47" t="s">
        <v>1140</v>
      </c>
      <c r="T312" s="4" t="s">
        <v>404</v>
      </c>
      <c r="U312" s="88">
        <v>40836</v>
      </c>
      <c r="V312" s="4" t="s">
        <v>406</v>
      </c>
      <c r="W312" s="89">
        <v>40954</v>
      </c>
      <c r="X312" s="74"/>
      <c r="Y312" s="28" t="e">
        <v>#REF!</v>
      </c>
      <c r="Z312" s="28"/>
      <c r="AA312" s="24" t="s">
        <v>393</v>
      </c>
      <c r="AB312" s="28">
        <v>40742</v>
      </c>
    </row>
    <row r="313" spans="1:28" s="4" customFormat="1" ht="14.25" customHeight="1" x14ac:dyDescent="0.4">
      <c r="A313">
        <v>290</v>
      </c>
      <c r="B313" s="22">
        <v>0</v>
      </c>
      <c r="C313" s="22">
        <v>0</v>
      </c>
      <c r="D313" s="22">
        <v>0</v>
      </c>
      <c r="E313" s="24">
        <v>40730</v>
      </c>
      <c r="F313" s="24" t="s">
        <v>393</v>
      </c>
      <c r="G313" s="24">
        <v>40742</v>
      </c>
      <c r="H313" s="37">
        <v>6</v>
      </c>
      <c r="I313" s="23">
        <v>40725</v>
      </c>
      <c r="J313" s="37">
        <v>6</v>
      </c>
      <c r="K313" s="24" t="s">
        <v>550</v>
      </c>
      <c r="L313" s="24">
        <v>40878</v>
      </c>
      <c r="M313" s="24">
        <v>40672</v>
      </c>
      <c r="N313" s="22" t="s">
        <v>576</v>
      </c>
      <c r="O313" s="4">
        <v>9120066</v>
      </c>
      <c r="P313" s="22">
        <v>1020</v>
      </c>
      <c r="Q313" s="22">
        <v>42</v>
      </c>
      <c r="R313" s="22" t="s">
        <v>2659</v>
      </c>
      <c r="S313" s="47" t="s">
        <v>1096</v>
      </c>
      <c r="T313" s="4" t="s">
        <v>404</v>
      </c>
      <c r="U313" s="88">
        <v>40816</v>
      </c>
      <c r="V313" s="4" t="s">
        <v>406</v>
      </c>
      <c r="W313" s="89">
        <v>41214</v>
      </c>
      <c r="X313" s="75"/>
      <c r="Y313" s="28" t="e">
        <v>#REF!</v>
      </c>
      <c r="Z313" s="28"/>
      <c r="AA313" s="24" t="s">
        <v>393</v>
      </c>
      <c r="AB313" s="28">
        <v>40742</v>
      </c>
    </row>
    <row r="314" spans="1:28" s="4" customFormat="1" ht="14.25" customHeight="1" x14ac:dyDescent="0.4">
      <c r="A314">
        <v>291</v>
      </c>
      <c r="B314" s="24">
        <v>40767</v>
      </c>
      <c r="C314" s="24">
        <v>40767</v>
      </c>
      <c r="D314" s="24">
        <v>40767</v>
      </c>
      <c r="E314" s="24">
        <v>40767</v>
      </c>
      <c r="F314" s="24" t="s">
        <v>393</v>
      </c>
      <c r="G314" s="24">
        <v>40779</v>
      </c>
      <c r="H314" s="23">
        <v>83</v>
      </c>
      <c r="I314" s="23">
        <v>40756</v>
      </c>
      <c r="J314" s="37">
        <v>28</v>
      </c>
      <c r="K314" s="24" t="s">
        <v>550</v>
      </c>
      <c r="L314" s="24">
        <v>40817</v>
      </c>
      <c r="M314" s="24">
        <v>40672</v>
      </c>
      <c r="N314" s="22" t="s">
        <v>576</v>
      </c>
      <c r="O314" s="4">
        <v>9120061</v>
      </c>
      <c r="P314" s="22">
        <v>1020</v>
      </c>
      <c r="Q314" s="22">
        <v>42</v>
      </c>
      <c r="R314" s="22" t="s">
        <v>2660</v>
      </c>
      <c r="S314" s="47" t="s">
        <v>1084</v>
      </c>
      <c r="T314" s="4" t="s">
        <v>404</v>
      </c>
      <c r="U314" s="88">
        <v>40969</v>
      </c>
      <c r="V314" s="4" t="s">
        <v>406</v>
      </c>
      <c r="W314" s="89"/>
      <c r="X314" s="75"/>
      <c r="Y314" s="28" t="e">
        <v>#REF!</v>
      </c>
      <c r="Z314" s="1"/>
      <c r="AA314" s="24" t="s">
        <v>393</v>
      </c>
      <c r="AB314" s="28">
        <v>40779</v>
      </c>
    </row>
    <row r="315" spans="1:28" s="4" customFormat="1" ht="14.25" customHeight="1" x14ac:dyDescent="0.4">
      <c r="A315">
        <v>292</v>
      </c>
      <c r="B315" s="24">
        <v>40770</v>
      </c>
      <c r="C315" s="24">
        <v>40770</v>
      </c>
      <c r="D315" s="24">
        <v>40770</v>
      </c>
      <c r="E315" s="24">
        <v>40770</v>
      </c>
      <c r="F315" s="24" t="s">
        <v>393</v>
      </c>
      <c r="G315" s="24">
        <v>40780</v>
      </c>
      <c r="H315" s="23">
        <v>84</v>
      </c>
      <c r="I315" s="23">
        <v>40756</v>
      </c>
      <c r="J315" s="37">
        <v>29</v>
      </c>
      <c r="K315" s="24" t="s">
        <v>550</v>
      </c>
      <c r="L315" s="24">
        <v>40817</v>
      </c>
      <c r="M315" s="24">
        <v>40672</v>
      </c>
      <c r="N315" s="22" t="s">
        <v>576</v>
      </c>
      <c r="O315" s="4">
        <v>9120062</v>
      </c>
      <c r="P315" s="22">
        <v>1020</v>
      </c>
      <c r="Q315" s="22">
        <v>42</v>
      </c>
      <c r="R315" s="22" t="s">
        <v>2661</v>
      </c>
      <c r="S315" s="47" t="s">
        <v>1805</v>
      </c>
      <c r="T315" s="4" t="s">
        <v>404</v>
      </c>
      <c r="U315" s="88">
        <v>41075</v>
      </c>
      <c r="V315" s="4" t="s">
        <v>406</v>
      </c>
      <c r="W315" s="89"/>
      <c r="X315" s="75"/>
      <c r="Y315" s="28" t="e">
        <v>#REF!</v>
      </c>
      <c r="Z315" s="1"/>
      <c r="AA315" s="24" t="s">
        <v>393</v>
      </c>
      <c r="AB315" s="28">
        <v>40780</v>
      </c>
    </row>
    <row r="316" spans="1:28" s="4" customFormat="1" ht="14.25" customHeight="1" x14ac:dyDescent="0.4">
      <c r="A316">
        <v>293</v>
      </c>
      <c r="B316" s="24">
        <v>40779</v>
      </c>
      <c r="C316" s="24">
        <v>40779</v>
      </c>
      <c r="D316" s="24">
        <v>40779</v>
      </c>
      <c r="E316" s="24">
        <v>40779</v>
      </c>
      <c r="F316" s="24" t="s">
        <v>393</v>
      </c>
      <c r="G316" s="24">
        <v>40785</v>
      </c>
      <c r="H316" s="23">
        <v>105</v>
      </c>
      <c r="I316" s="23">
        <v>40756</v>
      </c>
      <c r="J316" s="37">
        <v>50</v>
      </c>
      <c r="K316" s="24" t="s">
        <v>550</v>
      </c>
      <c r="L316" s="24">
        <v>40878</v>
      </c>
      <c r="M316" s="24">
        <v>40672</v>
      </c>
      <c r="N316" s="22" t="s">
        <v>576</v>
      </c>
      <c r="O316" s="4">
        <v>9120074</v>
      </c>
      <c r="P316" s="22">
        <v>720</v>
      </c>
      <c r="Q316" s="22">
        <v>50</v>
      </c>
      <c r="R316" s="22" t="s">
        <v>2662</v>
      </c>
      <c r="S316" s="47" t="s">
        <v>2053</v>
      </c>
      <c r="T316" s="4" t="s">
        <v>404</v>
      </c>
      <c r="U316" s="88">
        <v>40891</v>
      </c>
      <c r="V316" s="4" t="s">
        <v>406</v>
      </c>
      <c r="W316" s="89">
        <v>40938</v>
      </c>
      <c r="X316" s="75"/>
      <c r="Y316" s="28" t="e">
        <v>#REF!</v>
      </c>
      <c r="Z316" s="1"/>
      <c r="AA316" s="24" t="s">
        <v>393</v>
      </c>
      <c r="AB316" s="28">
        <v>40785</v>
      </c>
    </row>
    <row r="317" spans="1:28" s="4" customFormat="1" ht="14.25" customHeight="1" x14ac:dyDescent="0.4">
      <c r="A317">
        <v>294</v>
      </c>
      <c r="B317" s="22">
        <v>0</v>
      </c>
      <c r="C317" s="22">
        <v>0</v>
      </c>
      <c r="D317" s="22">
        <v>0</v>
      </c>
      <c r="E317" s="24">
        <v>40793</v>
      </c>
      <c r="F317" s="24" t="s">
        <v>393</v>
      </c>
      <c r="G317" s="24">
        <v>40798</v>
      </c>
      <c r="H317" s="37">
        <v>131</v>
      </c>
      <c r="I317" s="23">
        <v>40787</v>
      </c>
      <c r="J317" s="37">
        <v>7</v>
      </c>
      <c r="K317" s="24" t="s">
        <v>550</v>
      </c>
      <c r="L317" s="24">
        <v>40848</v>
      </c>
      <c r="M317" s="24">
        <v>40672</v>
      </c>
      <c r="N317" s="22" t="s">
        <v>576</v>
      </c>
      <c r="O317" s="4">
        <v>9120044</v>
      </c>
      <c r="P317" s="22">
        <v>720</v>
      </c>
      <c r="Q317" s="22">
        <v>42</v>
      </c>
      <c r="R317" s="22" t="s">
        <v>2663</v>
      </c>
      <c r="S317" s="47" t="s">
        <v>1996</v>
      </c>
      <c r="T317" s="4" t="s">
        <v>404</v>
      </c>
      <c r="U317" s="88">
        <v>40993</v>
      </c>
      <c r="W317" s="89"/>
      <c r="X317" s="74"/>
      <c r="Y317" s="28" t="e">
        <v>#REF!</v>
      </c>
      <c r="Z317" s="28"/>
      <c r="AA317" s="24" t="s">
        <v>393</v>
      </c>
      <c r="AB317" s="28">
        <v>40798</v>
      </c>
    </row>
    <row r="318" spans="1:28" ht="14.25" customHeight="1" x14ac:dyDescent="0.4">
      <c r="A318">
        <v>295</v>
      </c>
      <c r="B318" s="22">
        <v>0</v>
      </c>
      <c r="C318" s="22">
        <v>0</v>
      </c>
      <c r="D318" s="22">
        <v>0</v>
      </c>
      <c r="E318" s="24">
        <v>40793</v>
      </c>
      <c r="F318" s="24" t="s">
        <v>393</v>
      </c>
      <c r="G318" s="24">
        <v>40795</v>
      </c>
      <c r="H318" s="37">
        <v>132</v>
      </c>
      <c r="I318" s="23">
        <v>40787</v>
      </c>
      <c r="J318" s="37">
        <v>8</v>
      </c>
      <c r="K318" s="24" t="s">
        <v>550</v>
      </c>
      <c r="L318" s="24">
        <v>40848</v>
      </c>
      <c r="M318" s="24">
        <v>40672</v>
      </c>
      <c r="N318" s="22" t="s">
        <v>576</v>
      </c>
      <c r="O318" s="4">
        <v>9120045</v>
      </c>
      <c r="P318" s="22">
        <v>720</v>
      </c>
      <c r="Q318" s="22">
        <v>42</v>
      </c>
      <c r="R318" s="22" t="s">
        <v>2664</v>
      </c>
      <c r="S318" s="47" t="s">
        <v>206</v>
      </c>
      <c r="T318" s="4" t="s">
        <v>404</v>
      </c>
      <c r="U318" s="88">
        <v>40940</v>
      </c>
      <c r="V318" s="4" t="s">
        <v>406</v>
      </c>
      <c r="W318" s="89">
        <v>40941</v>
      </c>
      <c r="Y318" s="28" t="e">
        <v>#REF!</v>
      </c>
      <c r="Z318" s="28"/>
      <c r="AA318" s="24" t="s">
        <v>393</v>
      </c>
      <c r="AB318" s="28">
        <v>40795</v>
      </c>
    </row>
    <row r="319" spans="1:28" ht="14.25" customHeight="1" x14ac:dyDescent="0.4">
      <c r="A319">
        <v>296</v>
      </c>
      <c r="B319" s="22">
        <v>0</v>
      </c>
      <c r="C319" s="22" t="s">
        <v>2102</v>
      </c>
      <c r="D319" s="22">
        <v>0</v>
      </c>
      <c r="E319" s="24">
        <v>40793</v>
      </c>
      <c r="F319" s="24" t="s">
        <v>393</v>
      </c>
      <c r="G319" s="24">
        <v>40806</v>
      </c>
      <c r="H319" s="37">
        <v>133</v>
      </c>
      <c r="I319" s="23">
        <v>40787</v>
      </c>
      <c r="J319" s="37">
        <v>9</v>
      </c>
      <c r="K319" s="24" t="s">
        <v>550</v>
      </c>
      <c r="L319" s="24">
        <v>40848</v>
      </c>
      <c r="M319" s="24">
        <v>40672</v>
      </c>
      <c r="N319" s="22" t="s">
        <v>576</v>
      </c>
      <c r="O319" s="4">
        <v>9120046</v>
      </c>
      <c r="P319" s="22">
        <v>720</v>
      </c>
      <c r="Q319" s="22">
        <v>42</v>
      </c>
      <c r="R319" s="22" t="s">
        <v>2665</v>
      </c>
      <c r="S319" s="47" t="s">
        <v>1089</v>
      </c>
      <c r="T319" s="4" t="s">
        <v>404</v>
      </c>
      <c r="U319" s="88">
        <v>40816</v>
      </c>
      <c r="V319" s="4" t="s">
        <v>406</v>
      </c>
      <c r="W319" s="89">
        <v>41214</v>
      </c>
      <c r="X319" s="74"/>
      <c r="Y319" s="28" t="e">
        <v>#REF!</v>
      </c>
      <c r="Z319" s="9"/>
      <c r="AA319" s="24" t="s">
        <v>393</v>
      </c>
      <c r="AB319" s="28">
        <v>40806</v>
      </c>
    </row>
    <row r="320" spans="1:28" ht="14.25" customHeight="1" x14ac:dyDescent="0.4">
      <c r="A320">
        <v>297</v>
      </c>
      <c r="B320" s="22">
        <v>0</v>
      </c>
      <c r="C320" s="22" t="s">
        <v>2102</v>
      </c>
      <c r="D320" s="22">
        <v>0</v>
      </c>
      <c r="E320" s="24">
        <v>40794</v>
      </c>
      <c r="F320" s="24" t="s">
        <v>393</v>
      </c>
      <c r="G320" s="24">
        <v>40798</v>
      </c>
      <c r="H320" s="37">
        <v>134</v>
      </c>
      <c r="I320" s="23">
        <v>40787</v>
      </c>
      <c r="J320" s="37">
        <v>10</v>
      </c>
      <c r="K320" s="24" t="s">
        <v>550</v>
      </c>
      <c r="L320" s="24">
        <v>40787</v>
      </c>
      <c r="M320" s="24">
        <v>40672</v>
      </c>
      <c r="N320" s="22" t="s">
        <v>576</v>
      </c>
      <c r="O320" s="4">
        <v>9120064</v>
      </c>
      <c r="P320" s="22">
        <v>1020</v>
      </c>
      <c r="Q320" s="22">
        <v>42</v>
      </c>
      <c r="R320" s="22" t="s">
        <v>2666</v>
      </c>
      <c r="S320" s="186" t="s">
        <v>1626</v>
      </c>
      <c r="T320" s="187" t="s">
        <v>404</v>
      </c>
      <c r="U320" s="188">
        <v>41141</v>
      </c>
      <c r="V320" s="187" t="s">
        <v>406</v>
      </c>
      <c r="W320" s="89"/>
      <c r="X320" s="74"/>
      <c r="Y320" s="28" t="e">
        <v>#REF!</v>
      </c>
      <c r="Z320" s="9"/>
      <c r="AA320" s="24" t="s">
        <v>393</v>
      </c>
      <c r="AB320" s="28">
        <v>40798</v>
      </c>
    </row>
    <row r="321" spans="1:28" ht="14.25" customHeight="1" x14ac:dyDescent="0.4">
      <c r="A321">
        <v>298</v>
      </c>
      <c r="B321" s="24">
        <v>40822</v>
      </c>
      <c r="C321" s="24">
        <v>40822</v>
      </c>
      <c r="D321" s="24">
        <v>40822</v>
      </c>
      <c r="E321" s="24">
        <v>40822</v>
      </c>
      <c r="F321" s="24" t="s">
        <v>393</v>
      </c>
      <c r="G321" s="24">
        <v>40827</v>
      </c>
      <c r="H321" s="37">
        <v>196</v>
      </c>
      <c r="I321" s="23">
        <v>40817</v>
      </c>
      <c r="J321" s="37">
        <v>9</v>
      </c>
      <c r="K321" s="24" t="s">
        <v>550</v>
      </c>
      <c r="L321" s="24">
        <v>40817</v>
      </c>
      <c r="M321" s="24">
        <v>40672</v>
      </c>
      <c r="N321" s="22" t="s">
        <v>576</v>
      </c>
      <c r="O321" s="4">
        <v>9120043</v>
      </c>
      <c r="P321" s="22">
        <v>1020</v>
      </c>
      <c r="Q321" s="22">
        <v>42</v>
      </c>
      <c r="R321" s="22" t="s">
        <v>2667</v>
      </c>
      <c r="S321" s="47" t="s">
        <v>1078</v>
      </c>
      <c r="T321" s="4" t="s">
        <v>404</v>
      </c>
      <c r="U321" s="88">
        <v>40792</v>
      </c>
      <c r="V321" s="4" t="s">
        <v>406</v>
      </c>
      <c r="W321" s="89">
        <v>40909</v>
      </c>
      <c r="X321" s="74"/>
      <c r="Y321" s="28" t="e">
        <v>#REF!</v>
      </c>
      <c r="Z321" s="9"/>
      <c r="AA321" s="24" t="s">
        <v>393</v>
      </c>
      <c r="AB321" s="28">
        <v>40827</v>
      </c>
    </row>
    <row r="322" spans="1:28" ht="14.25" customHeight="1" x14ac:dyDescent="0.4">
      <c r="A322">
        <v>299</v>
      </c>
      <c r="B322" s="24">
        <v>40823</v>
      </c>
      <c r="C322" s="24">
        <v>40823</v>
      </c>
      <c r="D322" s="24">
        <v>40823</v>
      </c>
      <c r="E322" s="24">
        <v>40823</v>
      </c>
      <c r="F322" s="24" t="s">
        <v>393</v>
      </c>
      <c r="G322" s="24">
        <v>40827</v>
      </c>
      <c r="H322" s="37">
        <v>197</v>
      </c>
      <c r="I322" s="23">
        <v>40817</v>
      </c>
      <c r="J322" s="37">
        <v>10</v>
      </c>
      <c r="K322" s="24" t="s">
        <v>550</v>
      </c>
      <c r="L322" s="24">
        <v>40817</v>
      </c>
      <c r="M322" s="24">
        <v>40672</v>
      </c>
      <c r="N322" s="22" t="s">
        <v>576</v>
      </c>
      <c r="O322" s="4">
        <v>9120069</v>
      </c>
      <c r="P322" s="22">
        <v>1020</v>
      </c>
      <c r="Q322" s="22">
        <v>42</v>
      </c>
      <c r="R322" s="22" t="s">
        <v>2668</v>
      </c>
      <c r="S322" s="47" t="s">
        <v>118</v>
      </c>
      <c r="T322" s="4" t="s">
        <v>404</v>
      </c>
      <c r="U322" s="88">
        <v>40974</v>
      </c>
      <c r="V322" s="4" t="s">
        <v>406</v>
      </c>
      <c r="W322" s="89"/>
      <c r="X322" s="74"/>
      <c r="Y322" s="28" t="e">
        <v>#REF!</v>
      </c>
      <c r="Z322" s="9"/>
      <c r="AA322" s="24" t="s">
        <v>393</v>
      </c>
      <c r="AB322" s="28">
        <v>40827</v>
      </c>
    </row>
    <row r="323" spans="1:28" s="4" customFormat="1" ht="14.25" customHeight="1" x14ac:dyDescent="0.4">
      <c r="A323">
        <v>300</v>
      </c>
      <c r="B323" s="24">
        <v>40823</v>
      </c>
      <c r="C323" s="24">
        <v>40823</v>
      </c>
      <c r="D323" s="24">
        <v>40823</v>
      </c>
      <c r="E323" s="24">
        <v>40823</v>
      </c>
      <c r="F323" s="24" t="s">
        <v>393</v>
      </c>
      <c r="G323" s="24">
        <v>40827</v>
      </c>
      <c r="H323" s="37">
        <v>198</v>
      </c>
      <c r="I323" s="23">
        <v>40817</v>
      </c>
      <c r="J323" s="37">
        <v>11</v>
      </c>
      <c r="K323" s="24" t="s">
        <v>550</v>
      </c>
      <c r="L323" s="24">
        <v>40817</v>
      </c>
      <c r="M323" s="24">
        <v>40672</v>
      </c>
      <c r="N323" s="22" t="s">
        <v>576</v>
      </c>
      <c r="O323" s="4">
        <v>9120070</v>
      </c>
      <c r="P323" s="22">
        <v>1020</v>
      </c>
      <c r="Q323" s="22">
        <v>42</v>
      </c>
      <c r="R323" s="22" t="s">
        <v>2669</v>
      </c>
      <c r="S323" s="47" t="s">
        <v>1078</v>
      </c>
      <c r="T323" s="4" t="s">
        <v>404</v>
      </c>
      <c r="U323" s="88">
        <v>40816</v>
      </c>
      <c r="V323" s="4" t="s">
        <v>404</v>
      </c>
      <c r="W323" s="89">
        <v>40848</v>
      </c>
      <c r="X323" s="74"/>
      <c r="Y323" s="28" t="e">
        <v>#REF!</v>
      </c>
      <c r="Z323" s="9"/>
      <c r="AA323" s="24" t="s">
        <v>393</v>
      </c>
      <c r="AB323" s="28">
        <v>40827</v>
      </c>
    </row>
    <row r="324" spans="1:28" ht="14.25" customHeight="1" x14ac:dyDescent="0.4">
      <c r="A324">
        <v>301</v>
      </c>
      <c r="B324" s="24">
        <v>40823</v>
      </c>
      <c r="C324" s="24">
        <v>40823</v>
      </c>
      <c r="D324" s="24">
        <v>40823</v>
      </c>
      <c r="E324" s="24">
        <v>40823</v>
      </c>
      <c r="F324" s="24" t="s">
        <v>393</v>
      </c>
      <c r="G324" s="24">
        <v>40827</v>
      </c>
      <c r="H324" s="37">
        <v>199</v>
      </c>
      <c r="I324" s="23">
        <v>40817</v>
      </c>
      <c r="J324" s="37">
        <v>12</v>
      </c>
      <c r="K324" s="24" t="s">
        <v>550</v>
      </c>
      <c r="L324" s="24">
        <v>40817</v>
      </c>
      <c r="M324" s="24">
        <v>40672</v>
      </c>
      <c r="N324" s="22" t="s">
        <v>576</v>
      </c>
      <c r="O324" s="4">
        <v>9120073</v>
      </c>
      <c r="P324" s="22">
        <v>720</v>
      </c>
      <c r="Q324" s="22">
        <v>42</v>
      </c>
      <c r="R324" s="22" t="s">
        <v>2670</v>
      </c>
      <c r="S324" s="47" t="s">
        <v>1061</v>
      </c>
      <c r="T324" s="4" t="s">
        <v>404</v>
      </c>
      <c r="U324" s="88">
        <v>40802</v>
      </c>
      <c r="V324" s="4" t="s">
        <v>406</v>
      </c>
      <c r="W324" s="89">
        <v>40909</v>
      </c>
      <c r="X324" s="74"/>
      <c r="Y324" s="28" t="e">
        <v>#REF!</v>
      </c>
      <c r="Z324" s="9"/>
      <c r="AA324" s="24" t="s">
        <v>393</v>
      </c>
      <c r="AB324" s="28">
        <v>40827</v>
      </c>
    </row>
    <row r="325" spans="1:28" s="4" customFormat="1" ht="14.25" customHeight="1" x14ac:dyDescent="0.4">
      <c r="A325">
        <v>302</v>
      </c>
      <c r="B325" s="22">
        <v>0</v>
      </c>
      <c r="C325" s="22" t="s">
        <v>2165</v>
      </c>
      <c r="D325" s="22">
        <v>0</v>
      </c>
      <c r="E325" s="24">
        <v>40890</v>
      </c>
      <c r="F325" s="24" t="s">
        <v>393</v>
      </c>
      <c r="G325" s="24">
        <v>40896</v>
      </c>
      <c r="H325" s="37">
        <v>338</v>
      </c>
      <c r="I325" s="23">
        <v>40878</v>
      </c>
      <c r="J325" s="37">
        <v>28</v>
      </c>
      <c r="K325" s="24" t="s">
        <v>550</v>
      </c>
      <c r="L325" s="24">
        <v>40848</v>
      </c>
      <c r="M325" s="24">
        <v>40672</v>
      </c>
      <c r="N325" s="22" t="s">
        <v>576</v>
      </c>
      <c r="O325" s="4">
        <v>9120059</v>
      </c>
      <c r="P325" s="22">
        <v>1020</v>
      </c>
      <c r="Q325" s="22">
        <v>50</v>
      </c>
      <c r="R325" s="22" t="s">
        <v>2671</v>
      </c>
      <c r="S325" s="47" t="s">
        <v>1450</v>
      </c>
      <c r="T325" s="4" t="s">
        <v>404</v>
      </c>
      <c r="U325" s="88">
        <v>40847</v>
      </c>
      <c r="V325" s="4" t="s">
        <v>406</v>
      </c>
      <c r="W325" s="89">
        <v>40923</v>
      </c>
      <c r="X325" s="74"/>
      <c r="Y325" s="28" t="e">
        <v>#REF!</v>
      </c>
      <c r="Z325" s="28"/>
      <c r="AA325" s="24" t="s">
        <v>393</v>
      </c>
      <c r="AB325" s="28">
        <v>40896</v>
      </c>
    </row>
    <row r="326" spans="1:28" s="4" customFormat="1" ht="14.25" customHeight="1" x14ac:dyDescent="0.4">
      <c r="A326">
        <v>303</v>
      </c>
      <c r="B326" s="22">
        <v>0</v>
      </c>
      <c r="C326" s="22">
        <v>0</v>
      </c>
      <c r="D326" s="22">
        <v>0</v>
      </c>
      <c r="E326" s="24">
        <v>40890</v>
      </c>
      <c r="F326" s="24" t="s">
        <v>393</v>
      </c>
      <c r="G326" s="24">
        <v>40897</v>
      </c>
      <c r="H326" s="37">
        <v>339</v>
      </c>
      <c r="I326" s="23">
        <v>40878</v>
      </c>
      <c r="J326" s="37">
        <v>29</v>
      </c>
      <c r="K326" s="24" t="s">
        <v>550</v>
      </c>
      <c r="L326" s="24">
        <v>40848</v>
      </c>
      <c r="M326" s="24">
        <v>40672</v>
      </c>
      <c r="N326" s="22" t="s">
        <v>576</v>
      </c>
      <c r="O326" s="4">
        <v>9120060</v>
      </c>
      <c r="P326" s="22">
        <v>1020</v>
      </c>
      <c r="Q326" s="22">
        <v>50</v>
      </c>
      <c r="R326" s="22" t="s">
        <v>2672</v>
      </c>
      <c r="S326" s="47" t="s">
        <v>1539</v>
      </c>
      <c r="T326" s="4" t="s">
        <v>404</v>
      </c>
      <c r="U326" s="88">
        <v>40794</v>
      </c>
      <c r="V326" s="4" t="s">
        <v>406</v>
      </c>
      <c r="W326" s="89">
        <v>40909</v>
      </c>
      <c r="X326" s="75"/>
      <c r="Y326" s="28" t="e">
        <v>#REF!</v>
      </c>
      <c r="Z326" s="28"/>
      <c r="AA326" s="24" t="s">
        <v>393</v>
      </c>
      <c r="AB326" s="28">
        <v>40897</v>
      </c>
    </row>
    <row r="327" spans="1:28" ht="14.25" customHeight="1" x14ac:dyDescent="0.4">
      <c r="A327">
        <v>304</v>
      </c>
      <c r="B327" s="22">
        <v>0</v>
      </c>
      <c r="C327" s="22">
        <v>0</v>
      </c>
      <c r="D327" s="22">
        <v>0</v>
      </c>
      <c r="E327" s="24">
        <v>40875</v>
      </c>
      <c r="F327" s="24" t="s">
        <v>393</v>
      </c>
      <c r="G327" s="24">
        <v>40877</v>
      </c>
      <c r="H327" s="37">
        <v>307</v>
      </c>
      <c r="I327" s="23">
        <v>40848</v>
      </c>
      <c r="J327" s="37">
        <v>56</v>
      </c>
      <c r="K327" s="24" t="s">
        <v>550</v>
      </c>
      <c r="L327" s="24">
        <v>40848</v>
      </c>
      <c r="M327" s="24">
        <v>40672</v>
      </c>
      <c r="N327" s="22" t="s">
        <v>576</v>
      </c>
      <c r="O327" s="4">
        <v>9120067</v>
      </c>
      <c r="P327" s="22">
        <v>1020</v>
      </c>
      <c r="Q327" s="22">
        <v>42</v>
      </c>
      <c r="R327" s="22" t="s">
        <v>2673</v>
      </c>
      <c r="S327" s="47" t="s">
        <v>2054</v>
      </c>
      <c r="T327" s="4" t="s">
        <v>404</v>
      </c>
      <c r="U327" s="88">
        <v>40890</v>
      </c>
      <c r="V327" s="4" t="s">
        <v>406</v>
      </c>
      <c r="W327" s="89">
        <v>40923</v>
      </c>
      <c r="X327" s="74"/>
      <c r="Y327" s="28" t="e">
        <v>#REF!</v>
      </c>
      <c r="Z327" s="9"/>
      <c r="AA327" s="24" t="s">
        <v>393</v>
      </c>
      <c r="AB327" s="28">
        <v>40877</v>
      </c>
    </row>
    <row r="328" spans="1:28" ht="14.25" customHeight="1" x14ac:dyDescent="0.4">
      <c r="A328">
        <v>305</v>
      </c>
      <c r="B328" s="22">
        <v>0</v>
      </c>
      <c r="C328" s="22" t="s">
        <v>2102</v>
      </c>
      <c r="D328" s="22">
        <v>0</v>
      </c>
      <c r="E328" s="24">
        <v>40876</v>
      </c>
      <c r="F328" s="24" t="s">
        <v>393</v>
      </c>
      <c r="G328" s="24">
        <v>40890</v>
      </c>
      <c r="H328" s="37">
        <v>308</v>
      </c>
      <c r="I328" s="23">
        <v>40848</v>
      </c>
      <c r="J328" s="37">
        <v>57</v>
      </c>
      <c r="K328" s="24" t="s">
        <v>550</v>
      </c>
      <c r="L328" s="24">
        <v>40848</v>
      </c>
      <c r="M328" s="24">
        <v>40672</v>
      </c>
      <c r="N328" s="22" t="s">
        <v>576</v>
      </c>
      <c r="O328" s="4">
        <v>9120068</v>
      </c>
      <c r="P328" s="22">
        <v>1020</v>
      </c>
      <c r="Q328" s="22">
        <v>42</v>
      </c>
      <c r="R328" s="22" t="s">
        <v>2674</v>
      </c>
      <c r="S328" s="47" t="s">
        <v>120</v>
      </c>
      <c r="T328" s="4" t="s">
        <v>404</v>
      </c>
      <c r="U328" s="88">
        <v>40956</v>
      </c>
      <c r="V328" s="4" t="s">
        <v>406</v>
      </c>
      <c r="W328" s="89">
        <v>40983</v>
      </c>
      <c r="X328" s="74"/>
      <c r="Y328" s="28" t="e">
        <v>#REF!</v>
      </c>
      <c r="Z328" s="9"/>
      <c r="AA328" s="24" t="s">
        <v>393</v>
      </c>
      <c r="AB328" s="28">
        <v>40890</v>
      </c>
    </row>
    <row r="329" spans="1:28" ht="14.25" customHeight="1" x14ac:dyDescent="0.4">
      <c r="A329">
        <v>306</v>
      </c>
      <c r="B329" s="22">
        <v>0</v>
      </c>
      <c r="C329" s="22" t="s">
        <v>2165</v>
      </c>
      <c r="D329" s="22">
        <v>0</v>
      </c>
      <c r="E329" s="24">
        <v>40896</v>
      </c>
      <c r="F329" s="24" t="s">
        <v>393</v>
      </c>
      <c r="G329" s="24">
        <v>40904</v>
      </c>
      <c r="H329" s="37">
        <v>352</v>
      </c>
      <c r="I329" s="23">
        <v>40878</v>
      </c>
      <c r="J329" s="37">
        <v>42</v>
      </c>
      <c r="K329" s="24" t="s">
        <v>550</v>
      </c>
      <c r="L329" s="24">
        <v>40878</v>
      </c>
      <c r="M329" s="24">
        <v>40672</v>
      </c>
      <c r="N329" s="22" t="s">
        <v>576</v>
      </c>
      <c r="O329" s="4">
        <v>9120057</v>
      </c>
      <c r="P329" s="22">
        <v>1020</v>
      </c>
      <c r="Q329" s="22">
        <v>50</v>
      </c>
      <c r="R329" s="22" t="s">
        <v>2675</v>
      </c>
      <c r="S329" s="47" t="s">
        <v>340</v>
      </c>
      <c r="T329" s="4" t="s">
        <v>404</v>
      </c>
      <c r="U329" s="88">
        <v>40787</v>
      </c>
      <c r="V329" s="4" t="s">
        <v>406</v>
      </c>
      <c r="W329" s="89">
        <v>40909</v>
      </c>
      <c r="Y329" s="28" t="e">
        <v>#REF!</v>
      </c>
      <c r="Z329" s="9"/>
      <c r="AA329" s="24" t="s">
        <v>393</v>
      </c>
      <c r="AB329" s="28">
        <v>40904</v>
      </c>
    </row>
    <row r="330" spans="1:28" s="4" customFormat="1" ht="14.25" customHeight="1" x14ac:dyDescent="0.4">
      <c r="A330">
        <v>307</v>
      </c>
      <c r="B330" s="24">
        <v>44550</v>
      </c>
      <c r="C330" s="24">
        <v>44550</v>
      </c>
      <c r="D330" s="24">
        <v>44550</v>
      </c>
      <c r="E330" s="24">
        <v>44550</v>
      </c>
      <c r="F330" s="24" t="s">
        <v>393</v>
      </c>
      <c r="G330" s="24">
        <v>40904</v>
      </c>
      <c r="H330" s="23">
        <v>353</v>
      </c>
      <c r="I330" s="23">
        <v>40878</v>
      </c>
      <c r="J330" s="37">
        <v>43</v>
      </c>
      <c r="K330" s="24" t="s">
        <v>550</v>
      </c>
      <c r="L330" s="24">
        <v>40878</v>
      </c>
      <c r="M330" s="24">
        <v>40672</v>
      </c>
      <c r="N330" s="22" t="s">
        <v>576</v>
      </c>
      <c r="O330" s="4">
        <v>9120058</v>
      </c>
      <c r="P330" s="22">
        <v>1020</v>
      </c>
      <c r="Q330" s="22">
        <v>50</v>
      </c>
      <c r="R330" s="22" t="s">
        <v>2676</v>
      </c>
      <c r="S330" s="47" t="s">
        <v>1438</v>
      </c>
      <c r="T330" s="4" t="s">
        <v>404</v>
      </c>
      <c r="U330" s="88">
        <v>40882</v>
      </c>
      <c r="V330" s="4" t="s">
        <v>406</v>
      </c>
      <c r="W330" s="89">
        <v>40940</v>
      </c>
      <c r="X330" s="74">
        <v>0</v>
      </c>
      <c r="Y330" s="28" t="e">
        <v>#REF!</v>
      </c>
      <c r="Z330" s="9"/>
      <c r="AA330" s="24" t="s">
        <v>393</v>
      </c>
      <c r="AB330" s="28">
        <v>40904</v>
      </c>
    </row>
    <row r="331" spans="1:28" s="4" customFormat="1" ht="14.25" customHeight="1" x14ac:dyDescent="0.4">
      <c r="A331">
        <v>308</v>
      </c>
      <c r="B331" s="22">
        <v>0</v>
      </c>
      <c r="C331" s="22" t="s">
        <v>2165</v>
      </c>
      <c r="D331" s="22">
        <v>0</v>
      </c>
      <c r="E331" s="24">
        <v>40913</v>
      </c>
      <c r="F331" s="24" t="s">
        <v>393</v>
      </c>
      <c r="G331" s="24">
        <v>40919</v>
      </c>
      <c r="H331" s="37">
        <v>379</v>
      </c>
      <c r="I331" s="23">
        <v>40909</v>
      </c>
      <c r="J331" s="37">
        <v>12</v>
      </c>
      <c r="K331" s="24" t="s">
        <v>550</v>
      </c>
      <c r="L331" s="24">
        <v>40878</v>
      </c>
      <c r="M331" s="24">
        <v>40672</v>
      </c>
      <c r="N331" s="22" t="s">
        <v>576</v>
      </c>
      <c r="O331" s="4">
        <v>9120063</v>
      </c>
      <c r="P331" s="22">
        <v>1020</v>
      </c>
      <c r="Q331" s="22">
        <v>42</v>
      </c>
      <c r="R331" s="22" t="s">
        <v>2677</v>
      </c>
      <c r="S331" s="47" t="s">
        <v>173</v>
      </c>
      <c r="T331" s="4" t="s">
        <v>404</v>
      </c>
      <c r="U331" s="88">
        <v>40809</v>
      </c>
      <c r="V331" s="4" t="s">
        <v>406</v>
      </c>
      <c r="W331" s="89">
        <v>40940</v>
      </c>
      <c r="X331" s="75"/>
      <c r="Y331" s="28" t="e">
        <v>#REF!</v>
      </c>
      <c r="Z331" s="9"/>
      <c r="AA331" s="24" t="s">
        <v>393</v>
      </c>
      <c r="AB331" s="28">
        <v>40919</v>
      </c>
    </row>
    <row r="332" spans="1:28" s="4" customFormat="1" ht="14.25" customHeight="1" x14ac:dyDescent="0.4">
      <c r="A332">
        <v>309</v>
      </c>
      <c r="B332" s="22">
        <v>0</v>
      </c>
      <c r="C332" s="22" t="s">
        <v>2165</v>
      </c>
      <c r="D332" s="22">
        <v>0</v>
      </c>
      <c r="E332" s="24">
        <v>40914</v>
      </c>
      <c r="F332" s="24" t="s">
        <v>393</v>
      </c>
      <c r="G332" s="24">
        <v>40920</v>
      </c>
      <c r="H332" s="37">
        <v>380</v>
      </c>
      <c r="I332" s="23">
        <v>40909</v>
      </c>
      <c r="J332" s="37">
        <v>13</v>
      </c>
      <c r="K332" s="24" t="s">
        <v>550</v>
      </c>
      <c r="L332" s="24">
        <v>40878</v>
      </c>
      <c r="M332" s="24">
        <v>40672</v>
      </c>
      <c r="N332" s="22" t="s">
        <v>576</v>
      </c>
      <c r="O332" s="4">
        <v>9120065</v>
      </c>
      <c r="P332" s="22">
        <v>1020</v>
      </c>
      <c r="Q332" s="22">
        <v>42</v>
      </c>
      <c r="R332" s="22" t="s">
        <v>2678</v>
      </c>
      <c r="S332" s="47" t="s">
        <v>2020</v>
      </c>
      <c r="T332" s="4" t="s">
        <v>404</v>
      </c>
      <c r="U332" s="88">
        <v>40905</v>
      </c>
      <c r="V332" s="4" t="s">
        <v>404</v>
      </c>
      <c r="W332" s="89">
        <v>40940</v>
      </c>
      <c r="X332" s="75"/>
      <c r="Y332" s="28" t="e">
        <v>#REF!</v>
      </c>
      <c r="Z332" s="9"/>
      <c r="AA332" s="24" t="s">
        <v>393</v>
      </c>
      <c r="AB332" s="28">
        <v>40920</v>
      </c>
    </row>
    <row r="333" spans="1:28" s="4" customFormat="1" ht="14.25" customHeight="1" x14ac:dyDescent="0.4">
      <c r="A333">
        <v>310</v>
      </c>
      <c r="B333" s="22">
        <v>0</v>
      </c>
      <c r="C333" s="22">
        <v>0</v>
      </c>
      <c r="D333" s="22">
        <v>0</v>
      </c>
      <c r="E333" s="24">
        <v>40917</v>
      </c>
      <c r="F333" s="24" t="s">
        <v>393</v>
      </c>
      <c r="G333" s="24">
        <v>40919</v>
      </c>
      <c r="H333" s="37">
        <v>383</v>
      </c>
      <c r="I333" s="23">
        <v>40909</v>
      </c>
      <c r="J333" s="37">
        <v>16</v>
      </c>
      <c r="K333" s="24" t="s">
        <v>550</v>
      </c>
      <c r="L333" s="24">
        <v>40909</v>
      </c>
      <c r="M333" s="24">
        <v>40672</v>
      </c>
      <c r="N333" s="22" t="s">
        <v>576</v>
      </c>
      <c r="O333" s="4">
        <v>9120053</v>
      </c>
      <c r="P333" s="22">
        <v>720</v>
      </c>
      <c r="Q333" s="22">
        <v>42</v>
      </c>
      <c r="R333" s="22" t="s">
        <v>2679</v>
      </c>
      <c r="S333" s="47" t="s">
        <v>174</v>
      </c>
      <c r="T333" s="4" t="s">
        <v>404</v>
      </c>
      <c r="U333" s="88">
        <v>40809</v>
      </c>
      <c r="V333" s="4" t="s">
        <v>406</v>
      </c>
      <c r="W333" s="89">
        <v>40940</v>
      </c>
      <c r="X333" s="74"/>
      <c r="Y333" s="28" t="e">
        <v>#REF!</v>
      </c>
      <c r="Z333" s="9"/>
      <c r="AA333" s="24" t="s">
        <v>393</v>
      </c>
      <c r="AB333" s="28">
        <v>40919</v>
      </c>
    </row>
    <row r="334" spans="1:28" s="4" customFormat="1" ht="14.25" customHeight="1" x14ac:dyDescent="0.4">
      <c r="A334">
        <v>312</v>
      </c>
      <c r="B334" s="22">
        <v>0</v>
      </c>
      <c r="C334" s="22">
        <v>0</v>
      </c>
      <c r="D334" s="22">
        <v>0</v>
      </c>
      <c r="E334" s="24">
        <v>40917</v>
      </c>
      <c r="F334" s="24" t="s">
        <v>392</v>
      </c>
      <c r="G334" s="24">
        <v>40924</v>
      </c>
      <c r="H334" s="37">
        <v>385</v>
      </c>
      <c r="I334" s="23">
        <v>40909</v>
      </c>
      <c r="J334" s="37">
        <v>18</v>
      </c>
      <c r="K334" s="24" t="s">
        <v>550</v>
      </c>
      <c r="L334" s="24">
        <v>40909</v>
      </c>
      <c r="M334" s="24">
        <v>40672</v>
      </c>
      <c r="N334" s="22" t="s">
        <v>576</v>
      </c>
      <c r="O334" s="4">
        <v>9120055</v>
      </c>
      <c r="P334" s="22">
        <v>720</v>
      </c>
      <c r="Q334" s="22">
        <v>42</v>
      </c>
      <c r="R334" s="22" t="s">
        <v>2680</v>
      </c>
      <c r="S334" s="47" t="s">
        <v>881</v>
      </c>
      <c r="T334" s="4" t="s">
        <v>404</v>
      </c>
      <c r="U334" s="88">
        <v>40885</v>
      </c>
      <c r="V334" s="4" t="s">
        <v>406</v>
      </c>
      <c r="W334" s="89">
        <v>40940</v>
      </c>
      <c r="X334" s="74"/>
      <c r="Y334" s="28" t="e">
        <v>#REF!</v>
      </c>
      <c r="Z334" s="9"/>
      <c r="AA334" s="24" t="s">
        <v>392</v>
      </c>
      <c r="AB334" s="28">
        <v>40924</v>
      </c>
    </row>
    <row r="335" spans="1:28" s="4" customFormat="1" ht="14.25" customHeight="1" x14ac:dyDescent="0.4">
      <c r="A335">
        <v>314</v>
      </c>
      <c r="B335" s="24">
        <v>40941</v>
      </c>
      <c r="C335" s="24">
        <v>40941</v>
      </c>
      <c r="D335" s="24">
        <v>40941</v>
      </c>
      <c r="E335" s="24">
        <v>40941</v>
      </c>
      <c r="F335" s="24" t="s">
        <v>393</v>
      </c>
      <c r="G335" s="24">
        <v>40947</v>
      </c>
      <c r="H335" s="23">
        <v>438</v>
      </c>
      <c r="I335" s="23">
        <v>40940</v>
      </c>
      <c r="J335" s="37">
        <v>8</v>
      </c>
      <c r="K335" s="24" t="s">
        <v>550</v>
      </c>
      <c r="L335" s="24">
        <v>40940</v>
      </c>
      <c r="M335" s="24">
        <v>40672</v>
      </c>
      <c r="N335" s="22" t="s">
        <v>576</v>
      </c>
      <c r="O335" s="4">
        <v>9120056</v>
      </c>
      <c r="P335" s="22">
        <v>720</v>
      </c>
      <c r="Q335" s="22">
        <v>42</v>
      </c>
      <c r="R335" s="22" t="s">
        <v>2681</v>
      </c>
      <c r="S335" s="47" t="s">
        <v>2072</v>
      </c>
      <c r="T335" s="4" t="s">
        <v>404</v>
      </c>
      <c r="U335" s="88">
        <v>40900</v>
      </c>
      <c r="V335" s="4" t="s">
        <v>406</v>
      </c>
      <c r="W335" s="89"/>
      <c r="X335" s="75"/>
      <c r="Y335" s="28" t="e">
        <v>#REF!</v>
      </c>
      <c r="Z335" s="1"/>
      <c r="AA335" s="24" t="s">
        <v>393</v>
      </c>
      <c r="AB335" s="28">
        <v>40947</v>
      </c>
    </row>
    <row r="336" spans="1:28" s="4" customFormat="1" ht="14.25" customHeight="1" x14ac:dyDescent="0.4">
      <c r="A336">
        <v>315</v>
      </c>
      <c r="B336" s="24">
        <v>40963</v>
      </c>
      <c r="C336" s="24">
        <v>40963</v>
      </c>
      <c r="D336" s="24">
        <v>40963</v>
      </c>
      <c r="E336" s="24">
        <v>40963</v>
      </c>
      <c r="F336" s="24" t="s">
        <v>393</v>
      </c>
      <c r="G336" s="24">
        <v>40967</v>
      </c>
      <c r="H336" s="23">
        <v>483</v>
      </c>
      <c r="I336" s="23">
        <v>40940</v>
      </c>
      <c r="J336" s="37">
        <v>53</v>
      </c>
      <c r="K336" s="24" t="s">
        <v>550</v>
      </c>
      <c r="L336" s="24">
        <v>40969</v>
      </c>
      <c r="M336" s="24">
        <v>40672</v>
      </c>
      <c r="N336" s="22" t="s">
        <v>576</v>
      </c>
      <c r="O336" s="4">
        <v>9120047</v>
      </c>
      <c r="P336" s="22">
        <v>720</v>
      </c>
      <c r="Q336" s="22">
        <v>42</v>
      </c>
      <c r="R336" s="22" t="s">
        <v>2682</v>
      </c>
      <c r="S336" s="47" t="s">
        <v>1402</v>
      </c>
      <c r="T336" s="4" t="s">
        <v>404</v>
      </c>
      <c r="U336" s="88">
        <v>40921</v>
      </c>
      <c r="V336" s="4" t="s">
        <v>406</v>
      </c>
      <c r="W336" s="89">
        <v>40969</v>
      </c>
      <c r="X336" s="75"/>
      <c r="Y336" s="28" t="e">
        <v>#REF!</v>
      </c>
      <c r="Z336" s="28"/>
      <c r="AA336" s="24" t="s">
        <v>393</v>
      </c>
      <c r="AB336" s="28">
        <v>40967</v>
      </c>
    </row>
    <row r="337" spans="1:28" s="4" customFormat="1" ht="14.25" customHeight="1" x14ac:dyDescent="0.4">
      <c r="A337">
        <v>316</v>
      </c>
      <c r="B337" s="24">
        <v>40968</v>
      </c>
      <c r="C337" s="24">
        <v>40968</v>
      </c>
      <c r="D337" s="24">
        <v>40968</v>
      </c>
      <c r="E337" s="24">
        <v>40968</v>
      </c>
      <c r="F337" s="24" t="s">
        <v>393</v>
      </c>
      <c r="G337" s="24">
        <v>40968</v>
      </c>
      <c r="H337" s="23">
        <v>490</v>
      </c>
      <c r="I337" s="23">
        <v>40940</v>
      </c>
      <c r="J337" s="37">
        <v>60</v>
      </c>
      <c r="K337" s="24" t="s">
        <v>550</v>
      </c>
      <c r="L337" s="24">
        <v>40969</v>
      </c>
      <c r="M337" s="24">
        <v>40672</v>
      </c>
      <c r="N337" s="22" t="s">
        <v>576</v>
      </c>
      <c r="O337" s="4">
        <v>9120048</v>
      </c>
      <c r="P337" s="22">
        <v>720</v>
      </c>
      <c r="Q337" s="22">
        <v>42</v>
      </c>
      <c r="R337" s="22" t="s">
        <v>2683</v>
      </c>
      <c r="S337" s="47" t="s">
        <v>1576</v>
      </c>
      <c r="T337" s="4" t="s">
        <v>404</v>
      </c>
      <c r="U337" s="88">
        <v>41039</v>
      </c>
      <c r="V337" s="4" t="s">
        <v>406</v>
      </c>
      <c r="W337" s="89"/>
      <c r="X337" s="74"/>
      <c r="Y337" s="28" t="e">
        <v>#REF!</v>
      </c>
      <c r="Z337" s="28"/>
      <c r="AA337" s="24" t="s">
        <v>393</v>
      </c>
      <c r="AB337" s="28">
        <v>40968</v>
      </c>
    </row>
    <row r="338" spans="1:28" s="4" customFormat="1" ht="14.25" customHeight="1" x14ac:dyDescent="0.4">
      <c r="A338">
        <v>317</v>
      </c>
      <c r="B338" s="22">
        <v>0</v>
      </c>
      <c r="C338" s="22">
        <v>0</v>
      </c>
      <c r="D338" s="22">
        <v>0</v>
      </c>
      <c r="E338" s="24">
        <v>40968</v>
      </c>
      <c r="F338" s="24" t="s">
        <v>393</v>
      </c>
      <c r="G338" s="24">
        <v>40982</v>
      </c>
      <c r="H338" s="23">
        <v>491</v>
      </c>
      <c r="I338" s="23">
        <v>40940</v>
      </c>
      <c r="J338" s="37">
        <v>61</v>
      </c>
      <c r="K338" s="24" t="s">
        <v>550</v>
      </c>
      <c r="L338" s="24">
        <v>40969</v>
      </c>
      <c r="M338" s="24">
        <v>40672</v>
      </c>
      <c r="N338" s="22" t="s">
        <v>576</v>
      </c>
      <c r="O338" s="4">
        <v>9120051</v>
      </c>
      <c r="P338" s="22">
        <v>720</v>
      </c>
      <c r="Q338" s="22">
        <v>42</v>
      </c>
      <c r="R338" s="22" t="s">
        <v>2684</v>
      </c>
      <c r="S338" s="47" t="s">
        <v>447</v>
      </c>
      <c r="T338" s="4" t="s">
        <v>404</v>
      </c>
      <c r="U338" s="88">
        <v>40983</v>
      </c>
      <c r="V338" s="4" t="s">
        <v>406</v>
      </c>
      <c r="W338" s="89"/>
      <c r="X338" s="74"/>
      <c r="Y338" s="28" t="e">
        <v>#REF!</v>
      </c>
      <c r="Z338" s="9"/>
      <c r="AA338" s="24" t="s">
        <v>393</v>
      </c>
      <c r="AB338" s="28">
        <v>40982</v>
      </c>
    </row>
    <row r="339" spans="1:28" ht="14.25" customHeight="1" x14ac:dyDescent="0.4">
      <c r="A339">
        <v>318</v>
      </c>
      <c r="B339" s="22">
        <v>0</v>
      </c>
      <c r="C339" s="22" t="s">
        <v>2165</v>
      </c>
      <c r="D339" s="22">
        <v>0</v>
      </c>
      <c r="E339" s="24">
        <v>40968</v>
      </c>
      <c r="F339" s="24" t="s">
        <v>393</v>
      </c>
      <c r="G339" s="24">
        <v>40976</v>
      </c>
      <c r="H339" s="23">
        <v>492</v>
      </c>
      <c r="I339" s="23">
        <v>40940</v>
      </c>
      <c r="J339" s="37">
        <v>62</v>
      </c>
      <c r="K339" s="24" t="s">
        <v>550</v>
      </c>
      <c r="L339" s="24">
        <v>40969</v>
      </c>
      <c r="M339" s="24">
        <v>40672</v>
      </c>
      <c r="N339" s="22" t="s">
        <v>576</v>
      </c>
      <c r="O339" s="4">
        <v>9120071</v>
      </c>
      <c r="P339" s="22">
        <v>720</v>
      </c>
      <c r="Q339" s="22">
        <v>42</v>
      </c>
      <c r="R339" s="22" t="s">
        <v>2685</v>
      </c>
      <c r="S339" s="47" t="s">
        <v>1681</v>
      </c>
      <c r="T339" s="4" t="s">
        <v>404</v>
      </c>
      <c r="U339" s="88">
        <v>41009</v>
      </c>
      <c r="V339" s="4" t="s">
        <v>406</v>
      </c>
      <c r="W339" s="89"/>
      <c r="X339" s="74"/>
      <c r="Y339" s="28" t="e">
        <v>#REF!</v>
      </c>
      <c r="Z339" s="9"/>
      <c r="AA339" s="24" t="s">
        <v>393</v>
      </c>
      <c r="AB339" s="28">
        <v>40976</v>
      </c>
    </row>
    <row r="340" spans="1:28" ht="14.25" customHeight="1" x14ac:dyDescent="0.4">
      <c r="A340">
        <v>319</v>
      </c>
      <c r="B340" s="22">
        <v>0</v>
      </c>
      <c r="C340" s="22" t="s">
        <v>2165</v>
      </c>
      <c r="D340" s="22">
        <v>0</v>
      </c>
      <c r="E340" s="24">
        <v>40969</v>
      </c>
      <c r="F340" s="24" t="s">
        <v>393</v>
      </c>
      <c r="G340" s="24">
        <v>40973</v>
      </c>
      <c r="H340" s="23">
        <v>493</v>
      </c>
      <c r="I340" s="23">
        <v>40940</v>
      </c>
      <c r="J340" s="37">
        <v>63</v>
      </c>
      <c r="K340" s="24" t="s">
        <v>550</v>
      </c>
      <c r="L340" s="24">
        <v>40969</v>
      </c>
      <c r="M340" s="24">
        <v>40672</v>
      </c>
      <c r="N340" s="22" t="s">
        <v>576</v>
      </c>
      <c r="O340" s="4">
        <v>9120072</v>
      </c>
      <c r="P340" s="22">
        <v>720</v>
      </c>
      <c r="Q340" s="22">
        <v>42</v>
      </c>
      <c r="R340" s="22" t="s">
        <v>2686</v>
      </c>
      <c r="S340" s="47"/>
      <c r="T340" s="4"/>
      <c r="U340" s="88"/>
      <c r="V340" s="4"/>
      <c r="W340" s="89"/>
      <c r="X340" s="74"/>
      <c r="Y340" s="28" t="e">
        <v>#REF!</v>
      </c>
      <c r="Z340" s="9"/>
      <c r="AA340" s="24" t="s">
        <v>393</v>
      </c>
      <c r="AB340" s="28">
        <v>40973</v>
      </c>
    </row>
    <row r="341" spans="1:28" s="4" customFormat="1" ht="14.25" customHeight="1" x14ac:dyDescent="0.4">
      <c r="A341">
        <v>320</v>
      </c>
      <c r="B341" s="22">
        <v>0</v>
      </c>
      <c r="C341" s="22" t="s">
        <v>2102</v>
      </c>
      <c r="D341" s="22">
        <v>0</v>
      </c>
      <c r="E341" s="24">
        <v>40969</v>
      </c>
      <c r="F341" s="24" t="s">
        <v>393</v>
      </c>
      <c r="G341" s="24">
        <v>40980</v>
      </c>
      <c r="H341" s="23">
        <v>494</v>
      </c>
      <c r="I341" s="23">
        <v>40969</v>
      </c>
      <c r="J341" s="37">
        <v>1</v>
      </c>
      <c r="K341" s="24" t="s">
        <v>550</v>
      </c>
      <c r="L341" s="24">
        <v>40969</v>
      </c>
      <c r="M341" s="24">
        <v>40672</v>
      </c>
      <c r="N341" s="22" t="s">
        <v>576</v>
      </c>
      <c r="O341" s="4">
        <v>9120075</v>
      </c>
      <c r="P341" s="22">
        <v>720</v>
      </c>
      <c r="Q341" s="22">
        <v>50</v>
      </c>
      <c r="R341" s="22" t="s">
        <v>2687</v>
      </c>
      <c r="S341" s="47" t="s">
        <v>448</v>
      </c>
      <c r="T341" s="4" t="s">
        <v>404</v>
      </c>
      <c r="U341" s="88">
        <v>40984</v>
      </c>
      <c r="V341" s="4" t="s">
        <v>406</v>
      </c>
      <c r="W341" s="89"/>
      <c r="X341" s="74"/>
      <c r="Y341" s="28" t="e">
        <v>#REF!</v>
      </c>
      <c r="Z341" s="9"/>
      <c r="AA341" s="24" t="s">
        <v>393</v>
      </c>
      <c r="AB341" s="28">
        <v>40980</v>
      </c>
    </row>
    <row r="342" spans="1:28" s="4" customFormat="1" ht="14.25" customHeight="1" x14ac:dyDescent="0.4">
      <c r="A342">
        <v>321</v>
      </c>
      <c r="B342" s="24">
        <v>41023</v>
      </c>
      <c r="C342" s="24">
        <v>41023</v>
      </c>
      <c r="D342" s="24">
        <v>41023</v>
      </c>
      <c r="E342" s="24">
        <v>41023</v>
      </c>
      <c r="F342" s="24" t="s">
        <v>393</v>
      </c>
      <c r="G342" s="24">
        <v>41029</v>
      </c>
      <c r="H342" s="23">
        <v>564</v>
      </c>
      <c r="I342" s="23">
        <v>41000</v>
      </c>
      <c r="J342" s="37">
        <v>23</v>
      </c>
      <c r="K342" s="24" t="s">
        <v>550</v>
      </c>
      <c r="L342" s="24">
        <v>41000</v>
      </c>
      <c r="M342" s="24">
        <v>40672</v>
      </c>
      <c r="N342" s="22" t="s">
        <v>576</v>
      </c>
      <c r="O342" s="4">
        <v>9120076</v>
      </c>
      <c r="P342" s="22">
        <v>720</v>
      </c>
      <c r="Q342" s="22">
        <v>50</v>
      </c>
      <c r="R342" s="22" t="s">
        <v>2688</v>
      </c>
      <c r="S342" s="47"/>
      <c r="U342" s="88"/>
      <c r="W342" s="89"/>
      <c r="X342" s="75"/>
      <c r="Y342" s="28" t="e">
        <v>#REF!</v>
      </c>
      <c r="Z342" s="1"/>
      <c r="AA342" s="24" t="s">
        <v>393</v>
      </c>
      <c r="AB342" s="28">
        <v>41029</v>
      </c>
    </row>
    <row r="343" spans="1:28" s="4" customFormat="1" ht="14.25" customHeight="1" x14ac:dyDescent="0.4">
      <c r="A343">
        <v>322</v>
      </c>
      <c r="B343" s="24">
        <v>41017</v>
      </c>
      <c r="C343" s="24">
        <v>41017</v>
      </c>
      <c r="D343" s="24">
        <v>41017</v>
      </c>
      <c r="E343" s="24">
        <v>41017</v>
      </c>
      <c r="F343" s="24" t="s">
        <v>393</v>
      </c>
      <c r="G343" s="24">
        <v>41025</v>
      </c>
      <c r="H343" s="23">
        <v>555</v>
      </c>
      <c r="I343" s="23">
        <v>41000</v>
      </c>
      <c r="J343" s="37">
        <v>14</v>
      </c>
      <c r="K343" s="24" t="s">
        <v>550</v>
      </c>
      <c r="L343" s="24">
        <v>41000</v>
      </c>
      <c r="M343" s="24">
        <v>40676</v>
      </c>
      <c r="N343" s="22" t="s">
        <v>576</v>
      </c>
      <c r="O343" s="4">
        <v>9120323</v>
      </c>
      <c r="P343" s="22">
        <v>720</v>
      </c>
      <c r="Q343" s="22">
        <v>42</v>
      </c>
      <c r="R343" s="22">
        <v>0</v>
      </c>
      <c r="S343" s="47" t="s">
        <v>902</v>
      </c>
      <c r="T343" s="4" t="s">
        <v>404</v>
      </c>
      <c r="U343" s="88">
        <v>41039</v>
      </c>
      <c r="V343" s="4" t="s">
        <v>406</v>
      </c>
      <c r="W343" s="89"/>
      <c r="X343" s="75"/>
      <c r="Y343" s="28" t="e">
        <v>#REF!</v>
      </c>
      <c r="Z343" s="1"/>
      <c r="AA343" s="24" t="s">
        <v>393</v>
      </c>
      <c r="AB343" s="28">
        <v>41025</v>
      </c>
    </row>
    <row r="344" spans="1:28" s="4" customFormat="1" ht="14.25" customHeight="1" x14ac:dyDescent="0.4">
      <c r="A344">
        <v>323</v>
      </c>
      <c r="B344" s="24">
        <v>41017</v>
      </c>
      <c r="C344" s="24">
        <v>41017</v>
      </c>
      <c r="D344" s="24">
        <v>41017</v>
      </c>
      <c r="E344" s="24">
        <v>41017</v>
      </c>
      <c r="F344" s="24" t="s">
        <v>393</v>
      </c>
      <c r="G344" s="24">
        <v>41050</v>
      </c>
      <c r="H344" s="23">
        <v>556</v>
      </c>
      <c r="I344" s="23">
        <v>41000</v>
      </c>
      <c r="J344" s="37">
        <v>15</v>
      </c>
      <c r="K344" s="24" t="s">
        <v>550</v>
      </c>
      <c r="L344" s="24">
        <v>41000</v>
      </c>
      <c r="M344" s="24">
        <v>40676</v>
      </c>
      <c r="N344" s="22" t="s">
        <v>576</v>
      </c>
      <c r="O344" s="4">
        <v>9120324</v>
      </c>
      <c r="P344" s="22">
        <v>720</v>
      </c>
      <c r="Q344" s="22">
        <v>42</v>
      </c>
      <c r="R344" s="22" t="s">
        <v>1742</v>
      </c>
      <c r="S344" s="47" t="s">
        <v>2142</v>
      </c>
      <c r="T344" s="4" t="s">
        <v>404</v>
      </c>
      <c r="U344" s="88">
        <v>41046</v>
      </c>
      <c r="W344" s="89"/>
      <c r="X344" s="75"/>
      <c r="Y344" s="28" t="e">
        <v>#REF!</v>
      </c>
      <c r="Z344" s="1"/>
      <c r="AA344" s="24" t="s">
        <v>393</v>
      </c>
      <c r="AB344" s="28">
        <v>41050</v>
      </c>
    </row>
    <row r="345" spans="1:28" s="4" customFormat="1" ht="14.25" customHeight="1" x14ac:dyDescent="0.4">
      <c r="A345">
        <v>324</v>
      </c>
      <c r="B345" s="24">
        <v>40945</v>
      </c>
      <c r="C345" s="24">
        <v>40945</v>
      </c>
      <c r="D345" s="24">
        <v>40945</v>
      </c>
      <c r="E345" s="24">
        <v>40945</v>
      </c>
      <c r="F345" s="24" t="s">
        <v>393</v>
      </c>
      <c r="G345" s="24">
        <v>40952</v>
      </c>
      <c r="H345" s="23">
        <v>444</v>
      </c>
      <c r="I345" s="23">
        <v>40940</v>
      </c>
      <c r="J345" s="37">
        <v>14</v>
      </c>
      <c r="K345" s="24" t="s">
        <v>550</v>
      </c>
      <c r="L345" s="24">
        <v>0</v>
      </c>
      <c r="M345" s="24">
        <v>40773</v>
      </c>
      <c r="N345" s="22" t="s">
        <v>576</v>
      </c>
      <c r="O345" s="4">
        <v>9120459</v>
      </c>
      <c r="P345" s="22">
        <v>1020</v>
      </c>
      <c r="Q345" s="22">
        <v>50</v>
      </c>
      <c r="R345" s="22">
        <v>0</v>
      </c>
      <c r="S345" s="47"/>
      <c r="U345" s="88"/>
      <c r="W345" s="89"/>
      <c r="X345" s="75"/>
      <c r="Y345" s="28" t="e">
        <v>#REF!</v>
      </c>
      <c r="Z345" s="1"/>
      <c r="AA345" s="24" t="s">
        <v>393</v>
      </c>
      <c r="AB345" s="28">
        <v>40952</v>
      </c>
    </row>
    <row r="346" spans="1:28" s="4" customFormat="1" ht="14.25" customHeight="1" x14ac:dyDescent="0.4">
      <c r="A346">
        <v>325</v>
      </c>
      <c r="B346" s="24">
        <v>40945</v>
      </c>
      <c r="C346" s="24">
        <v>40945</v>
      </c>
      <c r="D346" s="24">
        <v>40945</v>
      </c>
      <c r="E346" s="24">
        <v>40945</v>
      </c>
      <c r="F346" s="24" t="s">
        <v>393</v>
      </c>
      <c r="G346" s="24">
        <v>40959</v>
      </c>
      <c r="H346" s="23">
        <v>445</v>
      </c>
      <c r="I346" s="23">
        <v>40940</v>
      </c>
      <c r="J346" s="37">
        <v>15</v>
      </c>
      <c r="K346" s="24" t="s">
        <v>550</v>
      </c>
      <c r="L346" s="24">
        <v>0</v>
      </c>
      <c r="M346" s="24">
        <v>40773</v>
      </c>
      <c r="N346" s="22" t="s">
        <v>576</v>
      </c>
      <c r="O346" s="4">
        <v>9120460</v>
      </c>
      <c r="P346" s="22">
        <v>1020</v>
      </c>
      <c r="Q346" s="22">
        <v>50</v>
      </c>
      <c r="R346" s="22">
        <v>0</v>
      </c>
      <c r="S346" s="47"/>
      <c r="U346" s="88"/>
      <c r="W346" s="89"/>
      <c r="X346" s="75"/>
      <c r="Y346" s="28" t="e">
        <v>#REF!</v>
      </c>
      <c r="Z346" s="1"/>
      <c r="AA346" s="24" t="s">
        <v>393</v>
      </c>
      <c r="AB346" s="28">
        <v>40959</v>
      </c>
    </row>
    <row r="347" spans="1:28" s="4" customFormat="1" ht="14.25" customHeight="1" x14ac:dyDescent="0.4">
      <c r="A347">
        <v>330</v>
      </c>
      <c r="B347" s="24">
        <v>40822</v>
      </c>
      <c r="C347" s="24">
        <v>40822</v>
      </c>
      <c r="D347" s="24">
        <v>40822</v>
      </c>
      <c r="E347" s="24">
        <v>40822</v>
      </c>
      <c r="F347" s="24" t="s">
        <v>393</v>
      </c>
      <c r="G347" s="24">
        <v>40835</v>
      </c>
      <c r="H347" s="37">
        <v>194</v>
      </c>
      <c r="I347" s="23">
        <v>40817</v>
      </c>
      <c r="J347" s="37">
        <v>7</v>
      </c>
      <c r="K347" s="24" t="s">
        <v>550</v>
      </c>
      <c r="L347" s="24">
        <v>40817</v>
      </c>
      <c r="M347" s="24">
        <v>40672</v>
      </c>
      <c r="N347" s="22" t="s">
        <v>576</v>
      </c>
      <c r="O347" s="4">
        <v>9120036</v>
      </c>
      <c r="P347" s="22">
        <v>720</v>
      </c>
      <c r="Q347" s="22">
        <v>50</v>
      </c>
      <c r="R347" s="171" t="s">
        <v>1995</v>
      </c>
      <c r="S347" s="47"/>
      <c r="U347" s="88"/>
      <c r="W347" s="89"/>
      <c r="X347" s="74"/>
      <c r="Y347" s="28" t="e">
        <v>#REF!</v>
      </c>
      <c r="Z347" s="9"/>
      <c r="AA347" s="24" t="s">
        <v>393</v>
      </c>
      <c r="AB347" s="28">
        <v>40835</v>
      </c>
    </row>
    <row r="348" spans="1:28" s="4" customFormat="1" ht="14.25" customHeight="1" x14ac:dyDescent="0.4">
      <c r="A348">
        <v>326</v>
      </c>
      <c r="B348" s="24">
        <v>40767</v>
      </c>
      <c r="C348" s="24">
        <v>40767</v>
      </c>
      <c r="D348" s="24">
        <v>40767</v>
      </c>
      <c r="E348" s="24">
        <v>40767</v>
      </c>
      <c r="F348" s="24" t="s">
        <v>393</v>
      </c>
      <c r="G348" s="24">
        <v>40771</v>
      </c>
      <c r="H348" s="23">
        <v>82</v>
      </c>
      <c r="I348" s="23">
        <v>40756</v>
      </c>
      <c r="J348" s="37">
        <v>27</v>
      </c>
      <c r="K348" s="24" t="s">
        <v>550</v>
      </c>
      <c r="L348" s="24">
        <v>40878</v>
      </c>
      <c r="M348" s="24">
        <v>40672</v>
      </c>
      <c r="N348" s="22" t="s">
        <v>576</v>
      </c>
      <c r="O348" s="4">
        <v>9120040</v>
      </c>
      <c r="P348" s="22">
        <v>1020</v>
      </c>
      <c r="Q348" s="22">
        <v>42</v>
      </c>
      <c r="R348" s="22" t="s">
        <v>2689</v>
      </c>
      <c r="S348" s="47" t="s">
        <v>1205</v>
      </c>
      <c r="T348" s="4" t="s">
        <v>404</v>
      </c>
      <c r="U348" s="88">
        <v>41023</v>
      </c>
      <c r="V348" s="4" t="s">
        <v>406</v>
      </c>
      <c r="W348" s="89"/>
      <c r="X348" s="74">
        <v>0</v>
      </c>
      <c r="Y348" s="28" t="e">
        <v>#REF!</v>
      </c>
      <c r="Z348" s="9"/>
      <c r="AA348" s="24" t="s">
        <v>393</v>
      </c>
      <c r="AB348" s="28">
        <v>40771</v>
      </c>
    </row>
    <row r="349" spans="1:28" s="4" customFormat="1" ht="14.25" customHeight="1" x14ac:dyDescent="0.4">
      <c r="A349">
        <v>332</v>
      </c>
      <c r="B349" s="22">
        <v>0</v>
      </c>
      <c r="C349" s="22" t="s">
        <v>2165</v>
      </c>
      <c r="D349" s="22">
        <v>0</v>
      </c>
      <c r="E349" s="24">
        <v>40875</v>
      </c>
      <c r="F349" s="24" t="s">
        <v>393</v>
      </c>
      <c r="G349" s="24">
        <v>40877</v>
      </c>
      <c r="H349" s="37">
        <v>306</v>
      </c>
      <c r="I349" s="23">
        <v>40848</v>
      </c>
      <c r="J349" s="37">
        <v>55</v>
      </c>
      <c r="K349" s="24" t="s">
        <v>550</v>
      </c>
      <c r="L349" s="24">
        <v>40848</v>
      </c>
      <c r="M349" s="24">
        <v>40672</v>
      </c>
      <c r="N349" s="22" t="s">
        <v>576</v>
      </c>
      <c r="O349" s="4">
        <v>9120039</v>
      </c>
      <c r="P349" s="22">
        <v>1020</v>
      </c>
      <c r="Q349" s="22">
        <v>42</v>
      </c>
      <c r="R349" s="173" t="s">
        <v>904</v>
      </c>
      <c r="S349" s="47" t="s">
        <v>903</v>
      </c>
      <c r="T349" s="4" t="s">
        <v>404</v>
      </c>
      <c r="U349" s="88">
        <v>41039</v>
      </c>
      <c r="V349" s="4" t="s">
        <v>406</v>
      </c>
      <c r="W349" s="89"/>
      <c r="X349" s="74"/>
      <c r="Y349" s="28" t="e">
        <v>#REF!</v>
      </c>
      <c r="Z349" s="9"/>
      <c r="AA349" s="24" t="s">
        <v>393</v>
      </c>
      <c r="AB349" s="28">
        <v>40877</v>
      </c>
    </row>
    <row r="350" spans="1:28" s="4" customFormat="1" ht="14.25" customHeight="1" x14ac:dyDescent="0.4">
      <c r="A350">
        <v>598</v>
      </c>
      <c r="B350" s="22">
        <v>0</v>
      </c>
      <c r="C350" s="22" t="s">
        <v>2165</v>
      </c>
      <c r="D350" s="22">
        <v>0</v>
      </c>
      <c r="E350" s="24">
        <v>41051</v>
      </c>
      <c r="F350" s="24" t="s">
        <v>393</v>
      </c>
      <c r="G350" s="24">
        <v>41064</v>
      </c>
      <c r="H350" s="37">
        <v>591</v>
      </c>
      <c r="I350" s="23">
        <v>41061</v>
      </c>
      <c r="J350" s="37">
        <v>1</v>
      </c>
      <c r="K350" s="24" t="s">
        <v>550</v>
      </c>
      <c r="L350" s="24">
        <v>0</v>
      </c>
      <c r="M350" s="24">
        <v>41043</v>
      </c>
      <c r="N350" s="22" t="s">
        <v>576</v>
      </c>
      <c r="O350" s="4">
        <v>9120598</v>
      </c>
      <c r="P350" s="22">
        <v>1020</v>
      </c>
      <c r="Q350" s="22">
        <v>50</v>
      </c>
      <c r="R350" s="22" t="s">
        <v>2690</v>
      </c>
      <c r="S350" s="47" t="s">
        <v>2143</v>
      </c>
      <c r="T350" s="4" t="s">
        <v>404</v>
      </c>
      <c r="U350" s="88">
        <v>41045</v>
      </c>
      <c r="V350" s="4" t="s">
        <v>406</v>
      </c>
      <c r="W350" s="89"/>
      <c r="X350" s="75"/>
      <c r="Y350" s="1"/>
      <c r="Z350" s="1"/>
      <c r="AA350" s="24" t="s">
        <v>393</v>
      </c>
      <c r="AB350" s="28">
        <v>41064</v>
      </c>
    </row>
    <row r="351" spans="1:28" s="4" customFormat="1" ht="14.25" customHeight="1" x14ac:dyDescent="0.4">
      <c r="A351">
        <v>311</v>
      </c>
      <c r="B351" s="22">
        <v>0</v>
      </c>
      <c r="C351" s="22" t="s">
        <v>2165</v>
      </c>
      <c r="D351" s="22">
        <v>0</v>
      </c>
      <c r="E351" s="24">
        <v>40917</v>
      </c>
      <c r="F351" s="24" t="s">
        <v>392</v>
      </c>
      <c r="G351" s="24">
        <v>40926</v>
      </c>
      <c r="H351" s="37">
        <v>384</v>
      </c>
      <c r="I351" s="23">
        <v>40909</v>
      </c>
      <c r="J351" s="37">
        <v>17</v>
      </c>
      <c r="K351" s="24" t="s">
        <v>550</v>
      </c>
      <c r="L351" s="24">
        <v>40909</v>
      </c>
      <c r="M351" s="24">
        <v>40672</v>
      </c>
      <c r="N351" s="22" t="s">
        <v>286</v>
      </c>
      <c r="O351" s="4">
        <v>9120054</v>
      </c>
      <c r="P351" s="22">
        <v>720</v>
      </c>
      <c r="Q351" s="22">
        <v>42</v>
      </c>
      <c r="R351" s="22" t="s">
        <v>2691</v>
      </c>
      <c r="S351" s="47" t="s">
        <v>390</v>
      </c>
      <c r="T351" s="4" t="s">
        <v>404</v>
      </c>
      <c r="U351" s="88">
        <v>40869</v>
      </c>
      <c r="V351" s="4" t="s">
        <v>406</v>
      </c>
      <c r="W351" s="89">
        <v>40909</v>
      </c>
      <c r="X351" s="74"/>
      <c r="Y351" s="28" t="e">
        <v>#REF!</v>
      </c>
      <c r="Z351" s="9"/>
      <c r="AA351" s="24" t="s">
        <v>392</v>
      </c>
      <c r="AB351" s="28">
        <v>40926</v>
      </c>
    </row>
    <row r="352" spans="1:28" s="4" customFormat="1" ht="14.25" customHeight="1" x14ac:dyDescent="0.4">
      <c r="A352">
        <v>313</v>
      </c>
      <c r="B352" s="24">
        <v>40941</v>
      </c>
      <c r="C352" s="24">
        <v>40941</v>
      </c>
      <c r="D352" s="24">
        <v>40941</v>
      </c>
      <c r="E352" s="24">
        <v>40941</v>
      </c>
      <c r="F352" s="24" t="s">
        <v>393</v>
      </c>
      <c r="G352" s="24">
        <v>40948</v>
      </c>
      <c r="H352" s="23">
        <v>437</v>
      </c>
      <c r="I352" s="23">
        <v>40940</v>
      </c>
      <c r="J352" s="37">
        <v>7</v>
      </c>
      <c r="K352" s="24" t="s">
        <v>550</v>
      </c>
      <c r="L352" s="24">
        <v>40940</v>
      </c>
      <c r="M352" s="24">
        <v>40672</v>
      </c>
      <c r="N352" s="22" t="s">
        <v>286</v>
      </c>
      <c r="O352" s="4">
        <v>9120052</v>
      </c>
      <c r="P352" s="22">
        <v>720</v>
      </c>
      <c r="Q352" s="22">
        <v>42</v>
      </c>
      <c r="R352" s="171" t="s">
        <v>1994</v>
      </c>
      <c r="S352" s="47" t="s">
        <v>391</v>
      </c>
      <c r="T352" s="4" t="s">
        <v>404</v>
      </c>
      <c r="U352" s="88">
        <v>40997</v>
      </c>
      <c r="V352" s="4" t="s">
        <v>406</v>
      </c>
      <c r="W352" s="89"/>
      <c r="X352" s="75"/>
      <c r="Y352" s="28" t="e">
        <v>#REF!</v>
      </c>
      <c r="Z352" s="1"/>
      <c r="AA352" s="24" t="s">
        <v>393</v>
      </c>
      <c r="AB352" s="28">
        <v>40948</v>
      </c>
    </row>
    <row r="353" spans="1:28" s="4" customFormat="1" ht="14.25" customHeight="1" x14ac:dyDescent="0.4">
      <c r="A353">
        <v>327</v>
      </c>
      <c r="B353" s="22">
        <v>0</v>
      </c>
      <c r="C353" s="22">
        <v>0</v>
      </c>
      <c r="D353" s="22">
        <v>0</v>
      </c>
      <c r="E353" s="24">
        <v>40746</v>
      </c>
      <c r="F353" s="24" t="s">
        <v>393</v>
      </c>
      <c r="G353" s="24">
        <v>40753</v>
      </c>
      <c r="H353" s="37">
        <v>37</v>
      </c>
      <c r="I353" s="23">
        <v>40725</v>
      </c>
      <c r="J353" s="37">
        <v>37</v>
      </c>
      <c r="K353" s="24" t="s">
        <v>550</v>
      </c>
      <c r="L353" s="24">
        <v>40878</v>
      </c>
      <c r="M353" s="24">
        <v>40672</v>
      </c>
      <c r="N353" s="22" t="s">
        <v>286</v>
      </c>
      <c r="O353" s="4">
        <v>9120042</v>
      </c>
      <c r="P353" s="22">
        <v>1020</v>
      </c>
      <c r="Q353" s="22">
        <v>42</v>
      </c>
      <c r="R353" s="22" t="s">
        <v>2692</v>
      </c>
      <c r="S353" s="47" t="s">
        <v>386</v>
      </c>
      <c r="T353" s="4" t="s">
        <v>404</v>
      </c>
      <c r="U353" s="88">
        <v>41060</v>
      </c>
      <c r="V353" s="4" t="s">
        <v>406</v>
      </c>
      <c r="W353" s="89"/>
      <c r="X353" s="74"/>
      <c r="Y353" s="28" t="e">
        <v>#REF!</v>
      </c>
      <c r="Z353" s="9"/>
      <c r="AA353" s="24" t="s">
        <v>393</v>
      </c>
      <c r="AB353" s="28">
        <v>40753</v>
      </c>
    </row>
    <row r="354" spans="1:28" s="4" customFormat="1" ht="14.25" customHeight="1" x14ac:dyDescent="0.4">
      <c r="A354">
        <v>328</v>
      </c>
      <c r="B354" s="22">
        <v>0</v>
      </c>
      <c r="C354" s="22" t="s">
        <v>2102</v>
      </c>
      <c r="D354" s="22">
        <v>0</v>
      </c>
      <c r="E354" s="24">
        <v>40792</v>
      </c>
      <c r="F354" s="24" t="s">
        <v>393</v>
      </c>
      <c r="G354" s="24">
        <v>40795</v>
      </c>
      <c r="H354" s="37">
        <v>129</v>
      </c>
      <c r="I354" s="23">
        <v>40787</v>
      </c>
      <c r="J354" s="37">
        <v>5</v>
      </c>
      <c r="K354" s="24" t="s">
        <v>550</v>
      </c>
      <c r="L354" s="24">
        <v>40787</v>
      </c>
      <c r="M354" s="24">
        <v>40672</v>
      </c>
      <c r="N354" s="22" t="s">
        <v>286</v>
      </c>
      <c r="O354" s="4">
        <v>9120035</v>
      </c>
      <c r="P354" s="22">
        <v>720</v>
      </c>
      <c r="Q354" s="22">
        <v>42</v>
      </c>
      <c r="R354" s="22" t="s">
        <v>2693</v>
      </c>
      <c r="S354" s="47" t="s">
        <v>1041</v>
      </c>
      <c r="T354" s="4" t="s">
        <v>404</v>
      </c>
      <c r="U354" s="88">
        <v>40969</v>
      </c>
      <c r="V354" s="4" t="s">
        <v>406</v>
      </c>
      <c r="W354" s="89"/>
      <c r="X354" s="74"/>
      <c r="Y354" s="28" t="e">
        <v>#REF!</v>
      </c>
      <c r="Z354" s="28"/>
      <c r="AA354" s="24" t="s">
        <v>393</v>
      </c>
      <c r="AB354" s="28">
        <v>40795</v>
      </c>
    </row>
    <row r="355" spans="1:28" s="4" customFormat="1" ht="14.25" customHeight="1" x14ac:dyDescent="0.4">
      <c r="A355">
        <v>329</v>
      </c>
      <c r="B355" s="22">
        <v>0</v>
      </c>
      <c r="C355" s="22" t="s">
        <v>2165</v>
      </c>
      <c r="D355" s="22">
        <v>0</v>
      </c>
      <c r="E355" s="24">
        <v>40792</v>
      </c>
      <c r="F355" s="24" t="s">
        <v>393</v>
      </c>
      <c r="G355" s="24">
        <v>40816</v>
      </c>
      <c r="H355" s="37">
        <v>130</v>
      </c>
      <c r="I355" s="23">
        <v>40787</v>
      </c>
      <c r="J355" s="37">
        <v>6</v>
      </c>
      <c r="K355" s="24" t="s">
        <v>550</v>
      </c>
      <c r="L355" s="24">
        <v>40787</v>
      </c>
      <c r="M355" s="24">
        <v>40672</v>
      </c>
      <c r="N355" s="22" t="s">
        <v>286</v>
      </c>
      <c r="O355" s="4">
        <v>9120041</v>
      </c>
      <c r="P355" s="22">
        <v>1020</v>
      </c>
      <c r="Q355" s="22">
        <v>42</v>
      </c>
      <c r="R355" s="22" t="s">
        <v>2694</v>
      </c>
      <c r="S355" s="47" t="s">
        <v>2144</v>
      </c>
      <c r="T355" s="4" t="s">
        <v>404</v>
      </c>
      <c r="U355" s="88">
        <v>41046</v>
      </c>
      <c r="W355" s="89"/>
      <c r="X355" s="74"/>
      <c r="Y355" s="28" t="e">
        <v>#REF!</v>
      </c>
      <c r="Z355" s="28"/>
      <c r="AA355" s="24" t="s">
        <v>393</v>
      </c>
      <c r="AB355" s="28">
        <v>40816</v>
      </c>
    </row>
    <row r="356" spans="1:28" s="4" customFormat="1" ht="14.25" customHeight="1" x14ac:dyDescent="0.4">
      <c r="A356">
        <v>331</v>
      </c>
      <c r="B356" s="22">
        <v>0</v>
      </c>
      <c r="C356" s="22">
        <v>0</v>
      </c>
      <c r="D356" s="22">
        <v>0</v>
      </c>
      <c r="E356" s="24">
        <v>40875</v>
      </c>
      <c r="F356" s="24" t="s">
        <v>393</v>
      </c>
      <c r="G356" s="24">
        <v>40882</v>
      </c>
      <c r="H356" s="37">
        <v>305</v>
      </c>
      <c r="I356" s="23">
        <v>40848</v>
      </c>
      <c r="J356" s="37">
        <v>54</v>
      </c>
      <c r="K356" s="24" t="s">
        <v>550</v>
      </c>
      <c r="L356" s="24">
        <v>40848</v>
      </c>
      <c r="M356" s="24">
        <v>40672</v>
      </c>
      <c r="N356" s="22" t="s">
        <v>286</v>
      </c>
      <c r="O356" s="4">
        <v>9120037</v>
      </c>
      <c r="P356" s="22">
        <v>720</v>
      </c>
      <c r="Q356" s="22">
        <v>42</v>
      </c>
      <c r="R356" s="22" t="s">
        <v>2695</v>
      </c>
      <c r="S356" s="47" t="s">
        <v>2145</v>
      </c>
      <c r="T356" s="4" t="s">
        <v>404</v>
      </c>
      <c r="U356" s="88">
        <v>40844</v>
      </c>
      <c r="V356" s="4" t="s">
        <v>404</v>
      </c>
      <c r="W356" s="89">
        <v>40878</v>
      </c>
      <c r="X356" s="84"/>
      <c r="Y356" s="28" t="e">
        <v>#REF!</v>
      </c>
      <c r="Z356" s="28"/>
      <c r="AA356" s="24" t="s">
        <v>393</v>
      </c>
      <c r="AB356" s="28">
        <v>40882</v>
      </c>
    </row>
    <row r="357" spans="1:28" s="4" customFormat="1" ht="14.25" customHeight="1" x14ac:dyDescent="0.4">
      <c r="A357">
        <v>333</v>
      </c>
      <c r="B357" s="22">
        <v>0</v>
      </c>
      <c r="C357" s="22" t="s">
        <v>2165</v>
      </c>
      <c r="D357" s="22">
        <v>0</v>
      </c>
      <c r="E357" s="24">
        <v>40959</v>
      </c>
      <c r="F357" s="24" t="s">
        <v>392</v>
      </c>
      <c r="G357" s="24">
        <v>40966</v>
      </c>
      <c r="H357" s="37">
        <v>471</v>
      </c>
      <c r="I357" s="23">
        <v>40940</v>
      </c>
      <c r="J357" s="37">
        <v>41</v>
      </c>
      <c r="K357" s="24" t="s">
        <v>550</v>
      </c>
      <c r="L357" s="24">
        <v>40878</v>
      </c>
      <c r="M357" s="24">
        <v>40672</v>
      </c>
      <c r="N357" s="22" t="s">
        <v>286</v>
      </c>
      <c r="O357" s="4">
        <v>9120038</v>
      </c>
      <c r="P357" s="22">
        <v>720</v>
      </c>
      <c r="Q357" s="22">
        <v>50</v>
      </c>
      <c r="R357" s="22" t="s">
        <v>2696</v>
      </c>
      <c r="T357" s="4" t="s">
        <v>404</v>
      </c>
      <c r="U357" s="44">
        <v>41061</v>
      </c>
      <c r="V357" s="4" t="s">
        <v>406</v>
      </c>
      <c r="W357" s="127"/>
      <c r="X357" s="75"/>
      <c r="Y357" s="28" t="e">
        <v>#REF!</v>
      </c>
      <c r="Z357" s="9"/>
      <c r="AA357" s="24" t="s">
        <v>392</v>
      </c>
      <c r="AB357" s="28">
        <v>40966</v>
      </c>
    </row>
    <row r="358" spans="1:28" s="4" customFormat="1" ht="14.25" customHeight="1" x14ac:dyDescent="0.4">
      <c r="A358">
        <v>334</v>
      </c>
      <c r="B358" s="22">
        <v>0</v>
      </c>
      <c r="C358" s="22" t="s">
        <v>2165</v>
      </c>
      <c r="D358" s="22">
        <v>0</v>
      </c>
      <c r="E358" s="24">
        <v>40786</v>
      </c>
      <c r="F358" s="24" t="s">
        <v>393</v>
      </c>
      <c r="G358" s="24">
        <v>40805</v>
      </c>
      <c r="H358" s="37">
        <v>119</v>
      </c>
      <c r="I358" s="23">
        <v>40756</v>
      </c>
      <c r="J358" s="37">
        <v>64</v>
      </c>
      <c r="K358" s="24" t="s">
        <v>411</v>
      </c>
      <c r="L358" s="24">
        <v>40756</v>
      </c>
      <c r="M358" s="24">
        <v>40667</v>
      </c>
      <c r="N358" s="22" t="s">
        <v>1412</v>
      </c>
      <c r="O358" s="4">
        <v>9120309</v>
      </c>
      <c r="P358" s="22">
        <v>1020</v>
      </c>
      <c r="Q358" s="22">
        <v>50</v>
      </c>
      <c r="R358" s="22" t="s">
        <v>2697</v>
      </c>
      <c r="S358" s="1" t="s">
        <v>1648</v>
      </c>
      <c r="U358" s="94"/>
      <c r="W358" s="92"/>
      <c r="X358" s="74"/>
      <c r="Y358" s="28" t="e">
        <v>#REF!</v>
      </c>
      <c r="Z358" s="28"/>
      <c r="AA358" s="24" t="s">
        <v>393</v>
      </c>
      <c r="AB358" s="28">
        <v>40805</v>
      </c>
    </row>
    <row r="359" spans="1:28" s="4" customFormat="1" ht="14.25" customHeight="1" x14ac:dyDescent="0.4">
      <c r="A359">
        <v>335</v>
      </c>
      <c r="B359" s="22">
        <v>0</v>
      </c>
      <c r="C359" s="22" t="s">
        <v>2102</v>
      </c>
      <c r="D359" s="22">
        <v>0</v>
      </c>
      <c r="E359" s="24">
        <v>40786</v>
      </c>
      <c r="F359" s="24" t="s">
        <v>393</v>
      </c>
      <c r="G359" s="24">
        <v>40794</v>
      </c>
      <c r="H359" s="37">
        <v>120</v>
      </c>
      <c r="I359" s="23">
        <v>40756</v>
      </c>
      <c r="J359" s="37">
        <v>65</v>
      </c>
      <c r="K359" s="24" t="s">
        <v>411</v>
      </c>
      <c r="L359" s="24">
        <v>40756</v>
      </c>
      <c r="M359" s="24">
        <v>40667</v>
      </c>
      <c r="N359" s="22" t="s">
        <v>1412</v>
      </c>
      <c r="O359" s="4">
        <v>9120310</v>
      </c>
      <c r="P359" s="22">
        <v>1020</v>
      </c>
      <c r="Q359" s="22">
        <v>50</v>
      </c>
      <c r="R359" s="22" t="s">
        <v>2698</v>
      </c>
      <c r="S359" s="1" t="s">
        <v>1141</v>
      </c>
      <c r="T359" s="4" t="s">
        <v>404</v>
      </c>
      <c r="U359" s="94">
        <v>40834</v>
      </c>
      <c r="V359" s="4" t="s">
        <v>404</v>
      </c>
      <c r="W359" s="28" t="s">
        <v>1232</v>
      </c>
      <c r="X359" s="74"/>
      <c r="Y359" s="28" t="e">
        <v>#REF!</v>
      </c>
      <c r="Z359" s="28"/>
      <c r="AA359" s="24" t="s">
        <v>393</v>
      </c>
      <c r="AB359" s="28">
        <v>40794</v>
      </c>
    </row>
    <row r="360" spans="1:28" s="4" customFormat="1" ht="14.25" customHeight="1" x14ac:dyDescent="0.4">
      <c r="A360">
        <v>336</v>
      </c>
      <c r="B360" s="24">
        <v>40898</v>
      </c>
      <c r="C360" s="24">
        <v>40898</v>
      </c>
      <c r="D360" s="24">
        <v>40898</v>
      </c>
      <c r="E360" s="24">
        <v>40898</v>
      </c>
      <c r="F360" s="24" t="s">
        <v>393</v>
      </c>
      <c r="G360" s="24">
        <v>40906</v>
      </c>
      <c r="H360" s="23">
        <v>357</v>
      </c>
      <c r="I360" s="23">
        <v>40878</v>
      </c>
      <c r="J360" s="37">
        <v>47</v>
      </c>
      <c r="K360" s="24" t="s">
        <v>411</v>
      </c>
      <c r="L360" s="24">
        <v>0</v>
      </c>
      <c r="M360" s="24">
        <v>40833</v>
      </c>
      <c r="N360" s="22" t="s">
        <v>1412</v>
      </c>
      <c r="O360" s="4">
        <v>9120498</v>
      </c>
      <c r="P360" s="22">
        <v>1020</v>
      </c>
      <c r="Q360" s="22">
        <v>50</v>
      </c>
      <c r="R360" s="22" t="s">
        <v>2699</v>
      </c>
      <c r="S360" s="3" t="s">
        <v>608</v>
      </c>
      <c r="T360" s="4" t="s">
        <v>404</v>
      </c>
      <c r="U360" s="164">
        <v>41011</v>
      </c>
      <c r="V360" s="4" t="s">
        <v>404</v>
      </c>
      <c r="W360" s="28" t="s">
        <v>1232</v>
      </c>
      <c r="X360" s="75"/>
      <c r="Y360" s="28" t="e">
        <v>#REF!</v>
      </c>
      <c r="Z360" s="1"/>
      <c r="AA360" s="24" t="s">
        <v>393</v>
      </c>
      <c r="AB360" s="28">
        <v>40906</v>
      </c>
    </row>
    <row r="361" spans="1:28" s="4" customFormat="1" ht="14.25" customHeight="1" x14ac:dyDescent="0.4">
      <c r="A361">
        <v>337</v>
      </c>
      <c r="B361" s="24">
        <v>41003</v>
      </c>
      <c r="C361" s="24">
        <v>41003</v>
      </c>
      <c r="D361" s="24">
        <v>41003</v>
      </c>
      <c r="E361" s="24">
        <v>41003</v>
      </c>
      <c r="F361" s="24" t="s">
        <v>393</v>
      </c>
      <c r="G361" s="24">
        <v>41011</v>
      </c>
      <c r="H361" s="23">
        <v>538</v>
      </c>
      <c r="I361" s="23">
        <v>40969</v>
      </c>
      <c r="J361" s="37">
        <v>45</v>
      </c>
      <c r="K361" s="24" t="s">
        <v>411</v>
      </c>
      <c r="L361" s="24">
        <v>0</v>
      </c>
      <c r="M361" s="24">
        <v>40833</v>
      </c>
      <c r="N361" s="22" t="s">
        <v>1412</v>
      </c>
      <c r="O361" s="4">
        <v>9120499</v>
      </c>
      <c r="P361" s="22">
        <v>1220</v>
      </c>
      <c r="Q361" s="22">
        <v>50</v>
      </c>
      <c r="R361" s="22" t="s">
        <v>2700</v>
      </c>
      <c r="S361" s="1" t="s">
        <v>2061</v>
      </c>
      <c r="T361" s="4" t="s">
        <v>404</v>
      </c>
      <c r="U361" s="94">
        <v>40892</v>
      </c>
      <c r="V361" s="4" t="s">
        <v>404</v>
      </c>
      <c r="W361" s="28" t="s">
        <v>1232</v>
      </c>
      <c r="X361" s="75"/>
      <c r="Y361" s="28" t="e">
        <v>#REF!</v>
      </c>
      <c r="Z361" s="1"/>
      <c r="AA361" s="24" t="s">
        <v>393</v>
      </c>
      <c r="AB361" s="28">
        <v>41011</v>
      </c>
    </row>
    <row r="362" spans="1:28" s="4" customFormat="1" ht="14.25" customHeight="1" x14ac:dyDescent="0.4">
      <c r="A362">
        <v>338</v>
      </c>
      <c r="B362" s="24">
        <v>41008</v>
      </c>
      <c r="C362" s="24">
        <v>41008</v>
      </c>
      <c r="D362" s="24">
        <v>41008</v>
      </c>
      <c r="E362" s="24">
        <v>41008</v>
      </c>
      <c r="F362" s="24" t="s">
        <v>393</v>
      </c>
      <c r="G362" s="24">
        <v>41011</v>
      </c>
      <c r="H362" s="23">
        <v>540</v>
      </c>
      <c r="I362" s="23">
        <v>40969</v>
      </c>
      <c r="J362" s="37">
        <v>47</v>
      </c>
      <c r="K362" s="24" t="s">
        <v>411</v>
      </c>
      <c r="L362" s="24">
        <v>0</v>
      </c>
      <c r="M362" s="24">
        <v>40913</v>
      </c>
      <c r="N362" s="22" t="s">
        <v>1412</v>
      </c>
      <c r="O362" s="4">
        <v>9120537</v>
      </c>
      <c r="P362" s="22">
        <v>1220</v>
      </c>
      <c r="Q362" s="22">
        <v>50</v>
      </c>
      <c r="R362" s="22" t="s">
        <v>846</v>
      </c>
      <c r="S362" s="3" t="s">
        <v>1647</v>
      </c>
      <c r="T362" s="4" t="s">
        <v>404</v>
      </c>
      <c r="U362" s="94">
        <v>40892</v>
      </c>
      <c r="V362" s="4" t="s">
        <v>404</v>
      </c>
      <c r="W362" s="28" t="s">
        <v>1232</v>
      </c>
      <c r="X362" s="75"/>
      <c r="Y362" s="28" t="e">
        <v>#REF!</v>
      </c>
      <c r="Z362" s="1"/>
      <c r="AA362" s="24" t="s">
        <v>393</v>
      </c>
      <c r="AB362" s="28">
        <v>41011</v>
      </c>
    </row>
    <row r="363" spans="1:28" s="4" customFormat="1" ht="14.25" customHeight="1" x14ac:dyDescent="0.4">
      <c r="A363">
        <v>339</v>
      </c>
      <c r="B363" s="24">
        <v>40787</v>
      </c>
      <c r="C363" s="24">
        <v>40787</v>
      </c>
      <c r="D363" s="24">
        <v>40787</v>
      </c>
      <c r="E363" s="24">
        <v>40787</v>
      </c>
      <c r="F363" s="24" t="s">
        <v>393</v>
      </c>
      <c r="G363" s="24">
        <v>40794</v>
      </c>
      <c r="H363" s="23">
        <v>123</v>
      </c>
      <c r="I363" s="23">
        <v>40756</v>
      </c>
      <c r="J363" s="37">
        <v>68</v>
      </c>
      <c r="K363" s="24" t="s">
        <v>411</v>
      </c>
      <c r="L363" s="24">
        <v>0</v>
      </c>
      <c r="M363" s="24">
        <v>40730</v>
      </c>
      <c r="N363" s="22" t="s">
        <v>572</v>
      </c>
      <c r="O363" s="4">
        <v>9120438</v>
      </c>
      <c r="P363" s="22">
        <v>1020</v>
      </c>
      <c r="Q363" s="22">
        <v>50</v>
      </c>
      <c r="R363" s="22" t="s">
        <v>2701</v>
      </c>
      <c r="S363" s="3" t="s">
        <v>506</v>
      </c>
      <c r="T363" s="4" t="s">
        <v>404</v>
      </c>
      <c r="U363" s="94">
        <v>40928</v>
      </c>
      <c r="V363" s="4" t="s">
        <v>404</v>
      </c>
      <c r="W363" s="28" t="s">
        <v>1232</v>
      </c>
      <c r="X363" s="75"/>
      <c r="Y363" s="28" t="e">
        <v>#REF!</v>
      </c>
      <c r="Z363" s="1"/>
      <c r="AA363" s="24" t="s">
        <v>393</v>
      </c>
      <c r="AB363" s="28">
        <v>40794</v>
      </c>
    </row>
    <row r="364" spans="1:28" s="4" customFormat="1" ht="14.25" customHeight="1" x14ac:dyDescent="0.4">
      <c r="A364">
        <v>340</v>
      </c>
      <c r="B364" s="24">
        <v>40946</v>
      </c>
      <c r="C364" s="24">
        <v>40946</v>
      </c>
      <c r="D364" s="24">
        <v>40946</v>
      </c>
      <c r="E364" s="24">
        <v>40946</v>
      </c>
      <c r="F364" s="24" t="s">
        <v>393</v>
      </c>
      <c r="G364" s="24">
        <v>40955</v>
      </c>
      <c r="H364" s="23">
        <v>447</v>
      </c>
      <c r="I364" s="23">
        <v>40940</v>
      </c>
      <c r="J364" s="37">
        <v>17</v>
      </c>
      <c r="K364" s="24" t="s">
        <v>411</v>
      </c>
      <c r="L364" s="24">
        <v>0</v>
      </c>
      <c r="M364" s="24">
        <v>40730</v>
      </c>
      <c r="N364" s="22" t="s">
        <v>572</v>
      </c>
      <c r="O364" s="4">
        <v>9120439</v>
      </c>
      <c r="P364" s="22">
        <v>1220</v>
      </c>
      <c r="Q364" s="22">
        <v>50</v>
      </c>
      <c r="R364" s="22" t="s">
        <v>2702</v>
      </c>
      <c r="S364" s="3"/>
      <c r="U364" s="164"/>
      <c r="W364" s="1"/>
      <c r="X364" s="75"/>
      <c r="Y364" s="28" t="e">
        <v>#REF!</v>
      </c>
      <c r="Z364" s="1"/>
      <c r="AA364" s="24" t="s">
        <v>393</v>
      </c>
      <c r="AB364" s="28">
        <v>40955</v>
      </c>
    </row>
    <row r="365" spans="1:28" s="4" customFormat="1" ht="14.25" customHeight="1" x14ac:dyDescent="0.4">
      <c r="A365">
        <v>341</v>
      </c>
      <c r="B365" s="24">
        <v>40787</v>
      </c>
      <c r="C365" s="24">
        <v>40787</v>
      </c>
      <c r="D365" s="24">
        <v>40787</v>
      </c>
      <c r="E365" s="24">
        <v>40787</v>
      </c>
      <c r="F365" s="24" t="s">
        <v>393</v>
      </c>
      <c r="G365" s="24">
        <v>40807</v>
      </c>
      <c r="H365" s="23">
        <v>122</v>
      </c>
      <c r="I365" s="23">
        <v>40756</v>
      </c>
      <c r="J365" s="37">
        <v>67</v>
      </c>
      <c r="K365" s="24" t="s">
        <v>411</v>
      </c>
      <c r="L365" s="24">
        <v>0</v>
      </c>
      <c r="M365" s="24">
        <v>40738</v>
      </c>
      <c r="N365" s="22" t="s">
        <v>572</v>
      </c>
      <c r="O365" s="4">
        <v>9120441</v>
      </c>
      <c r="P365" s="22">
        <v>1020</v>
      </c>
      <c r="Q365" s="22">
        <v>50</v>
      </c>
      <c r="R365" s="22" t="s">
        <v>694</v>
      </c>
      <c r="S365" s="3" t="s">
        <v>442</v>
      </c>
      <c r="T365" s="4" t="s">
        <v>404</v>
      </c>
      <c r="U365" s="164">
        <v>41024</v>
      </c>
      <c r="V365" s="4" t="s">
        <v>404</v>
      </c>
      <c r="W365" s="28" t="s">
        <v>1232</v>
      </c>
      <c r="X365" s="75"/>
      <c r="Y365" s="28" t="e">
        <v>#REF!</v>
      </c>
      <c r="Z365" s="1"/>
      <c r="AA365" s="24" t="s">
        <v>393</v>
      </c>
      <c r="AB365" s="28">
        <v>40807</v>
      </c>
    </row>
    <row r="366" spans="1:28" s="4" customFormat="1" ht="14.25" customHeight="1" x14ac:dyDescent="0.4">
      <c r="A366">
        <v>342</v>
      </c>
      <c r="B366" s="24">
        <v>40904</v>
      </c>
      <c r="C366" s="24">
        <v>40904</v>
      </c>
      <c r="D366" s="24">
        <v>40904</v>
      </c>
      <c r="E366" s="24">
        <v>40904</v>
      </c>
      <c r="F366" s="24" t="s">
        <v>393</v>
      </c>
      <c r="G366" s="24">
        <v>40934</v>
      </c>
      <c r="H366" s="23">
        <v>363</v>
      </c>
      <c r="I366" s="23">
        <v>40878</v>
      </c>
      <c r="J366" s="37">
        <v>53</v>
      </c>
      <c r="K366" s="24" t="s">
        <v>411</v>
      </c>
      <c r="L366" s="24">
        <v>0</v>
      </c>
      <c r="M366" s="24">
        <v>40738</v>
      </c>
      <c r="N366" s="22" t="s">
        <v>572</v>
      </c>
      <c r="O366" s="4">
        <v>9120442</v>
      </c>
      <c r="P366" s="22">
        <v>1020</v>
      </c>
      <c r="Q366" s="22">
        <v>50</v>
      </c>
      <c r="R366" s="22" t="s">
        <v>2703</v>
      </c>
      <c r="S366" s="3" t="s">
        <v>2081</v>
      </c>
      <c r="T366" s="4" t="s">
        <v>404</v>
      </c>
      <c r="U366" s="94">
        <v>40767</v>
      </c>
      <c r="V366" s="4" t="s">
        <v>404</v>
      </c>
      <c r="W366" s="28" t="s">
        <v>1232</v>
      </c>
      <c r="X366" s="75"/>
      <c r="Y366" s="28" t="e">
        <v>#REF!</v>
      </c>
      <c r="Z366" s="1"/>
      <c r="AA366" s="24" t="s">
        <v>393</v>
      </c>
      <c r="AB366" s="28">
        <v>40934</v>
      </c>
    </row>
    <row r="367" spans="1:28" s="4" customFormat="1" ht="14.25" customHeight="1" x14ac:dyDescent="0.4">
      <c r="A367">
        <v>343</v>
      </c>
      <c r="B367" s="22">
        <v>0</v>
      </c>
      <c r="C367" s="22" t="s">
        <v>2165</v>
      </c>
      <c r="D367" s="22">
        <v>0</v>
      </c>
      <c r="E367" s="24">
        <v>40842</v>
      </c>
      <c r="F367" s="24" t="s">
        <v>393</v>
      </c>
      <c r="G367" s="24">
        <v>40844</v>
      </c>
      <c r="H367" s="37">
        <v>242</v>
      </c>
      <c r="I367" s="23">
        <v>40817</v>
      </c>
      <c r="J367" s="37">
        <v>55</v>
      </c>
      <c r="K367" s="24" t="s">
        <v>411</v>
      </c>
      <c r="L367" s="24">
        <v>40817</v>
      </c>
      <c r="M367" s="24">
        <v>40667</v>
      </c>
      <c r="N367" s="22" t="s">
        <v>604</v>
      </c>
      <c r="O367" s="4">
        <v>9120301</v>
      </c>
      <c r="P367" s="22">
        <v>1020</v>
      </c>
      <c r="Q367" s="22">
        <v>50</v>
      </c>
      <c r="R367" s="22" t="s">
        <v>694</v>
      </c>
      <c r="S367" s="102" t="s">
        <v>1033</v>
      </c>
      <c r="T367" s="4" t="s">
        <v>404</v>
      </c>
      <c r="U367" s="94">
        <v>40865</v>
      </c>
      <c r="V367" s="4" t="s">
        <v>404</v>
      </c>
      <c r="W367" s="28" t="s">
        <v>1232</v>
      </c>
      <c r="X367" s="75"/>
      <c r="Y367" s="28" t="e">
        <v>#REF!</v>
      </c>
      <c r="Z367" s="9"/>
      <c r="AA367" s="24" t="s">
        <v>393</v>
      </c>
      <c r="AB367" s="28">
        <v>40844</v>
      </c>
    </row>
    <row r="368" spans="1:28" s="4" customFormat="1" ht="14.25" customHeight="1" x14ac:dyDescent="0.4">
      <c r="A368">
        <v>344</v>
      </c>
      <c r="B368" s="22">
        <v>0</v>
      </c>
      <c r="C368" s="22" t="s">
        <v>2165</v>
      </c>
      <c r="D368" s="22">
        <v>0</v>
      </c>
      <c r="E368" s="24">
        <v>40830</v>
      </c>
      <c r="F368" s="24" t="s">
        <v>393</v>
      </c>
      <c r="G368" s="24">
        <v>40834</v>
      </c>
      <c r="H368" s="37">
        <v>213</v>
      </c>
      <c r="I368" s="23">
        <v>40817</v>
      </c>
      <c r="J368" s="37">
        <v>26</v>
      </c>
      <c r="K368" s="24" t="s">
        <v>411</v>
      </c>
      <c r="L368" s="24">
        <v>40817</v>
      </c>
      <c r="M368" s="24">
        <v>40667</v>
      </c>
      <c r="N368" s="22" t="s">
        <v>604</v>
      </c>
      <c r="O368" s="4">
        <v>9120302</v>
      </c>
      <c r="P368" s="22">
        <v>1020</v>
      </c>
      <c r="Q368" s="22">
        <v>42</v>
      </c>
      <c r="R368" s="22" t="s">
        <v>696</v>
      </c>
      <c r="S368" s="102" t="s">
        <v>1853</v>
      </c>
      <c r="T368" s="4" t="s">
        <v>404</v>
      </c>
      <c r="U368" s="94">
        <v>40821</v>
      </c>
      <c r="V368" s="4" t="s">
        <v>404</v>
      </c>
      <c r="W368" s="28" t="s">
        <v>1232</v>
      </c>
      <c r="X368" s="74"/>
      <c r="Y368" s="28" t="e">
        <v>#REF!</v>
      </c>
      <c r="Z368" s="28"/>
      <c r="AA368" s="24" t="s">
        <v>393</v>
      </c>
      <c r="AB368" s="28">
        <v>40834</v>
      </c>
    </row>
    <row r="369" spans="1:31" s="4" customFormat="1" ht="14.25" customHeight="1" x14ac:dyDescent="0.4">
      <c r="A369">
        <v>345</v>
      </c>
      <c r="B369" s="24">
        <v>40862</v>
      </c>
      <c r="C369" s="24">
        <v>40862</v>
      </c>
      <c r="D369" s="24">
        <v>40862</v>
      </c>
      <c r="E369" s="24">
        <v>40862</v>
      </c>
      <c r="F369" s="24" t="s">
        <v>393</v>
      </c>
      <c r="G369" s="24">
        <v>40877</v>
      </c>
      <c r="H369" s="37">
        <v>285</v>
      </c>
      <c r="I369" s="23">
        <v>40848</v>
      </c>
      <c r="J369" s="37">
        <v>34</v>
      </c>
      <c r="K369" s="24" t="s">
        <v>411</v>
      </c>
      <c r="L369" s="24">
        <v>40878</v>
      </c>
      <c r="M369" s="24">
        <v>40667</v>
      </c>
      <c r="N369" s="22" t="s">
        <v>604</v>
      </c>
      <c r="O369" s="4">
        <v>9120303</v>
      </c>
      <c r="P369" s="22">
        <v>1020</v>
      </c>
      <c r="Q369" s="22">
        <v>42</v>
      </c>
      <c r="R369" s="22" t="s">
        <v>698</v>
      </c>
      <c r="S369" s="4" t="s">
        <v>183</v>
      </c>
      <c r="T369" s="4" t="s">
        <v>404</v>
      </c>
      <c r="U369" s="44">
        <v>40982</v>
      </c>
      <c r="V369" s="4" t="s">
        <v>404</v>
      </c>
      <c r="W369" s="28" t="s">
        <v>1232</v>
      </c>
      <c r="X369" s="75"/>
      <c r="Y369" s="28" t="e">
        <v>#REF!</v>
      </c>
      <c r="Z369" s="28"/>
      <c r="AA369" s="24" t="s">
        <v>393</v>
      </c>
      <c r="AB369" s="28">
        <v>40877</v>
      </c>
    </row>
    <row r="370" spans="1:31" ht="14.25" customHeight="1" x14ac:dyDescent="0.4">
      <c r="A370">
        <v>346</v>
      </c>
      <c r="B370" s="24">
        <v>40898</v>
      </c>
      <c r="C370" s="24">
        <v>40898</v>
      </c>
      <c r="D370" s="24">
        <v>40898</v>
      </c>
      <c r="E370" s="24">
        <v>40898</v>
      </c>
      <c r="F370" s="24" t="s">
        <v>393</v>
      </c>
      <c r="G370" s="24">
        <v>40906</v>
      </c>
      <c r="H370" s="37">
        <v>358</v>
      </c>
      <c r="I370" s="23">
        <v>40878</v>
      </c>
      <c r="J370" s="37">
        <v>48</v>
      </c>
      <c r="K370" s="24" t="s">
        <v>411</v>
      </c>
      <c r="L370" s="24">
        <v>40878</v>
      </c>
      <c r="M370" s="24">
        <v>40667</v>
      </c>
      <c r="N370" s="22" t="s">
        <v>604</v>
      </c>
      <c r="O370" s="4">
        <v>9120304</v>
      </c>
      <c r="P370" s="22">
        <v>1220</v>
      </c>
      <c r="Q370" s="22">
        <v>50</v>
      </c>
      <c r="R370" s="22" t="s">
        <v>699</v>
      </c>
      <c r="S370" s="4" t="s">
        <v>1657</v>
      </c>
      <c r="T370" s="4" t="s">
        <v>404</v>
      </c>
      <c r="U370" s="44">
        <v>40821</v>
      </c>
      <c r="V370" s="4" t="s">
        <v>404</v>
      </c>
      <c r="W370" s="28" t="s">
        <v>1232</v>
      </c>
      <c r="X370" s="74"/>
      <c r="Y370" s="28" t="e">
        <v>#REF!</v>
      </c>
      <c r="Z370" s="28"/>
      <c r="AA370" s="24" t="s">
        <v>393</v>
      </c>
      <c r="AB370" s="28">
        <v>40906</v>
      </c>
      <c r="AC370" s="4"/>
      <c r="AD370" s="4"/>
      <c r="AE370" s="4"/>
    </row>
    <row r="371" spans="1:31" ht="14.25" customHeight="1" x14ac:dyDescent="0.4">
      <c r="A371">
        <v>347</v>
      </c>
      <c r="B371" s="24">
        <v>40865</v>
      </c>
      <c r="C371" s="24">
        <v>40865</v>
      </c>
      <c r="D371" s="24">
        <v>40865</v>
      </c>
      <c r="E371" s="24">
        <v>40865</v>
      </c>
      <c r="F371" s="24" t="s">
        <v>393</v>
      </c>
      <c r="G371" s="24">
        <v>40870</v>
      </c>
      <c r="H371" s="23">
        <v>294</v>
      </c>
      <c r="I371" s="23">
        <v>40848</v>
      </c>
      <c r="J371" s="37">
        <v>43</v>
      </c>
      <c r="K371" s="24" t="s">
        <v>411</v>
      </c>
      <c r="L371" s="24">
        <v>0</v>
      </c>
      <c r="M371" s="24">
        <v>40816</v>
      </c>
      <c r="N371" s="22" t="s">
        <v>604</v>
      </c>
      <c r="O371" s="4">
        <v>9120493</v>
      </c>
      <c r="P371" s="22">
        <v>1020</v>
      </c>
      <c r="Q371" s="22">
        <v>42</v>
      </c>
      <c r="R371" s="22" t="s">
        <v>846</v>
      </c>
      <c r="S371" s="3" t="s">
        <v>1231</v>
      </c>
      <c r="T371" s="4" t="s">
        <v>404</v>
      </c>
      <c r="U371" s="164">
        <v>41044</v>
      </c>
      <c r="V371" s="4" t="s">
        <v>404</v>
      </c>
      <c r="W371" s="1" t="s">
        <v>1232</v>
      </c>
      <c r="Y371" s="28" t="e">
        <v>#REF!</v>
      </c>
      <c r="AA371" s="24" t="s">
        <v>393</v>
      </c>
      <c r="AB371" s="28">
        <v>40870</v>
      </c>
      <c r="AC371" s="4"/>
      <c r="AD371" s="4"/>
      <c r="AE371" s="4"/>
    </row>
    <row r="372" spans="1:31" ht="14.25" customHeight="1" x14ac:dyDescent="0.4">
      <c r="A372">
        <v>348</v>
      </c>
      <c r="B372" s="24">
        <v>40865</v>
      </c>
      <c r="C372" s="24">
        <v>40865</v>
      </c>
      <c r="D372" s="24">
        <v>40865</v>
      </c>
      <c r="E372" s="24">
        <v>40865</v>
      </c>
      <c r="F372" s="24" t="s">
        <v>393</v>
      </c>
      <c r="G372" s="24">
        <v>40870</v>
      </c>
      <c r="H372" s="23">
        <v>295</v>
      </c>
      <c r="I372" s="23">
        <v>40848</v>
      </c>
      <c r="J372" s="37">
        <v>44</v>
      </c>
      <c r="K372" s="24" t="s">
        <v>411</v>
      </c>
      <c r="L372" s="24">
        <v>0</v>
      </c>
      <c r="M372" s="24">
        <v>40816</v>
      </c>
      <c r="N372" s="22" t="s">
        <v>604</v>
      </c>
      <c r="O372" s="4">
        <v>9120494</v>
      </c>
      <c r="P372" s="22">
        <v>1020</v>
      </c>
      <c r="Q372" s="22">
        <v>42</v>
      </c>
      <c r="R372" s="22" t="s">
        <v>1575</v>
      </c>
      <c r="S372" s="3" t="s">
        <v>1889</v>
      </c>
      <c r="T372" s="4" t="s">
        <v>404</v>
      </c>
      <c r="U372" s="164">
        <v>41054</v>
      </c>
      <c r="V372" s="4" t="s">
        <v>404</v>
      </c>
      <c r="W372" s="62">
        <v>41068</v>
      </c>
      <c r="Y372" s="28" t="e">
        <v>#REF!</v>
      </c>
      <c r="AA372" s="24" t="s">
        <v>393</v>
      </c>
      <c r="AB372" s="28">
        <v>40870</v>
      </c>
      <c r="AC372" s="4"/>
      <c r="AD372" s="4"/>
      <c r="AE372" s="4"/>
    </row>
    <row r="373" spans="1:31" ht="14.25" customHeight="1" x14ac:dyDescent="0.4">
      <c r="A373">
        <v>349</v>
      </c>
      <c r="B373" s="24">
        <v>41002</v>
      </c>
      <c r="C373" s="24">
        <v>41002</v>
      </c>
      <c r="D373" s="24">
        <v>41002</v>
      </c>
      <c r="E373" s="24">
        <v>41002</v>
      </c>
      <c r="F373" s="24" t="s">
        <v>393</v>
      </c>
      <c r="G373" s="24">
        <v>41011</v>
      </c>
      <c r="H373" s="23">
        <v>537</v>
      </c>
      <c r="I373" s="23">
        <v>40969</v>
      </c>
      <c r="J373" s="37">
        <v>44</v>
      </c>
      <c r="K373" s="24" t="s">
        <v>411</v>
      </c>
      <c r="L373" s="24">
        <v>0</v>
      </c>
      <c r="M373" s="24">
        <v>40865</v>
      </c>
      <c r="N373" s="22" t="s">
        <v>604</v>
      </c>
      <c r="O373" s="4">
        <v>9120523</v>
      </c>
      <c r="P373" s="22">
        <v>1220</v>
      </c>
      <c r="Q373" s="22">
        <v>50</v>
      </c>
      <c r="R373" s="22" t="s">
        <v>810</v>
      </c>
      <c r="S373" s="3" t="s">
        <v>1401</v>
      </c>
      <c r="T373" s="4" t="s">
        <v>404</v>
      </c>
      <c r="U373" s="164">
        <v>40867</v>
      </c>
      <c r="V373" s="4" t="s">
        <v>404</v>
      </c>
      <c r="W373" s="28" t="s">
        <v>1232</v>
      </c>
      <c r="Y373" s="28" t="e">
        <v>#REF!</v>
      </c>
      <c r="AA373" s="24" t="s">
        <v>393</v>
      </c>
      <c r="AB373" s="28">
        <v>41011</v>
      </c>
      <c r="AC373" s="4"/>
      <c r="AD373" s="4"/>
      <c r="AE373" s="4"/>
    </row>
    <row r="374" spans="1:31" ht="14.25" customHeight="1" x14ac:dyDescent="0.4">
      <c r="A374">
        <v>350</v>
      </c>
      <c r="B374" s="24">
        <v>41079</v>
      </c>
      <c r="C374" s="24">
        <v>41079</v>
      </c>
      <c r="D374" s="24">
        <v>41079</v>
      </c>
      <c r="E374" s="24">
        <v>41079</v>
      </c>
      <c r="F374" s="24" t="s">
        <v>393</v>
      </c>
      <c r="G374" s="24">
        <v>41081</v>
      </c>
      <c r="H374" s="23">
        <v>601</v>
      </c>
      <c r="I374" s="23">
        <v>41061</v>
      </c>
      <c r="J374" s="37">
        <v>11</v>
      </c>
      <c r="K374" s="24" t="s">
        <v>411</v>
      </c>
      <c r="L374" s="24">
        <v>0</v>
      </c>
      <c r="M374" s="24">
        <v>40877</v>
      </c>
      <c r="N374" s="22" t="s">
        <v>604</v>
      </c>
      <c r="O374" s="4">
        <v>9120527</v>
      </c>
      <c r="P374" s="22">
        <v>1220</v>
      </c>
      <c r="Q374" s="22">
        <v>50</v>
      </c>
      <c r="R374" s="22" t="s">
        <v>826</v>
      </c>
      <c r="S374" s="3" t="s">
        <v>1657</v>
      </c>
      <c r="T374" s="4" t="s">
        <v>404</v>
      </c>
      <c r="U374" s="164">
        <v>41075</v>
      </c>
      <c r="V374" s="4"/>
      <c r="Y374" s="28" t="e">
        <v>#REF!</v>
      </c>
      <c r="AA374" s="24" t="s">
        <v>393</v>
      </c>
      <c r="AB374" s="28">
        <v>41081</v>
      </c>
      <c r="AC374" s="4"/>
      <c r="AD374" s="4"/>
      <c r="AE374" s="4"/>
    </row>
    <row r="375" spans="1:31" ht="14.25" customHeight="1" x14ac:dyDescent="0.4">
      <c r="A375">
        <v>351</v>
      </c>
      <c r="B375" s="24">
        <v>41079</v>
      </c>
      <c r="C375" s="24">
        <v>41079</v>
      </c>
      <c r="D375" s="24">
        <v>41079</v>
      </c>
      <c r="E375" s="24">
        <v>41079</v>
      </c>
      <c r="F375" s="24" t="s">
        <v>393</v>
      </c>
      <c r="G375" s="24">
        <v>41081</v>
      </c>
      <c r="H375" s="23">
        <v>602</v>
      </c>
      <c r="I375" s="23">
        <v>41061</v>
      </c>
      <c r="J375" s="37">
        <v>12</v>
      </c>
      <c r="K375" s="24" t="s">
        <v>411</v>
      </c>
      <c r="L375" s="24">
        <v>0</v>
      </c>
      <c r="M375" s="24">
        <v>40877</v>
      </c>
      <c r="N375" s="22" t="s">
        <v>604</v>
      </c>
      <c r="O375" s="4">
        <v>9120528</v>
      </c>
      <c r="P375" s="22">
        <v>1220</v>
      </c>
      <c r="Q375" s="22">
        <v>50</v>
      </c>
      <c r="R375" s="22" t="s">
        <v>822</v>
      </c>
      <c r="T375" s="4"/>
      <c r="U375" s="164"/>
      <c r="V375" s="4"/>
      <c r="Y375" s="28" t="e">
        <v>#REF!</v>
      </c>
      <c r="AA375" s="24" t="s">
        <v>393</v>
      </c>
      <c r="AB375" s="28">
        <v>41081</v>
      </c>
      <c r="AC375" s="4"/>
      <c r="AD375" s="4"/>
      <c r="AE375" s="4"/>
    </row>
    <row r="376" spans="1:31" ht="14.25" customHeight="1" x14ac:dyDescent="0.4">
      <c r="A376">
        <v>352</v>
      </c>
      <c r="B376" s="22">
        <v>0</v>
      </c>
      <c r="C376" s="22">
        <v>0</v>
      </c>
      <c r="D376" s="22" t="s">
        <v>23</v>
      </c>
      <c r="E376" s="24">
        <v>40815</v>
      </c>
      <c r="F376" s="24" t="s">
        <v>393</v>
      </c>
      <c r="G376" s="24">
        <v>40816</v>
      </c>
      <c r="H376" s="37">
        <v>180</v>
      </c>
      <c r="I376" s="23">
        <v>40787</v>
      </c>
      <c r="J376" s="37">
        <v>56</v>
      </c>
      <c r="K376" s="24" t="s">
        <v>411</v>
      </c>
      <c r="L376" s="24">
        <v>0</v>
      </c>
      <c r="M376" s="24">
        <v>40800</v>
      </c>
      <c r="N376" s="22" t="s">
        <v>1108</v>
      </c>
      <c r="O376" s="4">
        <v>9120179</v>
      </c>
      <c r="P376" s="22">
        <v>1020</v>
      </c>
      <c r="Q376" s="22">
        <v>50</v>
      </c>
      <c r="R376" s="22" t="s">
        <v>694</v>
      </c>
      <c r="S376" s="4" t="s">
        <v>683</v>
      </c>
      <c r="T376" s="4"/>
      <c r="U376" s="44"/>
      <c r="V376" s="4"/>
      <c r="W376" s="57"/>
      <c r="X376" s="74"/>
      <c r="Y376" s="28" t="e">
        <v>#REF!</v>
      </c>
      <c r="Z376" s="9"/>
      <c r="AA376" s="24" t="s">
        <v>393</v>
      </c>
      <c r="AB376" s="28">
        <v>40816</v>
      </c>
      <c r="AC376" s="4"/>
      <c r="AD376" s="4"/>
      <c r="AE376" s="4"/>
    </row>
    <row r="377" spans="1:31" s="4" customFormat="1" ht="14.25" customHeight="1" x14ac:dyDescent="0.4">
      <c r="A377">
        <v>353</v>
      </c>
      <c r="B377" s="22">
        <v>0</v>
      </c>
      <c r="C377" s="22" t="s">
        <v>2165</v>
      </c>
      <c r="D377" s="22">
        <v>0</v>
      </c>
      <c r="E377" s="24">
        <v>40815</v>
      </c>
      <c r="F377" s="24" t="s">
        <v>393</v>
      </c>
      <c r="G377" s="24">
        <v>40816</v>
      </c>
      <c r="H377" s="37">
        <v>181</v>
      </c>
      <c r="I377" s="23">
        <v>40787</v>
      </c>
      <c r="J377" s="37">
        <v>57</v>
      </c>
      <c r="K377" s="24" t="s">
        <v>411</v>
      </c>
      <c r="L377" s="24">
        <v>0</v>
      </c>
      <c r="M377" s="24">
        <v>40800</v>
      </c>
      <c r="N377" s="22" t="s">
        <v>1108</v>
      </c>
      <c r="O377" s="4">
        <v>9120180</v>
      </c>
      <c r="P377" s="22">
        <v>1020</v>
      </c>
      <c r="Q377" s="22">
        <v>50</v>
      </c>
      <c r="R377" s="22" t="s">
        <v>2704</v>
      </c>
      <c r="S377" s="4" t="s">
        <v>987</v>
      </c>
      <c r="T377" s="4" t="s">
        <v>404</v>
      </c>
      <c r="U377" s="42">
        <v>40852</v>
      </c>
      <c r="V377" s="4" t="s">
        <v>404</v>
      </c>
      <c r="W377" s="28" t="s">
        <v>1232</v>
      </c>
      <c r="X377" s="74"/>
      <c r="Y377" s="28" t="e">
        <v>#REF!</v>
      </c>
      <c r="Z377" s="28"/>
      <c r="AA377" s="24" t="s">
        <v>393</v>
      </c>
      <c r="AB377" s="28">
        <v>40816</v>
      </c>
    </row>
    <row r="378" spans="1:31" ht="14.25" customHeight="1" x14ac:dyDescent="0.4">
      <c r="A378">
        <v>354</v>
      </c>
      <c r="B378" s="22">
        <v>0</v>
      </c>
      <c r="C378" s="22">
        <v>0</v>
      </c>
      <c r="D378" s="22">
        <v>0</v>
      </c>
      <c r="E378" s="24">
        <v>40816</v>
      </c>
      <c r="F378" s="24" t="s">
        <v>393</v>
      </c>
      <c r="G378" s="24">
        <v>40827</v>
      </c>
      <c r="H378" s="37">
        <v>182</v>
      </c>
      <c r="I378" s="23">
        <v>40787</v>
      </c>
      <c r="J378" s="37">
        <v>58</v>
      </c>
      <c r="K378" s="24" t="s">
        <v>411</v>
      </c>
      <c r="L378" s="24">
        <v>0</v>
      </c>
      <c r="M378" s="24">
        <v>40800</v>
      </c>
      <c r="N378" s="22" t="s">
        <v>1108</v>
      </c>
      <c r="O378" s="4">
        <v>9120183</v>
      </c>
      <c r="P378" s="22">
        <v>1020</v>
      </c>
      <c r="Q378" s="22">
        <v>50</v>
      </c>
      <c r="R378" s="22" t="s">
        <v>698</v>
      </c>
      <c r="S378" s="3" t="s">
        <v>609</v>
      </c>
      <c r="T378" s="4" t="s">
        <v>404</v>
      </c>
      <c r="U378" s="94">
        <v>41009</v>
      </c>
      <c r="V378" s="4" t="s">
        <v>404</v>
      </c>
      <c r="W378" s="28" t="s">
        <v>1232</v>
      </c>
      <c r="X378" s="74"/>
      <c r="Y378" s="28" t="e">
        <v>#REF!</v>
      </c>
      <c r="Z378" s="9"/>
      <c r="AA378" s="24" t="s">
        <v>393</v>
      </c>
      <c r="AB378" s="28">
        <v>40827</v>
      </c>
      <c r="AC378" s="4"/>
      <c r="AD378" s="4"/>
      <c r="AE378" s="4"/>
    </row>
    <row r="379" spans="1:31" s="4" customFormat="1" ht="14.25" customHeight="1" x14ac:dyDescent="0.4">
      <c r="A379">
        <v>355</v>
      </c>
      <c r="B379" s="22">
        <v>0</v>
      </c>
      <c r="C379" s="22">
        <v>0</v>
      </c>
      <c r="D379" s="22">
        <v>0</v>
      </c>
      <c r="E379" s="24">
        <v>40816</v>
      </c>
      <c r="F379" s="24" t="s">
        <v>393</v>
      </c>
      <c r="G379" s="24">
        <v>40820</v>
      </c>
      <c r="H379" s="37">
        <v>183</v>
      </c>
      <c r="I379" s="23">
        <v>40787</v>
      </c>
      <c r="J379" s="37">
        <v>59</v>
      </c>
      <c r="K379" s="24" t="s">
        <v>411</v>
      </c>
      <c r="L379" s="24">
        <v>0</v>
      </c>
      <c r="M379" s="24">
        <v>40800</v>
      </c>
      <c r="N379" s="22" t="s">
        <v>1108</v>
      </c>
      <c r="O379" s="4">
        <v>9120184</v>
      </c>
      <c r="P379" s="22">
        <v>1020</v>
      </c>
      <c r="Q379" s="22">
        <v>50</v>
      </c>
      <c r="R379" s="22" t="s">
        <v>699</v>
      </c>
      <c r="S379" s="1" t="s">
        <v>612</v>
      </c>
      <c r="T379" s="4" t="s">
        <v>404</v>
      </c>
      <c r="U379" s="94">
        <v>41009</v>
      </c>
      <c r="V379" s="4" t="s">
        <v>404</v>
      </c>
      <c r="W379" s="28" t="s">
        <v>1232</v>
      </c>
      <c r="X379" s="74"/>
      <c r="Y379" s="28" t="e">
        <v>#REF!</v>
      </c>
      <c r="Z379" s="9"/>
      <c r="AA379" s="24" t="s">
        <v>393</v>
      </c>
      <c r="AB379" s="28">
        <v>40820</v>
      </c>
    </row>
    <row r="380" spans="1:31" s="5" customFormat="1" ht="14.25" customHeight="1" x14ac:dyDescent="0.4">
      <c r="A380">
        <v>356</v>
      </c>
      <c r="B380" s="22">
        <v>0</v>
      </c>
      <c r="C380" s="22" t="s">
        <v>2165</v>
      </c>
      <c r="D380" s="22">
        <v>0</v>
      </c>
      <c r="E380" s="24">
        <v>40816</v>
      </c>
      <c r="F380" s="24" t="s">
        <v>393</v>
      </c>
      <c r="G380" s="24">
        <v>40820</v>
      </c>
      <c r="H380" s="37">
        <v>184</v>
      </c>
      <c r="I380" s="23">
        <v>40787</v>
      </c>
      <c r="J380" s="37">
        <v>60</v>
      </c>
      <c r="K380" s="24" t="s">
        <v>411</v>
      </c>
      <c r="L380" s="24">
        <v>0</v>
      </c>
      <c r="M380" s="24">
        <v>40800</v>
      </c>
      <c r="N380" s="22" t="s">
        <v>1108</v>
      </c>
      <c r="O380" s="4">
        <v>9120177</v>
      </c>
      <c r="P380" s="22">
        <v>1020</v>
      </c>
      <c r="Q380" s="22">
        <v>50</v>
      </c>
      <c r="R380" s="22" t="s">
        <v>846</v>
      </c>
      <c r="S380" s="4" t="s">
        <v>1843</v>
      </c>
      <c r="T380" s="4" t="s">
        <v>404</v>
      </c>
      <c r="U380" s="44">
        <v>40975</v>
      </c>
      <c r="V380" s="4" t="s">
        <v>404</v>
      </c>
      <c r="W380" s="28" t="s">
        <v>1232</v>
      </c>
      <c r="X380" s="74"/>
      <c r="Y380" s="28" t="e">
        <v>#REF!</v>
      </c>
      <c r="Z380" s="28"/>
      <c r="AA380" s="24" t="s">
        <v>393</v>
      </c>
      <c r="AB380" s="28">
        <v>40820</v>
      </c>
      <c r="AC380" s="4"/>
      <c r="AD380" s="4"/>
      <c r="AE380" s="4"/>
    </row>
    <row r="381" spans="1:31" s="4" customFormat="1" ht="14.25" customHeight="1" x14ac:dyDescent="0.4">
      <c r="A381">
        <v>357</v>
      </c>
      <c r="B381" s="22">
        <v>0</v>
      </c>
      <c r="C381" s="22" t="s">
        <v>2165</v>
      </c>
      <c r="D381" s="22">
        <v>0</v>
      </c>
      <c r="E381" s="24">
        <v>40819</v>
      </c>
      <c r="F381" s="24" t="s">
        <v>393</v>
      </c>
      <c r="G381" s="24">
        <v>40820</v>
      </c>
      <c r="H381" s="37">
        <v>185</v>
      </c>
      <c r="I381" s="23">
        <v>40787</v>
      </c>
      <c r="J381" s="37">
        <v>61</v>
      </c>
      <c r="K381" s="24" t="s">
        <v>411</v>
      </c>
      <c r="L381" s="24">
        <v>0</v>
      </c>
      <c r="M381" s="24">
        <v>40800</v>
      </c>
      <c r="N381" s="22" t="s">
        <v>1108</v>
      </c>
      <c r="O381" s="4">
        <v>9120178</v>
      </c>
      <c r="P381" s="22">
        <v>1020</v>
      </c>
      <c r="Q381" s="22">
        <v>50</v>
      </c>
      <c r="R381" s="22" t="s">
        <v>1575</v>
      </c>
      <c r="S381" s="4" t="s">
        <v>1013</v>
      </c>
      <c r="U381" s="44"/>
      <c r="W381" s="57"/>
      <c r="X381" s="74"/>
      <c r="Y381" s="28" t="e">
        <v>#REF!</v>
      </c>
      <c r="Z381" s="9"/>
      <c r="AA381" s="24" t="s">
        <v>393</v>
      </c>
      <c r="AB381" s="28">
        <v>40820</v>
      </c>
    </row>
    <row r="382" spans="1:31" ht="14.25" customHeight="1" x14ac:dyDescent="0.4">
      <c r="A382">
        <v>358</v>
      </c>
      <c r="B382" s="24">
        <v>40939</v>
      </c>
      <c r="C382" s="24">
        <v>40939</v>
      </c>
      <c r="D382" s="24">
        <v>40939</v>
      </c>
      <c r="E382" s="24">
        <v>40939</v>
      </c>
      <c r="F382" s="24" t="s">
        <v>393</v>
      </c>
      <c r="G382" s="24">
        <v>40941</v>
      </c>
      <c r="H382" s="23">
        <v>431</v>
      </c>
      <c r="I382" s="23">
        <v>40940</v>
      </c>
      <c r="J382" s="37">
        <v>1</v>
      </c>
      <c r="K382" s="24" t="s">
        <v>411</v>
      </c>
      <c r="L382" s="24">
        <v>0</v>
      </c>
      <c r="M382" s="24">
        <v>40834</v>
      </c>
      <c r="N382" s="22" t="s">
        <v>1108</v>
      </c>
      <c r="O382" s="4">
        <v>9120500</v>
      </c>
      <c r="P382" s="22">
        <v>720</v>
      </c>
      <c r="Q382" s="22">
        <v>42</v>
      </c>
      <c r="R382" s="22" t="s">
        <v>810</v>
      </c>
      <c r="S382" s="3" t="s">
        <v>1142</v>
      </c>
      <c r="T382" s="4" t="s">
        <v>404</v>
      </c>
      <c r="U382" s="164">
        <v>40833</v>
      </c>
      <c r="V382" s="4" t="s">
        <v>404</v>
      </c>
      <c r="W382" s="28" t="s">
        <v>1232</v>
      </c>
      <c r="Y382" s="28" t="e">
        <v>#REF!</v>
      </c>
      <c r="AA382" s="24" t="s">
        <v>393</v>
      </c>
      <c r="AB382" s="28">
        <v>40941</v>
      </c>
      <c r="AC382" s="4"/>
      <c r="AD382" s="4"/>
      <c r="AE382" s="4"/>
    </row>
    <row r="383" spans="1:31" ht="14.25" customHeight="1" x14ac:dyDescent="0.4">
      <c r="A383">
        <v>359</v>
      </c>
      <c r="B383" s="24">
        <v>40939</v>
      </c>
      <c r="C383" s="24">
        <v>40939</v>
      </c>
      <c r="D383" s="24">
        <v>40939</v>
      </c>
      <c r="E383" s="24">
        <v>40939</v>
      </c>
      <c r="F383" s="24" t="s">
        <v>393</v>
      </c>
      <c r="G383" s="24">
        <v>40954</v>
      </c>
      <c r="H383" s="23">
        <v>432</v>
      </c>
      <c r="I383" s="23">
        <v>40940</v>
      </c>
      <c r="J383" s="37">
        <v>2</v>
      </c>
      <c r="K383" s="24" t="s">
        <v>411</v>
      </c>
      <c r="L383" s="24">
        <v>0</v>
      </c>
      <c r="M383" s="24">
        <v>40834</v>
      </c>
      <c r="N383" s="22" t="s">
        <v>1108</v>
      </c>
      <c r="O383" s="4">
        <v>9120501</v>
      </c>
      <c r="P383" s="22">
        <v>720</v>
      </c>
      <c r="Q383" s="22">
        <v>42</v>
      </c>
      <c r="R383" s="22" t="s">
        <v>826</v>
      </c>
      <c r="T383" s="4"/>
      <c r="U383" s="164"/>
      <c r="V383" s="4"/>
      <c r="Y383" s="28" t="e">
        <v>#REF!</v>
      </c>
      <c r="AA383" s="24" t="s">
        <v>393</v>
      </c>
      <c r="AB383" s="28">
        <v>40954</v>
      </c>
      <c r="AC383" s="4"/>
      <c r="AD383" s="4"/>
      <c r="AE383" s="4"/>
    </row>
    <row r="384" spans="1:31" ht="14.25" customHeight="1" x14ac:dyDescent="0.4">
      <c r="A384">
        <v>360</v>
      </c>
      <c r="B384" s="22">
        <v>0</v>
      </c>
      <c r="C384" s="22">
        <v>0</v>
      </c>
      <c r="D384" s="22">
        <v>0</v>
      </c>
      <c r="E384" s="24">
        <v>40843</v>
      </c>
      <c r="F384" s="24" t="s">
        <v>393</v>
      </c>
      <c r="G384" s="24">
        <v>40845</v>
      </c>
      <c r="H384" s="37">
        <v>246</v>
      </c>
      <c r="I384" s="23">
        <v>40817</v>
      </c>
      <c r="J384" s="37">
        <v>59</v>
      </c>
      <c r="K384" s="24" t="s">
        <v>411</v>
      </c>
      <c r="L384" s="24">
        <v>40817</v>
      </c>
      <c r="M384" s="24">
        <v>40667</v>
      </c>
      <c r="N384" s="22" t="s">
        <v>584</v>
      </c>
      <c r="O384" s="4">
        <v>9120372</v>
      </c>
      <c r="P384" s="22">
        <v>1220</v>
      </c>
      <c r="Q384" s="22">
        <v>50</v>
      </c>
      <c r="R384" s="22" t="s">
        <v>694</v>
      </c>
      <c r="S384" s="4" t="s">
        <v>1400</v>
      </c>
      <c r="T384" s="4" t="s">
        <v>404</v>
      </c>
      <c r="U384" s="164">
        <v>40911</v>
      </c>
      <c r="V384" s="4" t="s">
        <v>404</v>
      </c>
      <c r="W384" s="28" t="s">
        <v>1232</v>
      </c>
      <c r="Y384" s="28" t="e">
        <v>#REF!</v>
      </c>
      <c r="Z384" s="28"/>
      <c r="AA384" s="24" t="s">
        <v>393</v>
      </c>
      <c r="AB384" s="28">
        <v>40845</v>
      </c>
      <c r="AC384" s="4"/>
      <c r="AD384" s="4"/>
      <c r="AE384" s="4"/>
    </row>
    <row r="385" spans="1:31" ht="14.25" customHeight="1" x14ac:dyDescent="0.4">
      <c r="A385">
        <v>361</v>
      </c>
      <c r="B385" s="22"/>
      <c r="C385" s="22"/>
      <c r="D385" s="22"/>
      <c r="E385" s="24">
        <v>40843</v>
      </c>
      <c r="F385" s="24" t="s">
        <v>393</v>
      </c>
      <c r="G385" s="24">
        <v>40847</v>
      </c>
      <c r="H385" s="37">
        <v>247</v>
      </c>
      <c r="I385" s="23">
        <v>40817</v>
      </c>
      <c r="J385" s="37">
        <v>60</v>
      </c>
      <c r="K385" s="24" t="s">
        <v>411</v>
      </c>
      <c r="L385" s="24">
        <v>40817</v>
      </c>
      <c r="M385" s="24">
        <v>40667</v>
      </c>
      <c r="N385" s="22" t="s">
        <v>584</v>
      </c>
      <c r="O385" s="4">
        <v>9120373</v>
      </c>
      <c r="P385" s="22">
        <v>1220</v>
      </c>
      <c r="Q385" s="22">
        <v>50</v>
      </c>
      <c r="R385" s="22" t="s">
        <v>696</v>
      </c>
      <c r="S385" s="4" t="s">
        <v>1083</v>
      </c>
      <c r="T385" s="4" t="s">
        <v>404</v>
      </c>
      <c r="U385" s="44">
        <v>41064</v>
      </c>
      <c r="V385" s="4" t="s">
        <v>404</v>
      </c>
      <c r="W385" s="44">
        <v>41064</v>
      </c>
      <c r="X385" s="74"/>
      <c r="Y385" s="28" t="e">
        <v>#REF!</v>
      </c>
      <c r="Z385" s="28"/>
      <c r="AA385" s="24" t="s">
        <v>393</v>
      </c>
      <c r="AB385" s="28">
        <v>40847</v>
      </c>
      <c r="AC385" s="4"/>
      <c r="AD385" s="4"/>
      <c r="AE385" s="4"/>
    </row>
    <row r="386" spans="1:31" ht="14.25" customHeight="1" x14ac:dyDescent="0.4">
      <c r="A386">
        <v>362</v>
      </c>
      <c r="B386" s="24">
        <v>41004</v>
      </c>
      <c r="C386" s="24">
        <v>41004</v>
      </c>
      <c r="D386" s="24">
        <v>41004</v>
      </c>
      <c r="E386" s="24">
        <v>41004</v>
      </c>
      <c r="F386" s="24" t="s">
        <v>393</v>
      </c>
      <c r="G386" s="24">
        <v>41015</v>
      </c>
      <c r="H386" s="23">
        <v>539</v>
      </c>
      <c r="I386" s="23">
        <v>40969</v>
      </c>
      <c r="J386" s="37">
        <v>46</v>
      </c>
      <c r="K386" s="24" t="s">
        <v>411</v>
      </c>
      <c r="L386" s="24">
        <v>40940</v>
      </c>
      <c r="M386" s="24">
        <v>40781</v>
      </c>
      <c r="N386" s="22" t="s">
        <v>584</v>
      </c>
      <c r="O386" s="4">
        <v>9120461</v>
      </c>
      <c r="P386" s="22">
        <v>1220</v>
      </c>
      <c r="Q386" s="22">
        <v>50</v>
      </c>
      <c r="R386" s="22" t="s">
        <v>822</v>
      </c>
      <c r="T386" s="4"/>
      <c r="U386" s="164"/>
      <c r="V386" s="4"/>
      <c r="Y386" s="28" t="e">
        <v>#REF!</v>
      </c>
      <c r="AA386" s="24" t="s">
        <v>393</v>
      </c>
      <c r="AB386" s="28">
        <v>41015</v>
      </c>
      <c r="AC386" s="4"/>
      <c r="AD386" s="4"/>
      <c r="AE386" s="4"/>
    </row>
    <row r="387" spans="1:31" ht="14.25" customHeight="1" x14ac:dyDescent="0.4">
      <c r="A387">
        <v>363</v>
      </c>
      <c r="B387" s="24">
        <v>41037</v>
      </c>
      <c r="C387" s="24">
        <v>41037</v>
      </c>
      <c r="D387" s="24">
        <v>41037</v>
      </c>
      <c r="E387" s="24">
        <v>41037</v>
      </c>
      <c r="F387" s="24" t="s">
        <v>393</v>
      </c>
      <c r="G387" s="24">
        <v>41040</v>
      </c>
      <c r="H387" s="23">
        <v>577</v>
      </c>
      <c r="I387" s="23">
        <v>41030</v>
      </c>
      <c r="J387" s="37">
        <v>8</v>
      </c>
      <c r="K387" s="24" t="s">
        <v>411</v>
      </c>
      <c r="L387" s="24">
        <v>40940</v>
      </c>
      <c r="M387" s="24">
        <v>40781</v>
      </c>
      <c r="N387" s="22" t="s">
        <v>584</v>
      </c>
      <c r="O387" s="4">
        <v>9120462</v>
      </c>
      <c r="P387" s="22">
        <v>1220</v>
      </c>
      <c r="Q387" s="22">
        <v>50</v>
      </c>
      <c r="R387" s="22" t="s">
        <v>815</v>
      </c>
      <c r="S387" s="69"/>
      <c r="T387" s="4"/>
      <c r="U387" s="166"/>
      <c r="V387" s="4"/>
      <c r="W387" s="69"/>
      <c r="X387" s="101"/>
      <c r="Y387" s="28" t="e">
        <v>#REF!</v>
      </c>
      <c r="Z387" s="69"/>
      <c r="AA387" s="24" t="s">
        <v>393</v>
      </c>
      <c r="AB387" s="28">
        <v>41040</v>
      </c>
      <c r="AC387" s="4"/>
      <c r="AD387" s="4"/>
      <c r="AE387" s="4"/>
    </row>
    <row r="388" spans="1:31" ht="14.25" customHeight="1" x14ac:dyDescent="0.4">
      <c r="A388">
        <v>364</v>
      </c>
      <c r="B388" s="24">
        <v>41074</v>
      </c>
      <c r="C388" s="24">
        <v>41074</v>
      </c>
      <c r="D388" s="24">
        <v>41074</v>
      </c>
      <c r="E388" s="24">
        <v>41074</v>
      </c>
      <c r="F388" s="24" t="s">
        <v>393</v>
      </c>
      <c r="G388" s="24">
        <v>41071</v>
      </c>
      <c r="H388" s="23">
        <v>597</v>
      </c>
      <c r="I388" s="23">
        <v>41061</v>
      </c>
      <c r="J388" s="37">
        <v>7</v>
      </c>
      <c r="K388" s="24" t="s">
        <v>411</v>
      </c>
      <c r="L388" s="24">
        <v>40940</v>
      </c>
      <c r="M388" s="24">
        <v>40781</v>
      </c>
      <c r="N388" s="22" t="s">
        <v>584</v>
      </c>
      <c r="O388" s="4">
        <v>9120463</v>
      </c>
      <c r="P388" s="22">
        <v>1220</v>
      </c>
      <c r="Q388" s="22">
        <v>50</v>
      </c>
      <c r="R388" s="22" t="s">
        <v>1620</v>
      </c>
      <c r="T388" s="4"/>
      <c r="U388" s="164"/>
      <c r="V388" s="4"/>
      <c r="Y388" s="28" t="e">
        <v>#REF!</v>
      </c>
      <c r="AA388" s="24" t="s">
        <v>393</v>
      </c>
      <c r="AB388" s="28">
        <v>41071</v>
      </c>
      <c r="AC388" s="4"/>
      <c r="AD388" s="4"/>
      <c r="AE388" s="4"/>
    </row>
    <row r="389" spans="1:31" ht="14.25" customHeight="1" x14ac:dyDescent="0.4">
      <c r="A389">
        <v>365</v>
      </c>
      <c r="B389" s="32">
        <v>41074</v>
      </c>
      <c r="C389" s="32">
        <v>41074</v>
      </c>
      <c r="D389" s="32">
        <v>41074</v>
      </c>
      <c r="E389" s="32">
        <v>41074</v>
      </c>
      <c r="F389" s="24" t="s">
        <v>393</v>
      </c>
      <c r="G389" s="24">
        <v>41080</v>
      </c>
      <c r="H389" s="35">
        <v>598</v>
      </c>
      <c r="I389" s="23">
        <v>41061</v>
      </c>
      <c r="J389" s="37">
        <v>8</v>
      </c>
      <c r="K389" s="24" t="s">
        <v>411</v>
      </c>
      <c r="L389" s="24">
        <v>40940</v>
      </c>
      <c r="M389" s="32">
        <v>40781</v>
      </c>
      <c r="N389" s="22" t="s">
        <v>584</v>
      </c>
      <c r="O389" s="4">
        <v>9120464</v>
      </c>
      <c r="P389" s="22">
        <v>1220</v>
      </c>
      <c r="Q389" s="22">
        <v>50</v>
      </c>
      <c r="R389" s="22" t="s">
        <v>2420</v>
      </c>
      <c r="T389" s="4"/>
      <c r="U389" s="164"/>
      <c r="V389" s="4"/>
      <c r="Y389" s="28" t="e">
        <v>#REF!</v>
      </c>
      <c r="AA389" s="24" t="s">
        <v>393</v>
      </c>
      <c r="AB389" s="28">
        <v>41080</v>
      </c>
      <c r="AC389" s="4"/>
      <c r="AD389" s="4"/>
      <c r="AE389" s="4"/>
    </row>
    <row r="390" spans="1:31" ht="14.25" customHeight="1" x14ac:dyDescent="0.4">
      <c r="A390">
        <v>366</v>
      </c>
      <c r="B390" s="32">
        <v>40868</v>
      </c>
      <c r="C390" s="32">
        <v>40868</v>
      </c>
      <c r="D390" s="32">
        <v>40868</v>
      </c>
      <c r="E390" s="32">
        <v>40868</v>
      </c>
      <c r="F390" s="24" t="s">
        <v>393</v>
      </c>
      <c r="G390" s="24">
        <v>40869</v>
      </c>
      <c r="H390" s="35">
        <v>296</v>
      </c>
      <c r="I390" s="23">
        <v>40848</v>
      </c>
      <c r="J390" s="37">
        <v>45</v>
      </c>
      <c r="K390" s="24" t="s">
        <v>411</v>
      </c>
      <c r="L390" s="24">
        <v>0</v>
      </c>
      <c r="M390" s="32">
        <v>40781</v>
      </c>
      <c r="N390" s="22" t="s">
        <v>584</v>
      </c>
      <c r="O390" s="4">
        <v>9120467</v>
      </c>
      <c r="P390" s="22">
        <v>1020</v>
      </c>
      <c r="Q390" s="22">
        <v>42</v>
      </c>
      <c r="R390" s="22" t="s">
        <v>698</v>
      </c>
      <c r="S390" s="4" t="s">
        <v>450</v>
      </c>
      <c r="T390" s="4" t="s">
        <v>404</v>
      </c>
      <c r="U390" s="164">
        <v>40982</v>
      </c>
      <c r="V390" s="4" t="s">
        <v>404</v>
      </c>
      <c r="W390" s="28" t="s">
        <v>1232</v>
      </c>
      <c r="Y390" s="28" t="e">
        <v>#REF!</v>
      </c>
      <c r="AA390" s="24" t="s">
        <v>393</v>
      </c>
      <c r="AB390" s="28">
        <v>40869</v>
      </c>
      <c r="AC390" s="4"/>
      <c r="AD390" s="4"/>
    </row>
    <row r="391" spans="1:31" ht="14.25" customHeight="1" x14ac:dyDescent="0.4">
      <c r="A391">
        <v>367</v>
      </c>
      <c r="B391" s="32">
        <v>40868</v>
      </c>
      <c r="C391" s="32">
        <v>40868</v>
      </c>
      <c r="D391" s="32">
        <v>40868</v>
      </c>
      <c r="E391" s="32">
        <v>40868</v>
      </c>
      <c r="F391" s="24" t="s">
        <v>393</v>
      </c>
      <c r="G391" s="24">
        <v>40875</v>
      </c>
      <c r="H391" s="35">
        <v>297</v>
      </c>
      <c r="I391" s="23">
        <v>40848</v>
      </c>
      <c r="J391" s="37">
        <v>46</v>
      </c>
      <c r="K391" s="24" t="s">
        <v>411</v>
      </c>
      <c r="L391" s="24">
        <v>0</v>
      </c>
      <c r="M391" s="32">
        <v>40781</v>
      </c>
      <c r="N391" s="22" t="s">
        <v>584</v>
      </c>
      <c r="O391" s="4">
        <v>9120468</v>
      </c>
      <c r="P391" s="22">
        <v>1020</v>
      </c>
      <c r="Q391" s="22">
        <v>42</v>
      </c>
      <c r="R391" s="22" t="s">
        <v>699</v>
      </c>
      <c r="S391" s="4" t="s">
        <v>1161</v>
      </c>
      <c r="T391" s="4" t="s">
        <v>404</v>
      </c>
      <c r="U391" s="164">
        <v>40995</v>
      </c>
      <c r="V391" s="4" t="s">
        <v>404</v>
      </c>
      <c r="W391" s="28" t="s">
        <v>1232</v>
      </c>
      <c r="Y391" s="28" t="e">
        <v>#REF!</v>
      </c>
      <c r="AA391" s="24" t="s">
        <v>393</v>
      </c>
      <c r="AB391" s="28">
        <v>40875</v>
      </c>
      <c r="AC391" s="4"/>
      <c r="AD391" s="4"/>
    </row>
    <row r="392" spans="1:31" ht="14.25" customHeight="1" x14ac:dyDescent="0.4">
      <c r="A392">
        <v>368</v>
      </c>
      <c r="B392" s="32">
        <v>40868</v>
      </c>
      <c r="C392" s="32">
        <v>40868</v>
      </c>
      <c r="D392" s="32">
        <v>40868</v>
      </c>
      <c r="E392" s="32">
        <v>40868</v>
      </c>
      <c r="F392" s="24" t="s">
        <v>393</v>
      </c>
      <c r="G392" s="24">
        <v>40889</v>
      </c>
      <c r="H392" s="35">
        <v>298</v>
      </c>
      <c r="I392" s="23">
        <v>40848</v>
      </c>
      <c r="J392" s="37">
        <v>47</v>
      </c>
      <c r="K392" s="24" t="s">
        <v>411</v>
      </c>
      <c r="L392" s="24">
        <v>0</v>
      </c>
      <c r="M392" s="32">
        <v>40781</v>
      </c>
      <c r="N392" s="22" t="s">
        <v>584</v>
      </c>
      <c r="O392" s="4">
        <v>9120469</v>
      </c>
      <c r="P392" s="22">
        <v>1020</v>
      </c>
      <c r="Q392" s="22">
        <v>42</v>
      </c>
      <c r="R392" s="22" t="s">
        <v>846</v>
      </c>
      <c r="S392" s="4" t="s">
        <v>440</v>
      </c>
      <c r="T392" s="4" t="s">
        <v>404</v>
      </c>
      <c r="U392" s="164">
        <v>41023</v>
      </c>
      <c r="V392" s="4" t="s">
        <v>404</v>
      </c>
      <c r="W392" s="28" t="s">
        <v>1232</v>
      </c>
      <c r="Y392" s="28" t="e">
        <v>#REF!</v>
      </c>
      <c r="AA392" s="24" t="s">
        <v>393</v>
      </c>
      <c r="AB392" s="28">
        <v>40889</v>
      </c>
    </row>
    <row r="393" spans="1:31" ht="14.25" customHeight="1" x14ac:dyDescent="0.4">
      <c r="A393">
        <v>369</v>
      </c>
      <c r="B393" s="32">
        <v>40869</v>
      </c>
      <c r="C393" s="32">
        <v>40869</v>
      </c>
      <c r="D393" s="32">
        <v>40869</v>
      </c>
      <c r="E393" s="32">
        <v>40869</v>
      </c>
      <c r="F393" s="24" t="s">
        <v>393</v>
      </c>
      <c r="G393" s="24">
        <v>40876</v>
      </c>
      <c r="H393" s="35">
        <v>299</v>
      </c>
      <c r="I393" s="23">
        <v>40848</v>
      </c>
      <c r="J393" s="37">
        <v>48</v>
      </c>
      <c r="K393" s="24" t="s">
        <v>411</v>
      </c>
      <c r="L393" s="24">
        <v>0</v>
      </c>
      <c r="M393" s="32">
        <v>40781</v>
      </c>
      <c r="N393" s="22" t="s">
        <v>584</v>
      </c>
      <c r="O393" s="4">
        <v>9120470</v>
      </c>
      <c r="P393" s="22">
        <v>1020</v>
      </c>
      <c r="Q393" s="22">
        <v>42</v>
      </c>
      <c r="R393" s="22" t="s">
        <v>1575</v>
      </c>
      <c r="S393" s="4" t="s">
        <v>90</v>
      </c>
      <c r="T393" s="4" t="s">
        <v>404</v>
      </c>
      <c r="U393" s="164">
        <v>41058</v>
      </c>
      <c r="V393" s="4" t="s">
        <v>404</v>
      </c>
      <c r="W393" s="28">
        <v>41058</v>
      </c>
      <c r="Y393" s="28" t="e">
        <v>#REF!</v>
      </c>
      <c r="AA393" s="24" t="s">
        <v>393</v>
      </c>
      <c r="AB393" s="28">
        <v>40876</v>
      </c>
    </row>
    <row r="394" spans="1:31" ht="14.25" customHeight="1" x14ac:dyDescent="0.4">
      <c r="A394">
        <v>370</v>
      </c>
      <c r="B394" s="32">
        <v>40869</v>
      </c>
      <c r="C394" s="32">
        <v>40869</v>
      </c>
      <c r="D394" s="32">
        <v>40869</v>
      </c>
      <c r="E394" s="32">
        <v>40869</v>
      </c>
      <c r="F394" s="24" t="s">
        <v>393</v>
      </c>
      <c r="G394" s="24">
        <v>40876</v>
      </c>
      <c r="H394" s="35">
        <v>300</v>
      </c>
      <c r="I394" s="23">
        <v>40848</v>
      </c>
      <c r="J394" s="37">
        <v>49</v>
      </c>
      <c r="K394" s="24" t="s">
        <v>411</v>
      </c>
      <c r="L394" s="24">
        <v>0</v>
      </c>
      <c r="M394" s="32">
        <v>40781</v>
      </c>
      <c r="N394" s="22" t="s">
        <v>584</v>
      </c>
      <c r="O394" s="4">
        <v>9120471</v>
      </c>
      <c r="P394" s="22">
        <v>1020</v>
      </c>
      <c r="Q394" s="22">
        <v>42</v>
      </c>
      <c r="R394" s="22" t="s">
        <v>810</v>
      </c>
      <c r="S394" s="4" t="s">
        <v>1082</v>
      </c>
      <c r="T394" s="4" t="s">
        <v>404</v>
      </c>
      <c r="U394" s="164">
        <v>41068</v>
      </c>
      <c r="V394" s="4" t="s">
        <v>404</v>
      </c>
      <c r="W394" s="164">
        <v>41068</v>
      </c>
      <c r="Y394" s="28" t="e">
        <v>#REF!</v>
      </c>
      <c r="AA394" s="24" t="s">
        <v>393</v>
      </c>
      <c r="AB394" s="28">
        <v>40876</v>
      </c>
    </row>
    <row r="395" spans="1:31" ht="14.25" customHeight="1" x14ac:dyDescent="0.4">
      <c r="A395">
        <v>371</v>
      </c>
      <c r="B395" s="32">
        <v>40877</v>
      </c>
      <c r="C395" s="32">
        <v>40877</v>
      </c>
      <c r="D395" s="32">
        <v>40877</v>
      </c>
      <c r="E395" s="32">
        <v>40877</v>
      </c>
      <c r="F395" s="24" t="s">
        <v>393</v>
      </c>
      <c r="G395" s="24">
        <v>40898</v>
      </c>
      <c r="H395" s="35">
        <v>311</v>
      </c>
      <c r="I395" s="23">
        <v>40878</v>
      </c>
      <c r="J395" s="37">
        <v>1</v>
      </c>
      <c r="K395" s="24" t="s">
        <v>411</v>
      </c>
      <c r="L395" s="24">
        <v>0</v>
      </c>
      <c r="M395" s="32">
        <v>40781</v>
      </c>
      <c r="N395" s="22" t="s">
        <v>584</v>
      </c>
      <c r="O395" s="4">
        <v>9120472</v>
      </c>
      <c r="P395" s="22">
        <v>1020</v>
      </c>
      <c r="Q395" s="22">
        <v>42</v>
      </c>
      <c r="R395" s="22" t="s">
        <v>826</v>
      </c>
      <c r="S395" s="4" t="s">
        <v>441</v>
      </c>
      <c r="T395" s="4" t="s">
        <v>404</v>
      </c>
      <c r="U395" s="164">
        <v>41025</v>
      </c>
      <c r="V395" s="4" t="s">
        <v>404</v>
      </c>
      <c r="W395" s="28" t="s">
        <v>1232</v>
      </c>
      <c r="Y395" s="28" t="e">
        <v>#REF!</v>
      </c>
      <c r="AA395" s="24" t="s">
        <v>393</v>
      </c>
      <c r="AB395" s="28">
        <v>40898</v>
      </c>
    </row>
    <row r="396" spans="1:31" ht="14.25" customHeight="1" x14ac:dyDescent="0.4">
      <c r="A396">
        <v>372</v>
      </c>
      <c r="B396" s="32">
        <v>40757</v>
      </c>
      <c r="C396" s="32">
        <v>40757</v>
      </c>
      <c r="D396" s="32">
        <v>40757</v>
      </c>
      <c r="E396" s="32">
        <v>40757</v>
      </c>
      <c r="F396" s="24" t="s">
        <v>393</v>
      </c>
      <c r="G396" s="24">
        <v>40767</v>
      </c>
      <c r="H396" s="134">
        <v>58</v>
      </c>
      <c r="I396" s="23">
        <v>40756</v>
      </c>
      <c r="J396" s="37">
        <v>3</v>
      </c>
      <c r="K396" s="24" t="s">
        <v>411</v>
      </c>
      <c r="L396" s="24">
        <v>40725</v>
      </c>
      <c r="M396" s="32">
        <v>40667</v>
      </c>
      <c r="N396" s="22" t="s">
        <v>587</v>
      </c>
      <c r="O396" s="4">
        <v>9120305</v>
      </c>
      <c r="P396" s="22">
        <v>1020</v>
      </c>
      <c r="Q396" s="22">
        <v>50</v>
      </c>
      <c r="R396" s="22" t="s">
        <v>694</v>
      </c>
      <c r="S396" s="4" t="s">
        <v>1034</v>
      </c>
      <c r="T396" s="4" t="s">
        <v>404</v>
      </c>
      <c r="U396" s="42">
        <v>40862</v>
      </c>
      <c r="V396" s="4" t="s">
        <v>404</v>
      </c>
      <c r="W396" s="28" t="s">
        <v>1232</v>
      </c>
      <c r="X396" s="74"/>
      <c r="Y396" s="28" t="e">
        <v>#REF!</v>
      </c>
      <c r="Z396" s="9"/>
      <c r="AA396" s="24" t="s">
        <v>393</v>
      </c>
      <c r="AB396" s="28">
        <v>40767</v>
      </c>
    </row>
    <row r="397" spans="1:31" ht="14.25" customHeight="1" x14ac:dyDescent="0.4">
      <c r="A397">
        <v>373</v>
      </c>
      <c r="B397" s="32">
        <v>40757</v>
      </c>
      <c r="C397" s="32">
        <v>40757</v>
      </c>
      <c r="D397" s="32">
        <v>40757</v>
      </c>
      <c r="E397" s="32">
        <v>40757</v>
      </c>
      <c r="F397" s="24" t="s">
        <v>393</v>
      </c>
      <c r="G397" s="24">
        <v>40767</v>
      </c>
      <c r="H397" s="134">
        <v>59</v>
      </c>
      <c r="I397" s="23">
        <v>40756</v>
      </c>
      <c r="J397" s="37">
        <v>4</v>
      </c>
      <c r="K397" s="24" t="s">
        <v>411</v>
      </c>
      <c r="L397" s="24">
        <v>40725</v>
      </c>
      <c r="M397" s="32">
        <v>40667</v>
      </c>
      <c r="N397" s="22" t="s">
        <v>587</v>
      </c>
      <c r="O397" s="4">
        <v>9120306</v>
      </c>
      <c r="P397" s="22">
        <v>1020</v>
      </c>
      <c r="Q397" s="22">
        <v>50</v>
      </c>
      <c r="R397" s="22" t="s">
        <v>696</v>
      </c>
      <c r="S397" s="4" t="s">
        <v>1035</v>
      </c>
      <c r="T397" s="4" t="s">
        <v>404</v>
      </c>
      <c r="U397" s="42">
        <v>40864</v>
      </c>
      <c r="V397" s="4" t="s">
        <v>404</v>
      </c>
      <c r="W397" s="28" t="s">
        <v>1232</v>
      </c>
      <c r="X397" s="74"/>
      <c r="Y397" s="28" t="e">
        <v>#REF!</v>
      </c>
      <c r="Z397" s="28"/>
      <c r="AA397" s="24" t="s">
        <v>393</v>
      </c>
      <c r="AB397" s="28">
        <v>40767</v>
      </c>
    </row>
    <row r="398" spans="1:31" ht="14.25" customHeight="1" x14ac:dyDescent="0.4">
      <c r="A398">
        <v>374</v>
      </c>
      <c r="B398" s="32">
        <v>40899</v>
      </c>
      <c r="C398" s="32">
        <v>40899</v>
      </c>
      <c r="D398" s="32">
        <v>40899</v>
      </c>
      <c r="E398" s="32">
        <v>40899</v>
      </c>
      <c r="F398" s="24" t="s">
        <v>393</v>
      </c>
      <c r="G398" s="24">
        <v>40905</v>
      </c>
      <c r="H398" s="134">
        <v>359</v>
      </c>
      <c r="I398" s="23">
        <v>40878</v>
      </c>
      <c r="J398" s="37">
        <v>49</v>
      </c>
      <c r="K398" s="24" t="s">
        <v>411</v>
      </c>
      <c r="L398" s="24">
        <v>40878</v>
      </c>
      <c r="M398" s="32">
        <v>40667</v>
      </c>
      <c r="N398" s="22" t="s">
        <v>587</v>
      </c>
      <c r="O398" s="4">
        <v>9120307</v>
      </c>
      <c r="P398" s="22">
        <v>1020</v>
      </c>
      <c r="Q398" s="22">
        <v>50</v>
      </c>
      <c r="R398" s="22" t="s">
        <v>2137</v>
      </c>
      <c r="S398" s="4" t="s">
        <v>1230</v>
      </c>
      <c r="T398" s="4" t="s">
        <v>404</v>
      </c>
      <c r="U398" s="44">
        <v>41043</v>
      </c>
      <c r="V398" s="4" t="s">
        <v>404</v>
      </c>
      <c r="W398" s="58" t="s">
        <v>1232</v>
      </c>
      <c r="X398" s="74"/>
      <c r="Y398" s="28" t="e">
        <v>#REF!</v>
      </c>
      <c r="Z398" s="28"/>
      <c r="AA398" s="24" t="s">
        <v>393</v>
      </c>
      <c r="AB398" s="28">
        <v>40905</v>
      </c>
    </row>
    <row r="399" spans="1:31" ht="14.25" customHeight="1" x14ac:dyDescent="0.4">
      <c r="A399">
        <v>375</v>
      </c>
      <c r="B399" s="32">
        <v>40899</v>
      </c>
      <c r="C399" s="32">
        <v>40899</v>
      </c>
      <c r="D399" s="32">
        <v>40899</v>
      </c>
      <c r="E399" s="32">
        <v>40899</v>
      </c>
      <c r="F399" s="24" t="s">
        <v>393</v>
      </c>
      <c r="G399" s="24">
        <v>40905</v>
      </c>
      <c r="H399" s="134">
        <v>360</v>
      </c>
      <c r="I399" s="23">
        <v>40878</v>
      </c>
      <c r="J399" s="37">
        <v>50</v>
      </c>
      <c r="K399" s="24" t="s">
        <v>411</v>
      </c>
      <c r="L399" s="24">
        <v>40878</v>
      </c>
      <c r="M399" s="24">
        <v>40667</v>
      </c>
      <c r="N399" s="22" t="s">
        <v>587</v>
      </c>
      <c r="O399" s="4">
        <v>9120308</v>
      </c>
      <c r="P399" s="22">
        <v>1020</v>
      </c>
      <c r="Q399" s="22">
        <v>50</v>
      </c>
      <c r="R399" s="22" t="s">
        <v>699</v>
      </c>
      <c r="S399" s="4" t="s">
        <v>245</v>
      </c>
      <c r="T399" s="4" t="s">
        <v>404</v>
      </c>
      <c r="U399" s="44">
        <v>41088</v>
      </c>
      <c r="V399" s="4" t="s">
        <v>404</v>
      </c>
      <c r="W399" s="57">
        <v>41088</v>
      </c>
      <c r="X399" s="74"/>
      <c r="Y399" s="28" t="e">
        <v>#REF!</v>
      </c>
      <c r="Z399" s="27"/>
      <c r="AA399" s="24" t="s">
        <v>393</v>
      </c>
      <c r="AB399" s="28">
        <v>40905</v>
      </c>
    </row>
    <row r="400" spans="1:31" ht="14.25" customHeight="1" x14ac:dyDescent="0.4">
      <c r="A400">
        <v>376</v>
      </c>
      <c r="B400" s="32">
        <v>40889</v>
      </c>
      <c r="C400" s="32">
        <v>40889</v>
      </c>
      <c r="D400" s="32">
        <v>40889</v>
      </c>
      <c r="E400" s="32">
        <v>40889</v>
      </c>
      <c r="F400" s="24" t="s">
        <v>393</v>
      </c>
      <c r="G400" s="24">
        <v>40899</v>
      </c>
      <c r="H400" s="35">
        <v>336</v>
      </c>
      <c r="I400" s="23">
        <v>40878</v>
      </c>
      <c r="J400" s="37">
        <v>26</v>
      </c>
      <c r="K400" s="24" t="s">
        <v>411</v>
      </c>
      <c r="L400" s="24">
        <v>0</v>
      </c>
      <c r="M400" s="32">
        <v>40836</v>
      </c>
      <c r="N400" s="22" t="s">
        <v>587</v>
      </c>
      <c r="O400" s="4">
        <v>9120502</v>
      </c>
      <c r="P400" s="22">
        <v>1020</v>
      </c>
      <c r="Q400" s="22">
        <v>42</v>
      </c>
      <c r="R400" s="22">
        <v>0</v>
      </c>
      <c r="S400" s="3" t="s">
        <v>268</v>
      </c>
      <c r="T400" s="4" t="s">
        <v>404</v>
      </c>
      <c r="U400" s="42">
        <v>40877</v>
      </c>
      <c r="V400" s="4" t="s">
        <v>404</v>
      </c>
      <c r="W400" s="28" t="s">
        <v>1232</v>
      </c>
      <c r="Y400" s="28" t="e">
        <v>#REF!</v>
      </c>
      <c r="AA400" s="24" t="s">
        <v>393</v>
      </c>
      <c r="AB400" s="28">
        <v>40899</v>
      </c>
    </row>
    <row r="401" spans="1:29" ht="14.25" customHeight="1" x14ac:dyDescent="0.4">
      <c r="A401">
        <v>377</v>
      </c>
      <c r="B401" s="34">
        <v>0</v>
      </c>
      <c r="C401" s="34">
        <v>0</v>
      </c>
      <c r="D401" s="34">
        <v>0</v>
      </c>
      <c r="E401" s="32">
        <v>40752</v>
      </c>
      <c r="F401" s="24" t="s">
        <v>393</v>
      </c>
      <c r="G401" s="24">
        <v>40764</v>
      </c>
      <c r="H401" s="134">
        <v>49</v>
      </c>
      <c r="I401" s="23">
        <v>40725</v>
      </c>
      <c r="J401" s="37">
        <v>49</v>
      </c>
      <c r="K401" s="24" t="s">
        <v>411</v>
      </c>
      <c r="L401" s="24">
        <v>0</v>
      </c>
      <c r="M401" s="32">
        <v>40668</v>
      </c>
      <c r="N401" s="22" t="s">
        <v>673</v>
      </c>
      <c r="O401" s="4">
        <v>9120293</v>
      </c>
      <c r="P401" s="22">
        <v>1020</v>
      </c>
      <c r="Q401" s="22">
        <v>50</v>
      </c>
      <c r="R401" s="22" t="s">
        <v>694</v>
      </c>
      <c r="S401" s="4" t="s">
        <v>434</v>
      </c>
      <c r="T401" s="4" t="s">
        <v>404</v>
      </c>
      <c r="U401" s="44">
        <v>40849</v>
      </c>
      <c r="V401" s="4" t="s">
        <v>404</v>
      </c>
      <c r="W401" s="28" t="s">
        <v>1232</v>
      </c>
      <c r="X401" s="74"/>
      <c r="Y401" s="28" t="e">
        <v>#REF!</v>
      </c>
      <c r="Z401" s="9"/>
      <c r="AA401" s="24" t="s">
        <v>393</v>
      </c>
      <c r="AB401" s="28">
        <v>40764</v>
      </c>
    </row>
    <row r="402" spans="1:29" ht="14.25" customHeight="1" x14ac:dyDescent="0.4">
      <c r="A402">
        <v>378</v>
      </c>
      <c r="B402" s="34">
        <v>0</v>
      </c>
      <c r="C402" s="34" t="s">
        <v>2165</v>
      </c>
      <c r="D402" s="34" t="s">
        <v>23</v>
      </c>
      <c r="E402" s="32">
        <v>40752</v>
      </c>
      <c r="F402" s="24" t="s">
        <v>393</v>
      </c>
      <c r="G402" s="24">
        <v>40760</v>
      </c>
      <c r="H402" s="134">
        <v>50</v>
      </c>
      <c r="I402" s="23">
        <v>40725</v>
      </c>
      <c r="J402" s="37">
        <v>50</v>
      </c>
      <c r="K402" s="24" t="s">
        <v>411</v>
      </c>
      <c r="L402" s="24">
        <v>0</v>
      </c>
      <c r="M402" s="32">
        <v>40668</v>
      </c>
      <c r="N402" s="22" t="s">
        <v>673</v>
      </c>
      <c r="O402" s="4">
        <v>9120294</v>
      </c>
      <c r="P402" s="22">
        <v>1020</v>
      </c>
      <c r="Q402" s="22">
        <v>50</v>
      </c>
      <c r="R402" s="22" t="s">
        <v>696</v>
      </c>
      <c r="S402" s="4" t="s">
        <v>613</v>
      </c>
      <c r="T402" s="4" t="s">
        <v>404</v>
      </c>
      <c r="U402" s="42">
        <v>41009</v>
      </c>
      <c r="V402" s="4" t="s">
        <v>404</v>
      </c>
      <c r="W402" s="28" t="s">
        <v>1232</v>
      </c>
      <c r="X402" s="74"/>
      <c r="Y402" s="28" t="e">
        <v>#REF!</v>
      </c>
      <c r="Z402" s="28"/>
      <c r="AA402" s="24" t="s">
        <v>393</v>
      </c>
      <c r="AB402" s="28">
        <v>40760</v>
      </c>
    </row>
    <row r="403" spans="1:29" ht="14.25" customHeight="1" x14ac:dyDescent="0.4">
      <c r="A403">
        <v>379</v>
      </c>
      <c r="B403" s="34">
        <v>0</v>
      </c>
      <c r="C403" s="34" t="s">
        <v>2165</v>
      </c>
      <c r="D403" s="34">
        <v>0</v>
      </c>
      <c r="E403" s="32">
        <v>40752</v>
      </c>
      <c r="F403" s="24" t="s">
        <v>393</v>
      </c>
      <c r="G403" s="24">
        <v>40757</v>
      </c>
      <c r="H403" s="134">
        <v>51</v>
      </c>
      <c r="I403" s="23">
        <v>40725</v>
      </c>
      <c r="J403" s="37">
        <v>51</v>
      </c>
      <c r="K403" s="24" t="s">
        <v>411</v>
      </c>
      <c r="L403" s="24">
        <v>0</v>
      </c>
      <c r="M403" s="32">
        <v>40668</v>
      </c>
      <c r="N403" s="22" t="s">
        <v>673</v>
      </c>
      <c r="O403" s="4">
        <v>9120295</v>
      </c>
      <c r="P403" s="22">
        <v>1020</v>
      </c>
      <c r="Q403" s="22">
        <v>50</v>
      </c>
      <c r="R403" s="22" t="s">
        <v>698</v>
      </c>
      <c r="S403" s="4" t="s">
        <v>166</v>
      </c>
      <c r="T403" s="4" t="s">
        <v>404</v>
      </c>
      <c r="U403" s="42">
        <v>40810</v>
      </c>
      <c r="V403" s="4" t="s">
        <v>404</v>
      </c>
      <c r="W403" s="28" t="s">
        <v>1232</v>
      </c>
      <c r="X403" s="74"/>
      <c r="Y403" s="28" t="e">
        <v>#REF!</v>
      </c>
      <c r="Z403" s="9"/>
      <c r="AA403" s="24" t="s">
        <v>393</v>
      </c>
      <c r="AB403" s="28">
        <v>40757</v>
      </c>
    </row>
    <row r="404" spans="1:29" ht="14.25" customHeight="1" x14ac:dyDescent="0.4">
      <c r="A404">
        <v>380</v>
      </c>
      <c r="B404" s="34">
        <v>0</v>
      </c>
      <c r="C404" s="34" t="s">
        <v>2165</v>
      </c>
      <c r="D404" s="34">
        <v>0</v>
      </c>
      <c r="E404" s="32">
        <v>40753</v>
      </c>
      <c r="F404" s="24" t="s">
        <v>393</v>
      </c>
      <c r="G404" s="24">
        <v>40758</v>
      </c>
      <c r="H404" s="134">
        <v>52</v>
      </c>
      <c r="I404" s="23">
        <v>40725</v>
      </c>
      <c r="J404" s="37">
        <v>52</v>
      </c>
      <c r="K404" s="24" t="s">
        <v>411</v>
      </c>
      <c r="L404" s="24">
        <v>0</v>
      </c>
      <c r="M404" s="32">
        <v>40668</v>
      </c>
      <c r="N404" s="22" t="s">
        <v>673</v>
      </c>
      <c r="O404" s="4">
        <v>9120296</v>
      </c>
      <c r="P404" s="22">
        <v>1020</v>
      </c>
      <c r="Q404" s="22">
        <v>50</v>
      </c>
      <c r="R404" s="22" t="s">
        <v>699</v>
      </c>
      <c r="S404" s="4" t="s">
        <v>445</v>
      </c>
      <c r="T404" s="4" t="s">
        <v>404</v>
      </c>
      <c r="U404" s="44">
        <v>40847</v>
      </c>
      <c r="V404" s="4" t="s">
        <v>404</v>
      </c>
      <c r="W404" s="28" t="s">
        <v>1232</v>
      </c>
      <c r="Y404" s="28" t="e">
        <v>#REF!</v>
      </c>
      <c r="Z404" s="9"/>
      <c r="AA404" s="24" t="s">
        <v>393</v>
      </c>
      <c r="AB404" s="28">
        <v>40758</v>
      </c>
    </row>
    <row r="405" spans="1:29" ht="14.25" customHeight="1" x14ac:dyDescent="0.4">
      <c r="A405">
        <v>381</v>
      </c>
      <c r="B405" s="34">
        <v>0</v>
      </c>
      <c r="C405" s="34" t="s">
        <v>2165</v>
      </c>
      <c r="D405" s="34">
        <v>0</v>
      </c>
      <c r="E405" s="32">
        <v>40753</v>
      </c>
      <c r="F405" s="24" t="s">
        <v>393</v>
      </c>
      <c r="G405" s="24">
        <v>40757</v>
      </c>
      <c r="H405" s="134">
        <v>53</v>
      </c>
      <c r="I405" s="23">
        <v>40725</v>
      </c>
      <c r="J405" s="37">
        <v>53</v>
      </c>
      <c r="K405" s="24" t="s">
        <v>411</v>
      </c>
      <c r="L405" s="24">
        <v>0</v>
      </c>
      <c r="M405" s="32">
        <v>40668</v>
      </c>
      <c r="N405" s="22" t="s">
        <v>673</v>
      </c>
      <c r="O405" s="4">
        <v>9120297</v>
      </c>
      <c r="P405" s="22">
        <v>1020</v>
      </c>
      <c r="Q405" s="22">
        <v>50</v>
      </c>
      <c r="R405" s="22" t="s">
        <v>846</v>
      </c>
      <c r="S405" s="4" t="s">
        <v>2024</v>
      </c>
      <c r="T405" s="4" t="s">
        <v>404</v>
      </c>
      <c r="U405" s="44">
        <v>40906</v>
      </c>
      <c r="V405" s="4" t="s">
        <v>404</v>
      </c>
      <c r="W405" s="28" t="s">
        <v>1232</v>
      </c>
      <c r="X405" s="74"/>
      <c r="Y405" s="28" t="e">
        <v>#REF!</v>
      </c>
      <c r="Z405" s="28"/>
      <c r="AA405" s="24" t="s">
        <v>393</v>
      </c>
      <c r="AB405" s="28">
        <v>40757</v>
      </c>
    </row>
    <row r="406" spans="1:29" ht="14.25" customHeight="1" x14ac:dyDescent="0.4">
      <c r="A406">
        <v>382</v>
      </c>
      <c r="B406" s="32">
        <v>40753</v>
      </c>
      <c r="C406" s="32">
        <v>40753</v>
      </c>
      <c r="D406" s="32">
        <v>40753</v>
      </c>
      <c r="E406" s="32">
        <v>40753</v>
      </c>
      <c r="F406" s="24" t="s">
        <v>393</v>
      </c>
      <c r="G406" s="24">
        <v>40764</v>
      </c>
      <c r="H406" s="134">
        <v>54</v>
      </c>
      <c r="I406" s="23">
        <v>40725</v>
      </c>
      <c r="J406" s="37">
        <v>54</v>
      </c>
      <c r="K406" s="24" t="s">
        <v>411</v>
      </c>
      <c r="L406" s="24">
        <v>0</v>
      </c>
      <c r="M406" s="32">
        <v>40668</v>
      </c>
      <c r="N406" s="22" t="s">
        <v>673</v>
      </c>
      <c r="O406" s="4">
        <v>9120298</v>
      </c>
      <c r="P406" s="22">
        <v>1020</v>
      </c>
      <c r="Q406" s="22">
        <v>50</v>
      </c>
      <c r="R406" s="22" t="s">
        <v>1575</v>
      </c>
      <c r="S406" s="4" t="s">
        <v>1844</v>
      </c>
      <c r="T406" s="4" t="s">
        <v>404</v>
      </c>
      <c r="U406" s="168">
        <v>40844</v>
      </c>
      <c r="V406" s="4" t="s">
        <v>404</v>
      </c>
      <c r="W406" s="28" t="s">
        <v>1232</v>
      </c>
      <c r="X406" s="74"/>
      <c r="Y406" s="28" t="e">
        <v>#REF!</v>
      </c>
      <c r="Z406" s="28"/>
      <c r="AA406" s="24" t="s">
        <v>393</v>
      </c>
      <c r="AB406" s="28">
        <v>40764</v>
      </c>
      <c r="AC406" s="121" t="s">
        <v>393</v>
      </c>
    </row>
    <row r="407" spans="1:29" ht="14.25" customHeight="1" x14ac:dyDescent="0.4">
      <c r="A407">
        <v>383</v>
      </c>
      <c r="B407" s="32">
        <v>40756</v>
      </c>
      <c r="C407" s="32">
        <v>40756</v>
      </c>
      <c r="D407" s="32">
        <v>40756</v>
      </c>
      <c r="E407" s="32">
        <v>40756</v>
      </c>
      <c r="F407" s="24" t="s">
        <v>393</v>
      </c>
      <c r="G407" s="24">
        <v>40777</v>
      </c>
      <c r="H407" s="134">
        <v>55</v>
      </c>
      <c r="I407" s="23">
        <v>40725</v>
      </c>
      <c r="J407" s="37">
        <v>55</v>
      </c>
      <c r="K407" s="24" t="s">
        <v>411</v>
      </c>
      <c r="L407" s="24">
        <v>0</v>
      </c>
      <c r="M407" s="32">
        <v>40668</v>
      </c>
      <c r="N407" s="22" t="s">
        <v>673</v>
      </c>
      <c r="O407" s="4">
        <v>9120299</v>
      </c>
      <c r="P407" s="22">
        <v>1020</v>
      </c>
      <c r="Q407" s="22">
        <v>50</v>
      </c>
      <c r="R407" s="22" t="s">
        <v>810</v>
      </c>
      <c r="S407" s="4" t="s">
        <v>161</v>
      </c>
      <c r="T407" s="4"/>
      <c r="U407" s="42"/>
      <c r="V407" s="4"/>
      <c r="W407" s="28"/>
      <c r="X407" s="74"/>
      <c r="Y407" s="28" t="e">
        <v>#REF!</v>
      </c>
      <c r="Z407" s="28"/>
      <c r="AA407" s="24" t="s">
        <v>393</v>
      </c>
      <c r="AB407" s="28">
        <v>40777</v>
      </c>
    </row>
    <row r="408" spans="1:29" ht="14.25" customHeight="1" x14ac:dyDescent="0.4">
      <c r="A408">
        <v>384</v>
      </c>
      <c r="B408" s="32">
        <v>40744</v>
      </c>
      <c r="C408" s="32">
        <v>40744</v>
      </c>
      <c r="D408" s="32">
        <v>40744</v>
      </c>
      <c r="E408" s="32">
        <v>40744</v>
      </c>
      <c r="F408" s="24" t="s">
        <v>393</v>
      </c>
      <c r="G408" s="24">
        <v>40756</v>
      </c>
      <c r="H408" s="134">
        <v>31</v>
      </c>
      <c r="I408" s="23">
        <v>40725</v>
      </c>
      <c r="J408" s="37">
        <v>31</v>
      </c>
      <c r="K408" s="24" t="s">
        <v>411</v>
      </c>
      <c r="L408" s="24">
        <v>0</v>
      </c>
      <c r="M408" s="32">
        <v>40668</v>
      </c>
      <c r="N408" s="22" t="s">
        <v>673</v>
      </c>
      <c r="O408" s="4">
        <v>9120300</v>
      </c>
      <c r="P408" s="22">
        <v>720</v>
      </c>
      <c r="Q408" s="22">
        <v>42</v>
      </c>
      <c r="R408" s="22" t="s">
        <v>826</v>
      </c>
      <c r="S408" s="4" t="s">
        <v>161</v>
      </c>
      <c r="T408" s="4"/>
      <c r="U408" s="42"/>
      <c r="V408" s="4"/>
      <c r="W408" s="28"/>
      <c r="X408" s="74"/>
      <c r="Y408" s="28" t="e">
        <v>#REF!</v>
      </c>
      <c r="Z408" s="9"/>
      <c r="AA408" s="24" t="s">
        <v>393</v>
      </c>
      <c r="AB408" s="28">
        <v>40756</v>
      </c>
    </row>
    <row r="409" spans="1:29" ht="14.25" customHeight="1" x14ac:dyDescent="0.4">
      <c r="A409">
        <v>385</v>
      </c>
      <c r="B409" s="32">
        <v>40878</v>
      </c>
      <c r="C409" s="32">
        <v>40878</v>
      </c>
      <c r="D409" s="32">
        <v>40878</v>
      </c>
      <c r="E409" s="32">
        <v>40878</v>
      </c>
      <c r="F409" s="24" t="s">
        <v>393</v>
      </c>
      <c r="G409" s="24">
        <v>40883</v>
      </c>
      <c r="H409" s="35">
        <v>316</v>
      </c>
      <c r="I409" s="23">
        <v>40878</v>
      </c>
      <c r="J409" s="37">
        <v>6</v>
      </c>
      <c r="K409" s="24" t="s">
        <v>411</v>
      </c>
      <c r="L409" s="24">
        <v>0</v>
      </c>
      <c r="M409" s="32">
        <v>40813</v>
      </c>
      <c r="N409" s="22" t="s">
        <v>673</v>
      </c>
      <c r="O409" s="4">
        <v>9120487</v>
      </c>
      <c r="P409" s="22">
        <v>1020</v>
      </c>
      <c r="Q409" s="22">
        <v>42</v>
      </c>
      <c r="R409" s="22" t="s">
        <v>822</v>
      </c>
      <c r="S409" s="4" t="s">
        <v>163</v>
      </c>
      <c r="T409" s="11" t="s">
        <v>404</v>
      </c>
      <c r="U409" s="166">
        <v>41117</v>
      </c>
      <c r="V409" s="4" t="s">
        <v>404</v>
      </c>
      <c r="W409" s="28">
        <v>41124</v>
      </c>
      <c r="Y409" s="28" t="e">
        <v>#REF!</v>
      </c>
      <c r="AA409" s="24" t="s">
        <v>393</v>
      </c>
      <c r="AB409" s="28">
        <v>40883</v>
      </c>
    </row>
    <row r="410" spans="1:29" ht="14.25" customHeight="1" x14ac:dyDescent="0.4">
      <c r="A410">
        <v>386</v>
      </c>
      <c r="B410" s="32">
        <v>40879</v>
      </c>
      <c r="C410" s="32">
        <v>40879</v>
      </c>
      <c r="D410" s="32">
        <v>40879</v>
      </c>
      <c r="E410" s="32">
        <v>40879</v>
      </c>
      <c r="F410" s="24" t="s">
        <v>393</v>
      </c>
      <c r="G410" s="24">
        <v>40897</v>
      </c>
      <c r="H410" s="35">
        <v>317</v>
      </c>
      <c r="I410" s="23">
        <v>40878</v>
      </c>
      <c r="J410" s="37">
        <v>7</v>
      </c>
      <c r="K410" s="24" t="s">
        <v>411</v>
      </c>
      <c r="L410" s="24">
        <v>0</v>
      </c>
      <c r="M410" s="32">
        <v>40813</v>
      </c>
      <c r="N410" s="22" t="s">
        <v>673</v>
      </c>
      <c r="O410" s="4">
        <v>9120488</v>
      </c>
      <c r="P410" s="22">
        <v>1020</v>
      </c>
      <c r="Q410" s="22">
        <v>42</v>
      </c>
      <c r="R410" s="22" t="s">
        <v>815</v>
      </c>
      <c r="S410" s="4" t="s">
        <v>161</v>
      </c>
      <c r="T410" s="4"/>
      <c r="U410" s="164"/>
      <c r="V410" s="4"/>
      <c r="W410" s="28"/>
      <c r="Y410" s="28" t="e">
        <v>#REF!</v>
      </c>
      <c r="AA410" s="24" t="s">
        <v>393</v>
      </c>
      <c r="AB410" s="28">
        <v>40897</v>
      </c>
    </row>
    <row r="411" spans="1:29" ht="14.25" customHeight="1" x14ac:dyDescent="0.4">
      <c r="A411">
        <v>387</v>
      </c>
      <c r="B411" s="32">
        <v>40879</v>
      </c>
      <c r="C411" s="32">
        <v>40879</v>
      </c>
      <c r="D411" s="32">
        <v>40879</v>
      </c>
      <c r="E411" s="32">
        <v>40879</v>
      </c>
      <c r="F411" s="24" t="s">
        <v>393</v>
      </c>
      <c r="G411" s="24">
        <v>40897</v>
      </c>
      <c r="H411" s="35">
        <v>318</v>
      </c>
      <c r="I411" s="23">
        <v>40878</v>
      </c>
      <c r="J411" s="37">
        <v>8</v>
      </c>
      <c r="K411" s="24" t="s">
        <v>411</v>
      </c>
      <c r="L411" s="24">
        <v>0</v>
      </c>
      <c r="M411" s="32">
        <v>40813</v>
      </c>
      <c r="N411" s="22" t="s">
        <v>673</v>
      </c>
      <c r="O411" s="4">
        <v>9120489</v>
      </c>
      <c r="P411" s="22">
        <v>1020</v>
      </c>
      <c r="Q411" s="22">
        <v>42</v>
      </c>
      <c r="R411" s="22" t="s">
        <v>1620</v>
      </c>
      <c r="S411" s="4" t="s">
        <v>31</v>
      </c>
      <c r="T411" s="4" t="s">
        <v>404</v>
      </c>
      <c r="U411" s="164">
        <v>41163</v>
      </c>
      <c r="V411" s="4" t="s">
        <v>404</v>
      </c>
      <c r="W411" s="28">
        <v>41163</v>
      </c>
      <c r="Y411" s="28" t="e">
        <v>#REF!</v>
      </c>
      <c r="AA411" s="24" t="s">
        <v>393</v>
      </c>
      <c r="AB411" s="28">
        <v>40897</v>
      </c>
    </row>
    <row r="412" spans="1:29" ht="14.25" customHeight="1" x14ac:dyDescent="0.4">
      <c r="A412">
        <v>388</v>
      </c>
      <c r="B412" s="32">
        <v>40879</v>
      </c>
      <c r="C412" s="32">
        <v>40879</v>
      </c>
      <c r="D412" s="32">
        <v>40879</v>
      </c>
      <c r="E412" s="32">
        <v>40879</v>
      </c>
      <c r="F412" s="24" t="s">
        <v>393</v>
      </c>
      <c r="G412" s="24">
        <v>40898</v>
      </c>
      <c r="H412" s="35">
        <v>319</v>
      </c>
      <c r="I412" s="23">
        <v>40878</v>
      </c>
      <c r="J412" s="37">
        <v>9</v>
      </c>
      <c r="K412" s="24" t="s">
        <v>411</v>
      </c>
      <c r="L412" s="24">
        <v>0</v>
      </c>
      <c r="M412" s="32">
        <v>40813</v>
      </c>
      <c r="N412" s="22" t="s">
        <v>673</v>
      </c>
      <c r="O412" s="4">
        <v>9120490</v>
      </c>
      <c r="P412" s="22">
        <v>1020</v>
      </c>
      <c r="Q412" s="22">
        <v>42</v>
      </c>
      <c r="R412" s="22" t="s">
        <v>2420</v>
      </c>
      <c r="S412" s="4" t="s">
        <v>161</v>
      </c>
      <c r="T412" s="4"/>
      <c r="U412" s="164"/>
      <c r="V412" s="4"/>
      <c r="W412" s="28"/>
      <c r="Y412" s="28" t="e">
        <v>#REF!</v>
      </c>
      <c r="AA412" s="24" t="s">
        <v>393</v>
      </c>
      <c r="AB412" s="28">
        <v>40898</v>
      </c>
    </row>
    <row r="413" spans="1:29" ht="14.25" customHeight="1" x14ac:dyDescent="0.4">
      <c r="A413">
        <v>389</v>
      </c>
      <c r="B413" s="32">
        <v>40886</v>
      </c>
      <c r="C413" s="32">
        <v>40886</v>
      </c>
      <c r="D413" s="32">
        <v>40886</v>
      </c>
      <c r="E413" s="32">
        <v>40886</v>
      </c>
      <c r="F413" s="24" t="s">
        <v>393</v>
      </c>
      <c r="G413" s="24">
        <v>40898</v>
      </c>
      <c r="H413" s="35">
        <v>332</v>
      </c>
      <c r="I413" s="23">
        <v>40878</v>
      </c>
      <c r="J413" s="37">
        <v>22</v>
      </c>
      <c r="K413" s="24" t="s">
        <v>411</v>
      </c>
      <c r="L413" s="24">
        <v>0</v>
      </c>
      <c r="M413" s="32">
        <v>40813</v>
      </c>
      <c r="N413" s="22" t="s">
        <v>673</v>
      </c>
      <c r="O413" s="4">
        <v>9120491</v>
      </c>
      <c r="P413" s="22">
        <v>1020</v>
      </c>
      <c r="Q413" s="22">
        <v>42</v>
      </c>
      <c r="R413" s="22" t="s">
        <v>833</v>
      </c>
      <c r="S413" s="4" t="s">
        <v>248</v>
      </c>
      <c r="T413" s="4" t="s">
        <v>404</v>
      </c>
      <c r="U413" s="164">
        <v>41089</v>
      </c>
      <c r="V413" s="4" t="s">
        <v>404</v>
      </c>
      <c r="W413" s="28">
        <v>41089</v>
      </c>
      <c r="Y413" s="28" t="e">
        <v>#REF!</v>
      </c>
      <c r="AA413" s="24" t="s">
        <v>393</v>
      </c>
      <c r="AB413" s="28">
        <v>40898</v>
      </c>
    </row>
    <row r="414" spans="1:29" ht="14.25" customHeight="1" x14ac:dyDescent="0.4">
      <c r="A414">
        <v>390</v>
      </c>
      <c r="B414" s="32">
        <v>40889</v>
      </c>
      <c r="C414" s="32">
        <v>40889</v>
      </c>
      <c r="D414" s="32">
        <v>40889</v>
      </c>
      <c r="E414" s="32">
        <v>40889</v>
      </c>
      <c r="F414" s="24" t="s">
        <v>393</v>
      </c>
      <c r="G414" s="24">
        <v>40905</v>
      </c>
      <c r="H414" s="35">
        <v>335</v>
      </c>
      <c r="I414" s="23">
        <v>40878</v>
      </c>
      <c r="J414" s="37">
        <v>25</v>
      </c>
      <c r="K414" s="24" t="s">
        <v>411</v>
      </c>
      <c r="L414" s="24">
        <v>0</v>
      </c>
      <c r="M414" s="32">
        <v>40813</v>
      </c>
      <c r="N414" s="22" t="s">
        <v>673</v>
      </c>
      <c r="O414" s="4">
        <v>9120492</v>
      </c>
      <c r="P414" s="22">
        <v>1020</v>
      </c>
      <c r="Q414" s="22">
        <v>42</v>
      </c>
      <c r="R414" s="22" t="s">
        <v>2421</v>
      </c>
      <c r="S414" s="4" t="s">
        <v>247</v>
      </c>
      <c r="T414" s="4" t="s">
        <v>404</v>
      </c>
      <c r="U414" s="164">
        <v>41086</v>
      </c>
      <c r="V414" s="4" t="s">
        <v>404</v>
      </c>
      <c r="W414" s="28">
        <v>41086</v>
      </c>
      <c r="Y414" s="28" t="e">
        <v>#REF!</v>
      </c>
      <c r="AA414" s="24" t="s">
        <v>393</v>
      </c>
      <c r="AB414" s="28">
        <v>40905</v>
      </c>
    </row>
    <row r="415" spans="1:29" ht="14.25" customHeight="1" x14ac:dyDescent="0.4">
      <c r="A415">
        <v>391</v>
      </c>
      <c r="B415" s="32">
        <v>40962</v>
      </c>
      <c r="C415" s="32">
        <v>40962</v>
      </c>
      <c r="D415" s="32">
        <v>40962</v>
      </c>
      <c r="E415" s="32">
        <v>40962</v>
      </c>
      <c r="F415" s="24" t="s">
        <v>393</v>
      </c>
      <c r="G415" s="24">
        <v>40968</v>
      </c>
      <c r="H415" s="35">
        <v>480</v>
      </c>
      <c r="I415" s="23">
        <v>40940</v>
      </c>
      <c r="J415" s="37">
        <v>50</v>
      </c>
      <c r="K415" s="24" t="s">
        <v>411</v>
      </c>
      <c r="L415" s="24">
        <v>0</v>
      </c>
      <c r="M415" s="32">
        <v>40862</v>
      </c>
      <c r="N415" s="22" t="s">
        <v>673</v>
      </c>
      <c r="O415" s="4">
        <v>9120519</v>
      </c>
      <c r="P415" s="22">
        <v>1020</v>
      </c>
      <c r="Q415" s="22">
        <v>50</v>
      </c>
      <c r="R415" s="22" t="s">
        <v>2422</v>
      </c>
      <c r="S415" s="3" t="s">
        <v>1646</v>
      </c>
      <c r="T415" s="4" t="s">
        <v>404</v>
      </c>
      <c r="U415" s="164">
        <v>41019</v>
      </c>
      <c r="V415" s="4" t="s">
        <v>404</v>
      </c>
      <c r="W415" s="28" t="s">
        <v>1232</v>
      </c>
      <c r="Y415" s="28" t="e">
        <v>#REF!</v>
      </c>
      <c r="AA415" s="24" t="s">
        <v>393</v>
      </c>
      <c r="AB415" s="28">
        <v>40968</v>
      </c>
    </row>
    <row r="416" spans="1:29" ht="14.25" customHeight="1" x14ac:dyDescent="0.4">
      <c r="A416">
        <v>392</v>
      </c>
      <c r="B416" s="32">
        <v>40974</v>
      </c>
      <c r="C416" s="32">
        <v>40974</v>
      </c>
      <c r="D416" s="32">
        <v>40974</v>
      </c>
      <c r="E416" s="32">
        <v>40974</v>
      </c>
      <c r="F416" s="24" t="s">
        <v>393</v>
      </c>
      <c r="G416" s="24">
        <v>40981</v>
      </c>
      <c r="H416" s="35">
        <v>502</v>
      </c>
      <c r="I416" s="23">
        <v>40969</v>
      </c>
      <c r="J416" s="37">
        <v>9</v>
      </c>
      <c r="K416" s="24" t="s">
        <v>411</v>
      </c>
      <c r="L416" s="24">
        <v>0</v>
      </c>
      <c r="M416" s="32">
        <v>40862</v>
      </c>
      <c r="N416" s="22" t="s">
        <v>673</v>
      </c>
      <c r="O416" s="4">
        <v>9120520</v>
      </c>
      <c r="P416" s="22">
        <v>1020</v>
      </c>
      <c r="Q416" s="22">
        <v>50</v>
      </c>
      <c r="R416" s="22" t="s">
        <v>820</v>
      </c>
      <c r="S416" s="3" t="s">
        <v>1875</v>
      </c>
      <c r="T416" s="4" t="s">
        <v>404</v>
      </c>
      <c r="U416" s="164">
        <v>40963</v>
      </c>
      <c r="V416" s="4" t="s">
        <v>404</v>
      </c>
      <c r="W416" s="28" t="s">
        <v>1232</v>
      </c>
      <c r="Y416" s="28" t="e">
        <v>#REF!</v>
      </c>
      <c r="AA416" s="24" t="s">
        <v>393</v>
      </c>
      <c r="AB416" s="28">
        <v>40981</v>
      </c>
    </row>
    <row r="417" spans="1:28" ht="14.25" customHeight="1" x14ac:dyDescent="0.4">
      <c r="A417">
        <v>393</v>
      </c>
      <c r="B417" s="32">
        <v>40928</v>
      </c>
      <c r="C417" s="32">
        <v>40928</v>
      </c>
      <c r="D417" s="32">
        <v>40928</v>
      </c>
      <c r="E417" s="32">
        <v>40928</v>
      </c>
      <c r="F417" s="24" t="s">
        <v>393</v>
      </c>
      <c r="G417" s="24">
        <v>40947</v>
      </c>
      <c r="H417" s="35">
        <v>411</v>
      </c>
      <c r="I417" s="23">
        <v>40909</v>
      </c>
      <c r="J417" s="37">
        <v>44</v>
      </c>
      <c r="K417" s="24" t="s">
        <v>411</v>
      </c>
      <c r="L417" s="24">
        <v>0</v>
      </c>
      <c r="M417" s="32">
        <v>40862</v>
      </c>
      <c r="N417" s="22" t="s">
        <v>673</v>
      </c>
      <c r="O417" s="4">
        <v>9120521</v>
      </c>
      <c r="P417" s="22">
        <v>1020</v>
      </c>
      <c r="Q417" s="22">
        <v>42</v>
      </c>
      <c r="R417" s="22" t="s">
        <v>848</v>
      </c>
      <c r="S417" s="3" t="s">
        <v>246</v>
      </c>
      <c r="T417" s="4" t="s">
        <v>404</v>
      </c>
      <c r="U417" s="164">
        <v>41087</v>
      </c>
      <c r="V417" s="4" t="s">
        <v>404</v>
      </c>
      <c r="W417" s="28">
        <v>41087</v>
      </c>
      <c r="Y417" s="28" t="e">
        <v>#REF!</v>
      </c>
      <c r="AA417" s="24" t="s">
        <v>393</v>
      </c>
      <c r="AB417" s="28">
        <v>40947</v>
      </c>
    </row>
    <row r="418" spans="1:28" ht="14.25" customHeight="1" x14ac:dyDescent="0.4">
      <c r="A418">
        <v>394</v>
      </c>
      <c r="B418" s="32">
        <v>40928</v>
      </c>
      <c r="C418" s="32">
        <v>40928</v>
      </c>
      <c r="D418" s="32">
        <v>40928</v>
      </c>
      <c r="E418" s="32">
        <v>40928</v>
      </c>
      <c r="F418" s="24" t="s">
        <v>393</v>
      </c>
      <c r="G418" s="24">
        <v>40941</v>
      </c>
      <c r="H418" s="35">
        <v>412</v>
      </c>
      <c r="I418" s="23">
        <v>40909</v>
      </c>
      <c r="J418" s="37">
        <v>45</v>
      </c>
      <c r="K418" s="24" t="s">
        <v>411</v>
      </c>
      <c r="L418" s="24">
        <v>0</v>
      </c>
      <c r="M418" s="32">
        <v>40862</v>
      </c>
      <c r="N418" s="22" t="s">
        <v>673</v>
      </c>
      <c r="O418" s="4">
        <v>9120522</v>
      </c>
      <c r="P418" s="22">
        <v>1020</v>
      </c>
      <c r="Q418" s="22">
        <v>42</v>
      </c>
      <c r="R418" s="22" t="s">
        <v>2705</v>
      </c>
      <c r="S418" s="3" t="s">
        <v>451</v>
      </c>
      <c r="T418" s="4" t="s">
        <v>404</v>
      </c>
      <c r="U418" s="164">
        <v>40980</v>
      </c>
      <c r="V418" s="4" t="s">
        <v>404</v>
      </c>
      <c r="W418" s="28" t="s">
        <v>1232</v>
      </c>
      <c r="Y418" s="28" t="e">
        <v>#REF!</v>
      </c>
      <c r="AA418" s="24" t="s">
        <v>393</v>
      </c>
      <c r="AB418" s="28">
        <v>40941</v>
      </c>
    </row>
    <row r="419" spans="1:28" ht="14.25" customHeight="1" x14ac:dyDescent="0.4">
      <c r="A419">
        <v>395</v>
      </c>
      <c r="B419" s="34">
        <v>0</v>
      </c>
      <c r="C419" s="34" t="s">
        <v>2165</v>
      </c>
      <c r="D419" s="34">
        <v>0</v>
      </c>
      <c r="E419" s="32">
        <v>40975</v>
      </c>
      <c r="F419" s="24" t="s">
        <v>393</v>
      </c>
      <c r="G419" s="24">
        <v>40983</v>
      </c>
      <c r="H419" s="134">
        <v>507</v>
      </c>
      <c r="I419" s="23">
        <v>40969</v>
      </c>
      <c r="J419" s="37">
        <v>14</v>
      </c>
      <c r="K419" s="24" t="s">
        <v>524</v>
      </c>
      <c r="L419" s="24">
        <v>0</v>
      </c>
      <c r="M419" s="24">
        <v>40931</v>
      </c>
      <c r="N419" s="22" t="s">
        <v>1423</v>
      </c>
      <c r="O419" s="4">
        <v>9120540</v>
      </c>
      <c r="P419" s="22">
        <v>720</v>
      </c>
      <c r="Q419" s="22">
        <v>50</v>
      </c>
      <c r="R419" s="22" t="s">
        <v>957</v>
      </c>
      <c r="S419" s="3" t="s">
        <v>1284</v>
      </c>
      <c r="T419" s="3" t="s">
        <v>404</v>
      </c>
      <c r="U419" s="164">
        <v>41076</v>
      </c>
      <c r="Y419" s="28" t="e">
        <v>#REF!</v>
      </c>
      <c r="AA419" s="24" t="s">
        <v>393</v>
      </c>
      <c r="AB419" s="28">
        <v>40983</v>
      </c>
    </row>
    <row r="420" spans="1:28" ht="14.25" customHeight="1" x14ac:dyDescent="0.4">
      <c r="A420">
        <v>396</v>
      </c>
      <c r="B420" s="34">
        <v>0</v>
      </c>
      <c r="C420" s="34">
        <v>0</v>
      </c>
      <c r="D420" s="34">
        <v>0</v>
      </c>
      <c r="E420" s="32">
        <v>40976</v>
      </c>
      <c r="F420" s="24" t="s">
        <v>393</v>
      </c>
      <c r="G420" s="24">
        <v>40990</v>
      </c>
      <c r="H420" s="134">
        <v>508</v>
      </c>
      <c r="I420" s="23">
        <v>40969</v>
      </c>
      <c r="J420" s="37">
        <v>15</v>
      </c>
      <c r="K420" s="24" t="s">
        <v>524</v>
      </c>
      <c r="L420" s="24">
        <v>0</v>
      </c>
      <c r="M420" s="32">
        <v>40931</v>
      </c>
      <c r="N420" s="22" t="s">
        <v>1423</v>
      </c>
      <c r="O420" s="4">
        <v>9120541</v>
      </c>
      <c r="P420" s="22">
        <v>720</v>
      </c>
      <c r="Q420" s="22">
        <v>50</v>
      </c>
      <c r="R420" s="22" t="s">
        <v>959</v>
      </c>
      <c r="S420" s="3" t="s">
        <v>910</v>
      </c>
      <c r="T420" s="3" t="s">
        <v>404</v>
      </c>
      <c r="U420" s="164">
        <v>41128</v>
      </c>
      <c r="Y420" s="28" t="e">
        <v>#REF!</v>
      </c>
      <c r="AA420" s="24" t="s">
        <v>393</v>
      </c>
      <c r="AB420" s="28">
        <v>40990</v>
      </c>
    </row>
    <row r="421" spans="1:28" ht="14.25" customHeight="1" x14ac:dyDescent="0.4">
      <c r="A421">
        <v>397</v>
      </c>
      <c r="B421" s="34">
        <v>0</v>
      </c>
      <c r="C421" s="34">
        <v>0</v>
      </c>
      <c r="D421" s="34">
        <v>0</v>
      </c>
      <c r="E421" s="32">
        <v>41009</v>
      </c>
      <c r="F421" s="24" t="s">
        <v>393</v>
      </c>
      <c r="G421" s="24">
        <v>41019</v>
      </c>
      <c r="H421" s="134">
        <v>541</v>
      </c>
      <c r="I421" s="23">
        <v>41000</v>
      </c>
      <c r="J421" s="37">
        <v>1</v>
      </c>
      <c r="K421" s="24" t="s">
        <v>524</v>
      </c>
      <c r="L421" s="24">
        <v>0</v>
      </c>
      <c r="M421" s="32">
        <v>40931</v>
      </c>
      <c r="N421" s="22" t="s">
        <v>1423</v>
      </c>
      <c r="O421" s="4">
        <v>9120542</v>
      </c>
      <c r="P421" s="22">
        <v>1020</v>
      </c>
      <c r="Q421" s="22">
        <v>50</v>
      </c>
      <c r="R421" s="22" t="s">
        <v>2425</v>
      </c>
      <c r="T421"/>
      <c r="U421" s="164"/>
      <c r="Y421" s="28" t="e">
        <v>#REF!</v>
      </c>
      <c r="AA421" s="24" t="s">
        <v>393</v>
      </c>
      <c r="AB421" s="28">
        <v>41019</v>
      </c>
    </row>
    <row r="422" spans="1:28" ht="14.25" customHeight="1" x14ac:dyDescent="0.4">
      <c r="A422">
        <v>398</v>
      </c>
      <c r="B422" s="32">
        <v>40764</v>
      </c>
      <c r="C422" s="32">
        <v>40764</v>
      </c>
      <c r="D422" s="32">
        <v>40764</v>
      </c>
      <c r="E422" s="32">
        <v>40764</v>
      </c>
      <c r="F422" s="24" t="s">
        <v>393</v>
      </c>
      <c r="G422" s="24">
        <v>40770</v>
      </c>
      <c r="H422" s="134">
        <v>74</v>
      </c>
      <c r="I422" s="23">
        <v>40756</v>
      </c>
      <c r="J422" s="37">
        <v>19</v>
      </c>
      <c r="K422" s="24" t="s">
        <v>524</v>
      </c>
      <c r="L422" s="24">
        <v>40940</v>
      </c>
      <c r="M422" s="32">
        <v>40669</v>
      </c>
      <c r="N422" s="22" t="s">
        <v>1953</v>
      </c>
      <c r="O422" s="4">
        <v>9120330</v>
      </c>
      <c r="P422" s="22">
        <v>720</v>
      </c>
      <c r="Q422" s="22">
        <v>42</v>
      </c>
      <c r="R422" s="22" t="s">
        <v>2706</v>
      </c>
      <c r="S422" s="4"/>
      <c r="T422" s="4"/>
      <c r="U422" s="44"/>
      <c r="V422" s="4"/>
      <c r="W422" s="9"/>
      <c r="X422" s="74"/>
      <c r="Y422" s="28" t="e">
        <v>#REF!</v>
      </c>
      <c r="Z422" s="9"/>
      <c r="AA422" s="24" t="s">
        <v>393</v>
      </c>
      <c r="AB422" s="28">
        <v>40770</v>
      </c>
    </row>
    <row r="423" spans="1:28" ht="14.25" customHeight="1" x14ac:dyDescent="0.4">
      <c r="A423">
        <v>399</v>
      </c>
      <c r="B423" s="32">
        <v>40764</v>
      </c>
      <c r="C423" s="32">
        <v>40764</v>
      </c>
      <c r="D423" s="32">
        <v>40764</v>
      </c>
      <c r="E423" s="32">
        <v>40764</v>
      </c>
      <c r="F423" s="24" t="s">
        <v>393</v>
      </c>
      <c r="G423" s="24">
        <v>40770</v>
      </c>
      <c r="H423" s="134">
        <v>75</v>
      </c>
      <c r="I423" s="23">
        <v>40756</v>
      </c>
      <c r="J423" s="37">
        <v>20</v>
      </c>
      <c r="K423" s="24" t="s">
        <v>524</v>
      </c>
      <c r="L423" s="24">
        <v>40969</v>
      </c>
      <c r="M423" s="32">
        <v>40669</v>
      </c>
      <c r="N423" s="22" t="s">
        <v>1953</v>
      </c>
      <c r="O423" s="4">
        <v>9120331</v>
      </c>
      <c r="P423" s="22">
        <v>720</v>
      </c>
      <c r="Q423" s="22">
        <v>42</v>
      </c>
      <c r="R423" s="22" t="s">
        <v>2707</v>
      </c>
      <c r="S423" s="4"/>
      <c r="T423" s="4"/>
      <c r="U423" s="44"/>
      <c r="V423" s="4"/>
      <c r="W423" s="9"/>
      <c r="X423" s="74">
        <v>0</v>
      </c>
      <c r="Y423" s="28" t="e">
        <v>#REF!</v>
      </c>
      <c r="Z423" s="9"/>
      <c r="AA423" s="24" t="s">
        <v>393</v>
      </c>
      <c r="AB423" s="28">
        <v>40770</v>
      </c>
    </row>
    <row r="424" spans="1:28" ht="14.25" customHeight="1" x14ac:dyDescent="0.4">
      <c r="A424">
        <v>400</v>
      </c>
      <c r="B424" s="32">
        <v>40844</v>
      </c>
      <c r="C424" s="32">
        <v>40844</v>
      </c>
      <c r="D424" s="32">
        <v>40844</v>
      </c>
      <c r="E424" s="32">
        <v>40844</v>
      </c>
      <c r="F424" s="24" t="s">
        <v>393</v>
      </c>
      <c r="G424" s="24">
        <v>40851</v>
      </c>
      <c r="H424" s="134">
        <v>250</v>
      </c>
      <c r="I424" s="23">
        <v>40817</v>
      </c>
      <c r="J424" s="37">
        <v>63</v>
      </c>
      <c r="K424" s="24" t="s">
        <v>524</v>
      </c>
      <c r="L424" s="24">
        <v>40817</v>
      </c>
      <c r="M424" s="32">
        <v>40669</v>
      </c>
      <c r="N424" s="22" t="s">
        <v>1953</v>
      </c>
      <c r="O424" s="4">
        <v>9120325</v>
      </c>
      <c r="P424" s="22">
        <v>1020</v>
      </c>
      <c r="Q424" s="22">
        <v>42</v>
      </c>
      <c r="R424" s="22" t="s">
        <v>2708</v>
      </c>
      <c r="S424" s="4"/>
      <c r="T424" s="4"/>
      <c r="U424" s="44"/>
      <c r="V424" s="4"/>
      <c r="W424" s="59"/>
      <c r="X424" s="74"/>
      <c r="Y424" s="28" t="e">
        <v>#REF!</v>
      </c>
      <c r="Z424" s="9"/>
      <c r="AA424" s="24" t="s">
        <v>393</v>
      </c>
      <c r="AB424" s="28">
        <v>40851</v>
      </c>
    </row>
    <row r="425" spans="1:28" ht="14.25" customHeight="1" x14ac:dyDescent="0.4">
      <c r="A425">
        <v>401</v>
      </c>
      <c r="B425" s="32">
        <v>40847</v>
      </c>
      <c r="C425" s="32">
        <v>40847</v>
      </c>
      <c r="D425" s="32">
        <v>40847</v>
      </c>
      <c r="E425" s="32">
        <v>40847</v>
      </c>
      <c r="F425" s="24" t="s">
        <v>393</v>
      </c>
      <c r="G425" s="24">
        <v>40851</v>
      </c>
      <c r="H425" s="134">
        <v>251</v>
      </c>
      <c r="I425" s="23">
        <v>40817</v>
      </c>
      <c r="J425" s="37">
        <v>64</v>
      </c>
      <c r="K425" s="24" t="s">
        <v>524</v>
      </c>
      <c r="L425" s="24">
        <v>40817</v>
      </c>
      <c r="M425" s="32">
        <v>40669</v>
      </c>
      <c r="N425" s="22" t="s">
        <v>1953</v>
      </c>
      <c r="O425" s="4">
        <v>9120328</v>
      </c>
      <c r="P425" s="22">
        <v>720</v>
      </c>
      <c r="Q425" s="22">
        <v>42</v>
      </c>
      <c r="R425" s="22" t="s">
        <v>2709</v>
      </c>
      <c r="S425" s="4"/>
      <c r="T425" s="4"/>
      <c r="U425" s="44"/>
      <c r="V425" s="4"/>
      <c r="W425" s="59"/>
      <c r="X425" s="74"/>
      <c r="Y425" s="28" t="e">
        <v>#REF!</v>
      </c>
      <c r="Z425" s="9"/>
      <c r="AA425" s="24" t="s">
        <v>393</v>
      </c>
      <c r="AB425" s="28">
        <v>40851</v>
      </c>
    </row>
    <row r="426" spans="1:28" ht="14.25" customHeight="1" x14ac:dyDescent="0.4">
      <c r="A426">
        <v>402</v>
      </c>
      <c r="B426" s="34">
        <v>0</v>
      </c>
      <c r="C426" s="34" t="s">
        <v>2165</v>
      </c>
      <c r="D426" s="34">
        <v>0</v>
      </c>
      <c r="E426" s="32">
        <v>40849</v>
      </c>
      <c r="F426" s="24" t="s">
        <v>393</v>
      </c>
      <c r="G426" s="24">
        <v>40851</v>
      </c>
      <c r="H426" s="134">
        <v>258</v>
      </c>
      <c r="I426" s="23">
        <v>40848</v>
      </c>
      <c r="J426" s="37">
        <v>7</v>
      </c>
      <c r="K426" s="24" t="s">
        <v>524</v>
      </c>
      <c r="L426" s="24">
        <v>40848</v>
      </c>
      <c r="M426" s="32">
        <v>40669</v>
      </c>
      <c r="N426" s="22" t="s">
        <v>1953</v>
      </c>
      <c r="O426" s="4">
        <v>9120326</v>
      </c>
      <c r="P426" s="22">
        <v>1020</v>
      </c>
      <c r="Q426" s="22">
        <v>42</v>
      </c>
      <c r="R426" s="22" t="s">
        <v>2710</v>
      </c>
      <c r="S426" s="4"/>
      <c r="T426" s="4"/>
      <c r="U426" s="44"/>
      <c r="V426" s="4"/>
      <c r="W426" s="127"/>
      <c r="X426" s="74"/>
      <c r="Y426" s="28" t="e">
        <v>#REF!</v>
      </c>
      <c r="Z426" s="9"/>
      <c r="AA426" s="24" t="s">
        <v>393</v>
      </c>
      <c r="AB426" s="28">
        <v>40851</v>
      </c>
    </row>
    <row r="427" spans="1:28" ht="14.25" customHeight="1" x14ac:dyDescent="0.4">
      <c r="A427">
        <v>403</v>
      </c>
      <c r="B427" s="34">
        <v>0</v>
      </c>
      <c r="C427" s="34">
        <v>0</v>
      </c>
      <c r="D427" s="34">
        <v>0</v>
      </c>
      <c r="E427" s="32">
        <v>40862</v>
      </c>
      <c r="F427" s="24" t="s">
        <v>393</v>
      </c>
      <c r="G427" s="24">
        <v>40875</v>
      </c>
      <c r="H427" s="134">
        <v>286</v>
      </c>
      <c r="I427" s="23">
        <v>40848</v>
      </c>
      <c r="J427" s="37">
        <v>35</v>
      </c>
      <c r="K427" s="24" t="s">
        <v>524</v>
      </c>
      <c r="L427" s="24">
        <v>40878</v>
      </c>
      <c r="M427" s="32">
        <v>40669</v>
      </c>
      <c r="N427" s="22" t="s">
        <v>1953</v>
      </c>
      <c r="O427" s="4">
        <v>9120327</v>
      </c>
      <c r="P427" s="22">
        <v>1020</v>
      </c>
      <c r="Q427" s="22">
        <v>42</v>
      </c>
      <c r="R427" s="22" t="s">
        <v>2711</v>
      </c>
      <c r="S427" s="1" t="s">
        <v>993</v>
      </c>
      <c r="T427" s="4" t="s">
        <v>404</v>
      </c>
      <c r="U427" s="94">
        <v>40858</v>
      </c>
      <c r="V427" s="4"/>
      <c r="W427" s="92"/>
      <c r="X427" s="74"/>
      <c r="Y427" s="28" t="e">
        <v>#REF!</v>
      </c>
      <c r="Z427" s="28"/>
      <c r="AA427" s="24" t="s">
        <v>393</v>
      </c>
      <c r="AB427" s="28">
        <v>40875</v>
      </c>
    </row>
    <row r="428" spans="1:28" ht="14.25" customHeight="1" x14ac:dyDescent="0.4">
      <c r="A428">
        <v>404</v>
      </c>
      <c r="B428" s="34">
        <v>0</v>
      </c>
      <c r="C428" s="34">
        <v>0</v>
      </c>
      <c r="D428" s="34">
        <v>0</v>
      </c>
      <c r="E428" s="32">
        <v>40863</v>
      </c>
      <c r="F428" s="24" t="s">
        <v>393</v>
      </c>
      <c r="G428" s="24">
        <v>40870</v>
      </c>
      <c r="H428" s="134">
        <v>287</v>
      </c>
      <c r="I428" s="23">
        <v>40848</v>
      </c>
      <c r="J428" s="37">
        <v>36</v>
      </c>
      <c r="K428" s="24" t="s">
        <v>524</v>
      </c>
      <c r="L428" s="24">
        <v>40878</v>
      </c>
      <c r="M428" s="32">
        <v>40669</v>
      </c>
      <c r="N428" s="22" t="s">
        <v>1953</v>
      </c>
      <c r="O428" s="4">
        <v>9120329</v>
      </c>
      <c r="P428" s="22">
        <v>720</v>
      </c>
      <c r="Q428" s="22">
        <v>42</v>
      </c>
      <c r="R428" s="22" t="s">
        <v>2712</v>
      </c>
      <c r="T428" s="4"/>
      <c r="U428" s="94"/>
      <c r="V428" s="4"/>
      <c r="W428" s="92"/>
      <c r="X428" s="74"/>
      <c r="Y428" s="28" t="e">
        <v>#REF!</v>
      </c>
      <c r="Z428" s="9"/>
      <c r="AA428" s="24" t="s">
        <v>393</v>
      </c>
      <c r="AB428" s="28">
        <v>40870</v>
      </c>
    </row>
    <row r="429" spans="1:28" ht="14.25" customHeight="1" x14ac:dyDescent="0.4">
      <c r="A429">
        <v>405</v>
      </c>
      <c r="B429" s="34">
        <v>0</v>
      </c>
      <c r="C429" s="34" t="s">
        <v>2102</v>
      </c>
      <c r="D429" s="34">
        <v>0</v>
      </c>
      <c r="E429" s="32">
        <v>40737</v>
      </c>
      <c r="F429" s="24" t="s">
        <v>393</v>
      </c>
      <c r="G429" s="24">
        <v>40742</v>
      </c>
      <c r="H429" s="134">
        <v>17</v>
      </c>
      <c r="I429" s="23">
        <v>40725</v>
      </c>
      <c r="J429" s="37">
        <v>17</v>
      </c>
      <c r="K429" s="24" t="s">
        <v>524</v>
      </c>
      <c r="L429" s="24">
        <v>40725</v>
      </c>
      <c r="M429" s="32">
        <v>40667</v>
      </c>
      <c r="N429" s="22" t="s">
        <v>1377</v>
      </c>
      <c r="O429" s="4">
        <v>9120143</v>
      </c>
      <c r="P429" s="22">
        <v>1020</v>
      </c>
      <c r="Q429" s="22">
        <v>42</v>
      </c>
      <c r="R429" s="22">
        <v>0</v>
      </c>
      <c r="S429" s="1" t="s">
        <v>1537</v>
      </c>
      <c r="T429" s="4" t="s">
        <v>404</v>
      </c>
      <c r="U429" s="94">
        <v>40792</v>
      </c>
      <c r="V429" s="4" t="s">
        <v>404</v>
      </c>
      <c r="W429" s="92">
        <v>40795</v>
      </c>
      <c r="X429" s="74"/>
      <c r="Y429" s="28" t="e">
        <v>#REF!</v>
      </c>
      <c r="Z429" s="9"/>
      <c r="AA429" s="24" t="s">
        <v>393</v>
      </c>
      <c r="AB429" s="28">
        <v>40742</v>
      </c>
    </row>
    <row r="430" spans="1:28" ht="14.25" customHeight="1" x14ac:dyDescent="0.4">
      <c r="A430">
        <v>406</v>
      </c>
      <c r="B430" s="34">
        <v>0</v>
      </c>
      <c r="C430" s="34">
        <v>0</v>
      </c>
      <c r="D430" s="34">
        <v>0</v>
      </c>
      <c r="E430" s="32">
        <v>40737</v>
      </c>
      <c r="F430" s="24" t="s">
        <v>393</v>
      </c>
      <c r="G430" s="24">
        <v>40742</v>
      </c>
      <c r="H430" s="134">
        <v>18</v>
      </c>
      <c r="I430" s="23">
        <v>40725</v>
      </c>
      <c r="J430" s="37">
        <v>18</v>
      </c>
      <c r="K430" s="24" t="s">
        <v>524</v>
      </c>
      <c r="L430" s="24">
        <v>40725</v>
      </c>
      <c r="M430" s="32">
        <v>40667</v>
      </c>
      <c r="N430" s="22" t="s">
        <v>1377</v>
      </c>
      <c r="O430" s="4">
        <v>9120144</v>
      </c>
      <c r="P430" s="22">
        <v>1020</v>
      </c>
      <c r="Q430" s="22">
        <v>42</v>
      </c>
      <c r="R430" s="22">
        <v>0</v>
      </c>
      <c r="S430" s="4"/>
      <c r="T430" s="4"/>
      <c r="U430" s="44"/>
      <c r="V430" s="4"/>
      <c r="W430" s="57"/>
      <c r="X430" s="74"/>
      <c r="Y430" s="28" t="e">
        <v>#REF!</v>
      </c>
      <c r="Z430" s="28"/>
      <c r="AA430" s="24" t="s">
        <v>393</v>
      </c>
      <c r="AB430" s="28">
        <v>40742</v>
      </c>
    </row>
    <row r="431" spans="1:28" ht="14.25" customHeight="1" x14ac:dyDescent="0.4">
      <c r="A431">
        <v>407</v>
      </c>
      <c r="B431" s="34">
        <v>0</v>
      </c>
      <c r="C431" s="34">
        <v>0</v>
      </c>
      <c r="D431" s="34">
        <v>0</v>
      </c>
      <c r="E431" s="32">
        <v>40773</v>
      </c>
      <c r="F431" s="24" t="s">
        <v>393</v>
      </c>
      <c r="G431" s="24">
        <v>40774</v>
      </c>
      <c r="H431" s="134">
        <v>93</v>
      </c>
      <c r="I431" s="23">
        <v>40756</v>
      </c>
      <c r="J431" s="37">
        <v>38</v>
      </c>
      <c r="K431" s="24" t="s">
        <v>524</v>
      </c>
      <c r="L431" s="24">
        <v>40756</v>
      </c>
      <c r="M431" s="32">
        <v>40667</v>
      </c>
      <c r="N431" s="22" t="s">
        <v>1377</v>
      </c>
      <c r="O431" s="4">
        <v>9120145</v>
      </c>
      <c r="P431" s="22">
        <v>1020</v>
      </c>
      <c r="Q431" s="22">
        <v>42</v>
      </c>
      <c r="R431" s="22">
        <v>0</v>
      </c>
      <c r="S431" s="4" t="s">
        <v>2051</v>
      </c>
      <c r="T431" s="4" t="s">
        <v>404</v>
      </c>
      <c r="U431" s="44">
        <v>40893</v>
      </c>
      <c r="V431" s="4"/>
      <c r="W431" s="9"/>
      <c r="X431" s="74"/>
      <c r="Y431" s="28" t="e">
        <v>#REF!</v>
      </c>
      <c r="Z431" s="28"/>
      <c r="AA431" s="24" t="s">
        <v>393</v>
      </c>
      <c r="AB431" s="28">
        <v>40774</v>
      </c>
    </row>
    <row r="432" spans="1:28" ht="14.25" customHeight="1" x14ac:dyDescent="0.4">
      <c r="A432">
        <v>408</v>
      </c>
      <c r="B432" s="34">
        <v>0</v>
      </c>
      <c r="C432" s="34" t="s">
        <v>2165</v>
      </c>
      <c r="D432" s="34">
        <v>0</v>
      </c>
      <c r="E432" s="32">
        <v>40795</v>
      </c>
      <c r="F432" s="24" t="s">
        <v>393</v>
      </c>
      <c r="G432" s="24">
        <v>40807</v>
      </c>
      <c r="H432" s="134">
        <v>138</v>
      </c>
      <c r="I432" s="23">
        <v>40787</v>
      </c>
      <c r="J432" s="37">
        <v>14</v>
      </c>
      <c r="K432" s="24" t="s">
        <v>524</v>
      </c>
      <c r="L432" s="24">
        <v>40787</v>
      </c>
      <c r="M432" s="32">
        <v>40667</v>
      </c>
      <c r="N432" s="22" t="s">
        <v>1377</v>
      </c>
      <c r="O432" s="4">
        <v>9120146</v>
      </c>
      <c r="P432" s="22">
        <v>1020</v>
      </c>
      <c r="Q432" s="22">
        <v>42</v>
      </c>
      <c r="R432" s="22">
        <v>0</v>
      </c>
      <c r="S432" s="55"/>
      <c r="T432" s="4"/>
      <c r="U432" s="94"/>
      <c r="V432" s="4"/>
      <c r="W432" s="92"/>
      <c r="X432" s="74"/>
      <c r="Y432" s="28" t="e">
        <v>#REF!</v>
      </c>
      <c r="Z432" s="9"/>
      <c r="AA432" s="24" t="s">
        <v>393</v>
      </c>
      <c r="AB432" s="28">
        <v>40807</v>
      </c>
    </row>
    <row r="433" spans="1:28" ht="14.25" customHeight="1" x14ac:dyDescent="0.4">
      <c r="A433">
        <v>409</v>
      </c>
      <c r="B433" s="34">
        <v>0</v>
      </c>
      <c r="C433" s="34">
        <v>0</v>
      </c>
      <c r="D433" s="34">
        <v>0</v>
      </c>
      <c r="E433" s="32">
        <v>40848</v>
      </c>
      <c r="F433" s="24" t="s">
        <v>393</v>
      </c>
      <c r="G433" s="24">
        <v>40850</v>
      </c>
      <c r="H433" s="134">
        <v>256</v>
      </c>
      <c r="I433" s="23">
        <v>40848</v>
      </c>
      <c r="J433" s="37">
        <v>5</v>
      </c>
      <c r="K433" s="24" t="s">
        <v>524</v>
      </c>
      <c r="L433" s="24">
        <v>40848</v>
      </c>
      <c r="M433" s="32">
        <v>40667</v>
      </c>
      <c r="N433" s="22" t="s">
        <v>1377</v>
      </c>
      <c r="O433" s="4">
        <v>9120147</v>
      </c>
      <c r="P433" s="22">
        <v>1020</v>
      </c>
      <c r="Q433" s="22">
        <v>42</v>
      </c>
      <c r="R433" s="22" t="s">
        <v>427</v>
      </c>
      <c r="S433" s="4" t="s">
        <v>176</v>
      </c>
      <c r="T433" s="4" t="s">
        <v>404</v>
      </c>
      <c r="U433" s="42">
        <v>40806</v>
      </c>
      <c r="V433" s="4" t="s">
        <v>404</v>
      </c>
      <c r="W433" s="28">
        <v>40806</v>
      </c>
      <c r="X433" s="74"/>
      <c r="Y433" s="28" t="e">
        <v>#REF!</v>
      </c>
      <c r="Z433" s="28"/>
      <c r="AA433" s="24" t="s">
        <v>393</v>
      </c>
      <c r="AB433" s="28">
        <v>40850</v>
      </c>
    </row>
    <row r="434" spans="1:28" ht="14.25" customHeight="1" x14ac:dyDescent="0.4">
      <c r="A434">
        <v>410</v>
      </c>
      <c r="B434" s="34">
        <v>0</v>
      </c>
      <c r="C434" s="34">
        <v>0</v>
      </c>
      <c r="D434" s="34">
        <v>0</v>
      </c>
      <c r="E434" s="32">
        <v>40849</v>
      </c>
      <c r="F434" s="24" t="s">
        <v>393</v>
      </c>
      <c r="G434" s="24">
        <v>40865</v>
      </c>
      <c r="H434" s="134">
        <v>257</v>
      </c>
      <c r="I434" s="23">
        <v>40848</v>
      </c>
      <c r="J434" s="37">
        <v>6</v>
      </c>
      <c r="K434" s="24" t="s">
        <v>524</v>
      </c>
      <c r="L434" s="24">
        <v>40848</v>
      </c>
      <c r="M434" s="32">
        <v>40667</v>
      </c>
      <c r="N434" s="22" t="s">
        <v>1377</v>
      </c>
      <c r="O434" s="4">
        <v>9120148</v>
      </c>
      <c r="P434" s="22">
        <v>1020</v>
      </c>
      <c r="Q434" s="22">
        <v>42</v>
      </c>
      <c r="R434" s="22" t="s">
        <v>427</v>
      </c>
      <c r="S434" s="4" t="s">
        <v>2052</v>
      </c>
      <c r="T434" s="4" t="s">
        <v>404</v>
      </c>
      <c r="U434" s="42">
        <v>40836</v>
      </c>
      <c r="V434" s="4"/>
      <c r="W434" s="28"/>
      <c r="X434" s="74"/>
      <c r="Y434" s="28" t="e">
        <v>#REF!</v>
      </c>
      <c r="Z434" s="28"/>
      <c r="AA434" s="24" t="s">
        <v>393</v>
      </c>
      <c r="AB434" s="28">
        <v>40865</v>
      </c>
    </row>
    <row r="435" spans="1:28" ht="14.25" customHeight="1" x14ac:dyDescent="0.4">
      <c r="A435">
        <v>411</v>
      </c>
      <c r="B435" s="34">
        <v>0</v>
      </c>
      <c r="C435" s="34" t="s">
        <v>2165</v>
      </c>
      <c r="D435" s="34">
        <v>0</v>
      </c>
      <c r="E435" s="32">
        <v>41022</v>
      </c>
      <c r="F435" s="24" t="s">
        <v>393</v>
      </c>
      <c r="G435" s="24">
        <v>41038</v>
      </c>
      <c r="H435" s="134">
        <v>560</v>
      </c>
      <c r="I435" s="23">
        <v>41000</v>
      </c>
      <c r="J435" s="37">
        <v>19</v>
      </c>
      <c r="K435" s="24" t="s">
        <v>524</v>
      </c>
      <c r="L435" s="24">
        <v>0</v>
      </c>
      <c r="M435" s="32">
        <v>40969</v>
      </c>
      <c r="N435" s="22" t="s">
        <v>1377</v>
      </c>
      <c r="O435" s="4">
        <v>9120562</v>
      </c>
      <c r="P435" s="22">
        <v>720</v>
      </c>
      <c r="Q435" s="22">
        <v>42</v>
      </c>
      <c r="R435" s="22">
        <v>0</v>
      </c>
      <c r="S435" s="3" t="s">
        <v>2171</v>
      </c>
      <c r="T435" s="3" t="s">
        <v>404</v>
      </c>
      <c r="U435" s="164">
        <v>41135</v>
      </c>
      <c r="Y435" s="28" t="e">
        <v>#REF!</v>
      </c>
      <c r="AA435" s="24" t="s">
        <v>393</v>
      </c>
      <c r="AB435" s="28">
        <v>41038</v>
      </c>
    </row>
    <row r="436" spans="1:28" ht="14.25" customHeight="1" x14ac:dyDescent="0.4">
      <c r="A436">
        <v>412</v>
      </c>
      <c r="B436" s="34">
        <v>0</v>
      </c>
      <c r="C436" s="34">
        <v>0</v>
      </c>
      <c r="D436" s="34">
        <v>0</v>
      </c>
      <c r="E436" s="32">
        <v>40994</v>
      </c>
      <c r="F436" s="24" t="s">
        <v>393</v>
      </c>
      <c r="G436" s="24">
        <v>41025</v>
      </c>
      <c r="H436" s="134">
        <v>527</v>
      </c>
      <c r="I436" s="23">
        <v>40969</v>
      </c>
      <c r="J436" s="37">
        <v>34</v>
      </c>
      <c r="K436" s="24" t="s">
        <v>524</v>
      </c>
      <c r="L436" s="24">
        <v>0</v>
      </c>
      <c r="M436" s="32">
        <v>40969</v>
      </c>
      <c r="N436" s="22" t="s">
        <v>1377</v>
      </c>
      <c r="O436" s="4">
        <v>9120565</v>
      </c>
      <c r="P436" s="22">
        <v>1020</v>
      </c>
      <c r="Q436" s="22">
        <v>42</v>
      </c>
      <c r="R436" s="22">
        <v>0</v>
      </c>
      <c r="T436"/>
      <c r="U436" s="164"/>
      <c r="Y436" s="28" t="e">
        <v>#REF!</v>
      </c>
      <c r="AA436" s="24" t="s">
        <v>393</v>
      </c>
      <c r="AB436" s="28">
        <v>41025</v>
      </c>
    </row>
    <row r="437" spans="1:28" ht="14.25" customHeight="1" x14ac:dyDescent="0.4">
      <c r="A437">
        <v>413</v>
      </c>
      <c r="B437" s="34">
        <v>0</v>
      </c>
      <c r="C437" s="34" t="s">
        <v>2165</v>
      </c>
      <c r="D437" s="34">
        <v>0</v>
      </c>
      <c r="E437" s="32">
        <v>40995</v>
      </c>
      <c r="F437" s="24" t="s">
        <v>393</v>
      </c>
      <c r="G437" s="24">
        <v>41029</v>
      </c>
      <c r="H437" s="134">
        <v>528</v>
      </c>
      <c r="I437" s="23">
        <v>40969</v>
      </c>
      <c r="J437" s="37">
        <v>35</v>
      </c>
      <c r="K437" s="24" t="s">
        <v>524</v>
      </c>
      <c r="L437" s="24">
        <v>0</v>
      </c>
      <c r="M437" s="32">
        <v>40969</v>
      </c>
      <c r="N437" s="22" t="s">
        <v>1377</v>
      </c>
      <c r="O437" s="4">
        <v>9120566</v>
      </c>
      <c r="P437" s="22">
        <v>1020</v>
      </c>
      <c r="Q437" s="22">
        <v>42</v>
      </c>
      <c r="R437" s="22">
        <v>0</v>
      </c>
      <c r="S437" s="3" t="s">
        <v>1867</v>
      </c>
      <c r="T437" t="s">
        <v>404</v>
      </c>
      <c r="U437" s="164">
        <v>41178</v>
      </c>
      <c r="Y437" s="28" t="e">
        <v>#REF!</v>
      </c>
      <c r="AA437" s="24" t="s">
        <v>393</v>
      </c>
      <c r="AB437" s="28">
        <v>41029</v>
      </c>
    </row>
    <row r="438" spans="1:28" ht="14.25" customHeight="1" x14ac:dyDescent="0.4">
      <c r="A438">
        <v>599</v>
      </c>
      <c r="B438" s="34">
        <v>0</v>
      </c>
      <c r="C438" s="34">
        <v>0</v>
      </c>
      <c r="D438" s="34">
        <v>0</v>
      </c>
      <c r="E438" s="32">
        <v>41052</v>
      </c>
      <c r="F438" s="24" t="s">
        <v>393</v>
      </c>
      <c r="G438" s="24">
        <v>41067</v>
      </c>
      <c r="H438" s="134">
        <v>592</v>
      </c>
      <c r="I438" s="23">
        <v>41061</v>
      </c>
      <c r="J438" s="37">
        <v>2</v>
      </c>
      <c r="K438" s="24" t="s">
        <v>524</v>
      </c>
      <c r="L438" s="24">
        <v>0</v>
      </c>
      <c r="M438" s="2">
        <v>41043</v>
      </c>
      <c r="N438" s="22" t="s">
        <v>597</v>
      </c>
      <c r="O438" s="4">
        <v>9120599</v>
      </c>
      <c r="P438" s="22">
        <v>720</v>
      </c>
      <c r="Q438" s="22">
        <v>50</v>
      </c>
      <c r="R438" s="22" t="s">
        <v>957</v>
      </c>
      <c r="S438" s="3" t="s">
        <v>244</v>
      </c>
      <c r="T438" t="s">
        <v>404</v>
      </c>
      <c r="U438" s="13">
        <v>41089</v>
      </c>
      <c r="AA438" s="24" t="s">
        <v>393</v>
      </c>
      <c r="AB438" s="28">
        <v>41067</v>
      </c>
    </row>
    <row r="439" spans="1:28" ht="14.25" customHeight="1" x14ac:dyDescent="0.4">
      <c r="A439" s="64">
        <v>600</v>
      </c>
      <c r="B439" s="34">
        <v>0</v>
      </c>
      <c r="C439" s="34">
        <v>0</v>
      </c>
      <c r="D439" s="34">
        <v>0</v>
      </c>
      <c r="E439" s="32">
        <v>41052</v>
      </c>
      <c r="F439" s="24" t="s">
        <v>393</v>
      </c>
      <c r="G439" s="24">
        <v>41068</v>
      </c>
      <c r="H439" s="134">
        <v>593</v>
      </c>
      <c r="I439" s="23">
        <v>41061</v>
      </c>
      <c r="J439" s="37">
        <v>3</v>
      </c>
      <c r="K439" s="24" t="s">
        <v>524</v>
      </c>
      <c r="L439" s="24">
        <v>0</v>
      </c>
      <c r="M439" s="2">
        <v>41043</v>
      </c>
      <c r="N439" s="22" t="s">
        <v>597</v>
      </c>
      <c r="O439" s="4">
        <v>9120600</v>
      </c>
      <c r="P439" s="22">
        <v>720</v>
      </c>
      <c r="Q439" s="22">
        <v>50</v>
      </c>
      <c r="R439" s="22" t="s">
        <v>959</v>
      </c>
      <c r="S439" s="69" t="s">
        <v>30</v>
      </c>
      <c r="T439" s="64" t="s">
        <v>404</v>
      </c>
      <c r="U439" s="14">
        <v>41166</v>
      </c>
      <c r="V439" s="69"/>
      <c r="W439" s="69"/>
      <c r="X439" s="101"/>
      <c r="Y439" s="69"/>
      <c r="Z439" s="69"/>
      <c r="AA439" s="24" t="s">
        <v>393</v>
      </c>
      <c r="AB439" s="28">
        <v>41068</v>
      </c>
    </row>
    <row r="440" spans="1:28" ht="14.25" customHeight="1" x14ac:dyDescent="0.4">
      <c r="A440">
        <v>414</v>
      </c>
      <c r="B440" s="34">
        <v>0</v>
      </c>
      <c r="C440" s="34" t="s">
        <v>2165</v>
      </c>
      <c r="D440" s="34">
        <v>0</v>
      </c>
      <c r="E440" s="32">
        <v>40781</v>
      </c>
      <c r="F440" s="24" t="s">
        <v>393</v>
      </c>
      <c r="G440" s="24">
        <v>40786</v>
      </c>
      <c r="H440" s="134">
        <v>110</v>
      </c>
      <c r="I440" s="23">
        <v>40756</v>
      </c>
      <c r="J440" s="37">
        <v>55</v>
      </c>
      <c r="K440" s="24" t="s">
        <v>524</v>
      </c>
      <c r="L440" s="24">
        <v>40756</v>
      </c>
      <c r="M440" s="32">
        <v>40673</v>
      </c>
      <c r="N440" s="22" t="s">
        <v>1380</v>
      </c>
      <c r="O440" s="4">
        <v>9120165</v>
      </c>
      <c r="P440" s="22">
        <v>1020</v>
      </c>
      <c r="Q440" s="22">
        <v>50</v>
      </c>
      <c r="R440" s="22">
        <v>0</v>
      </c>
      <c r="S440" s="4" t="s">
        <v>1815</v>
      </c>
      <c r="T440" s="4" t="s">
        <v>404</v>
      </c>
      <c r="U440" s="44">
        <v>41005</v>
      </c>
      <c r="V440" s="4" t="s">
        <v>404</v>
      </c>
      <c r="W440" s="9"/>
      <c r="X440" s="74"/>
      <c r="Y440" s="28" t="e">
        <v>#REF!</v>
      </c>
      <c r="Z440" s="9"/>
      <c r="AA440" s="24" t="s">
        <v>393</v>
      </c>
      <c r="AB440" s="28">
        <v>40786</v>
      </c>
    </row>
    <row r="441" spans="1:28" ht="14.25" customHeight="1" x14ac:dyDescent="0.4">
      <c r="A441">
        <v>415</v>
      </c>
      <c r="B441" s="34">
        <v>0</v>
      </c>
      <c r="C441" s="34" t="s">
        <v>2165</v>
      </c>
      <c r="D441" s="34">
        <v>0</v>
      </c>
      <c r="E441" s="32">
        <v>40773</v>
      </c>
      <c r="F441" s="24" t="s">
        <v>393</v>
      </c>
      <c r="G441" s="24">
        <v>40781</v>
      </c>
      <c r="H441" s="134">
        <v>94</v>
      </c>
      <c r="I441" s="23">
        <v>40756</v>
      </c>
      <c r="J441" s="37">
        <v>39</v>
      </c>
      <c r="K441" s="24" t="s">
        <v>524</v>
      </c>
      <c r="L441" s="24">
        <v>40756</v>
      </c>
      <c r="M441" s="32">
        <v>40673</v>
      </c>
      <c r="N441" s="22" t="s">
        <v>1380</v>
      </c>
      <c r="O441" s="4">
        <v>9120166</v>
      </c>
      <c r="P441" s="22">
        <v>1020</v>
      </c>
      <c r="Q441" s="22">
        <v>42</v>
      </c>
      <c r="R441" s="22" t="s">
        <v>1604</v>
      </c>
      <c r="S441" s="4" t="s">
        <v>1604</v>
      </c>
      <c r="T441" s="4" t="s">
        <v>404</v>
      </c>
      <c r="U441" s="44">
        <v>40760</v>
      </c>
      <c r="V441" s="4" t="s">
        <v>404</v>
      </c>
      <c r="W441" s="9"/>
      <c r="X441" s="74"/>
      <c r="Y441" s="28" t="e">
        <v>#REF!</v>
      </c>
      <c r="Z441" s="9"/>
      <c r="AA441" s="24" t="s">
        <v>393</v>
      </c>
      <c r="AB441" s="28">
        <v>40781</v>
      </c>
    </row>
    <row r="442" spans="1:28" ht="14.25" customHeight="1" x14ac:dyDescent="0.4">
      <c r="A442">
        <v>416</v>
      </c>
      <c r="B442" s="34">
        <v>0</v>
      </c>
      <c r="C442" s="34">
        <v>0</v>
      </c>
      <c r="D442" s="34">
        <v>0</v>
      </c>
      <c r="E442" s="32">
        <v>40799</v>
      </c>
      <c r="F442" s="24" t="s">
        <v>393</v>
      </c>
      <c r="G442" s="24">
        <v>40807</v>
      </c>
      <c r="H442" s="134">
        <v>143</v>
      </c>
      <c r="I442" s="23">
        <v>40787</v>
      </c>
      <c r="J442" s="37">
        <v>19</v>
      </c>
      <c r="K442" s="24" t="s">
        <v>524</v>
      </c>
      <c r="L442" s="24">
        <v>40787</v>
      </c>
      <c r="M442" s="32">
        <v>40673</v>
      </c>
      <c r="N442" s="22" t="s">
        <v>1380</v>
      </c>
      <c r="O442" s="4">
        <v>9120167</v>
      </c>
      <c r="P442" s="22">
        <v>720</v>
      </c>
      <c r="Q442" s="22">
        <v>50</v>
      </c>
      <c r="R442" s="22">
        <v>0</v>
      </c>
      <c r="S442" s="102" t="s">
        <v>1816</v>
      </c>
      <c r="T442" s="4" t="s">
        <v>404</v>
      </c>
      <c r="U442" s="94">
        <v>41004</v>
      </c>
      <c r="V442" s="4" t="s">
        <v>404</v>
      </c>
      <c r="W442" s="92"/>
      <c r="X442" s="74"/>
      <c r="Y442" s="28" t="e">
        <v>#REF!</v>
      </c>
      <c r="Z442" s="9"/>
      <c r="AA442" s="24" t="s">
        <v>393</v>
      </c>
      <c r="AB442" s="28">
        <v>40807</v>
      </c>
    </row>
    <row r="443" spans="1:28" ht="14.25" customHeight="1" x14ac:dyDescent="0.4">
      <c r="A443">
        <v>417</v>
      </c>
      <c r="B443" s="32">
        <v>40800</v>
      </c>
      <c r="C443" s="32">
        <v>40800</v>
      </c>
      <c r="D443" s="32">
        <v>40800</v>
      </c>
      <c r="E443" s="32">
        <v>40800</v>
      </c>
      <c r="F443" s="24" t="s">
        <v>393</v>
      </c>
      <c r="G443" s="24">
        <v>40801</v>
      </c>
      <c r="H443" s="35">
        <v>144</v>
      </c>
      <c r="I443" s="23">
        <v>40787</v>
      </c>
      <c r="J443" s="37">
        <v>20</v>
      </c>
      <c r="K443" s="24" t="s">
        <v>524</v>
      </c>
      <c r="L443" s="24">
        <v>40788</v>
      </c>
      <c r="M443" s="32">
        <v>40673</v>
      </c>
      <c r="N443" s="22" t="s">
        <v>1380</v>
      </c>
      <c r="O443" s="4">
        <v>9120168</v>
      </c>
      <c r="P443" s="22">
        <v>720</v>
      </c>
      <c r="Q443" s="22">
        <v>42</v>
      </c>
      <c r="R443" s="22">
        <v>0</v>
      </c>
      <c r="S443" s="3" t="s">
        <v>1281</v>
      </c>
      <c r="T443" s="4" t="s">
        <v>404</v>
      </c>
      <c r="U443" s="164">
        <v>40945</v>
      </c>
      <c r="V443" s="4" t="s">
        <v>404</v>
      </c>
      <c r="Y443" s="28" t="e">
        <v>#REF!</v>
      </c>
      <c r="AA443" s="24" t="s">
        <v>393</v>
      </c>
      <c r="AB443" s="28">
        <v>40801</v>
      </c>
    </row>
    <row r="444" spans="1:28" ht="14.25" customHeight="1" x14ac:dyDescent="0.4">
      <c r="A444">
        <v>418</v>
      </c>
      <c r="B444" s="32">
        <v>40828</v>
      </c>
      <c r="C444" s="32">
        <v>40828</v>
      </c>
      <c r="D444" s="32">
        <v>40828</v>
      </c>
      <c r="E444" s="32">
        <v>40828</v>
      </c>
      <c r="F444" s="24" t="s">
        <v>393</v>
      </c>
      <c r="G444" s="24">
        <v>40829</v>
      </c>
      <c r="H444" s="134">
        <v>207</v>
      </c>
      <c r="I444" s="23">
        <v>40817</v>
      </c>
      <c r="J444" s="37">
        <v>20</v>
      </c>
      <c r="K444" s="24" t="s">
        <v>524</v>
      </c>
      <c r="L444" s="24">
        <v>40817</v>
      </c>
      <c r="M444" s="32">
        <v>40673</v>
      </c>
      <c r="N444" s="22" t="s">
        <v>1380</v>
      </c>
      <c r="O444" s="4">
        <v>9120169</v>
      </c>
      <c r="P444" s="22">
        <v>720</v>
      </c>
      <c r="Q444" s="22">
        <v>50</v>
      </c>
      <c r="R444" s="22">
        <v>0</v>
      </c>
      <c r="S444" s="102" t="s">
        <v>435</v>
      </c>
      <c r="T444" s="4" t="s">
        <v>404</v>
      </c>
      <c r="U444" s="94">
        <v>41022</v>
      </c>
      <c r="V444" s="4" t="s">
        <v>404</v>
      </c>
      <c r="W444" s="28"/>
      <c r="X444" s="74"/>
      <c r="Y444" s="28" t="e">
        <v>#REF!</v>
      </c>
      <c r="Z444" s="9"/>
      <c r="AA444" s="24" t="s">
        <v>393</v>
      </c>
      <c r="AB444" s="28">
        <v>40829</v>
      </c>
    </row>
    <row r="445" spans="1:28" ht="14.25" customHeight="1" x14ac:dyDescent="0.4">
      <c r="A445">
        <v>419</v>
      </c>
      <c r="B445" s="32">
        <v>40829</v>
      </c>
      <c r="C445" s="32">
        <v>40829</v>
      </c>
      <c r="D445" s="32">
        <v>40829</v>
      </c>
      <c r="E445" s="32">
        <v>40829</v>
      </c>
      <c r="F445" s="24" t="s">
        <v>393</v>
      </c>
      <c r="G445" s="24">
        <v>40829</v>
      </c>
      <c r="H445" s="134">
        <v>210</v>
      </c>
      <c r="I445" s="23">
        <v>40817</v>
      </c>
      <c r="J445" s="37">
        <v>23</v>
      </c>
      <c r="K445" s="24" t="s">
        <v>524</v>
      </c>
      <c r="L445" s="24">
        <v>40818</v>
      </c>
      <c r="M445" s="32">
        <v>40673</v>
      </c>
      <c r="N445" s="22" t="s">
        <v>1380</v>
      </c>
      <c r="O445" s="4">
        <v>9120170</v>
      </c>
      <c r="P445" s="22">
        <v>1020</v>
      </c>
      <c r="Q445" s="22">
        <v>50</v>
      </c>
      <c r="R445" s="22">
        <v>0</v>
      </c>
      <c r="S445" s="102"/>
      <c r="T445" s="4"/>
      <c r="U445" s="42"/>
      <c r="V445" s="4"/>
      <c r="W445" s="28"/>
      <c r="X445" s="74"/>
      <c r="Y445" s="28" t="e">
        <v>#REF!</v>
      </c>
      <c r="Z445" s="28"/>
      <c r="AA445" s="24" t="s">
        <v>393</v>
      </c>
      <c r="AB445" s="28">
        <v>40829</v>
      </c>
    </row>
    <row r="446" spans="1:28" ht="14.25" customHeight="1" x14ac:dyDescent="0.4">
      <c r="A446">
        <v>420</v>
      </c>
      <c r="B446" s="34">
        <v>0</v>
      </c>
      <c r="C446" s="34">
        <v>0</v>
      </c>
      <c r="D446" s="34">
        <v>0</v>
      </c>
      <c r="E446" s="32">
        <v>40891</v>
      </c>
      <c r="F446" s="24" t="s">
        <v>393</v>
      </c>
      <c r="G446" s="24">
        <v>40905</v>
      </c>
      <c r="H446" s="134">
        <v>343</v>
      </c>
      <c r="I446" s="23">
        <v>40878</v>
      </c>
      <c r="J446" s="37">
        <v>33</v>
      </c>
      <c r="K446" s="24" t="s">
        <v>524</v>
      </c>
      <c r="L446" s="24">
        <v>40848</v>
      </c>
      <c r="M446" s="32">
        <v>40673</v>
      </c>
      <c r="N446" s="22" t="s">
        <v>1380</v>
      </c>
      <c r="O446" s="4">
        <v>9120171</v>
      </c>
      <c r="P446" s="22">
        <v>720</v>
      </c>
      <c r="Q446" s="22">
        <v>50</v>
      </c>
      <c r="R446" s="22" t="s">
        <v>728</v>
      </c>
      <c r="S446" s="4" t="s">
        <v>728</v>
      </c>
      <c r="T446" s="4" t="s">
        <v>404</v>
      </c>
      <c r="U446" s="44">
        <v>40801</v>
      </c>
      <c r="V446" s="4" t="s">
        <v>404</v>
      </c>
      <c r="W446" s="9"/>
      <c r="X446" s="74"/>
      <c r="Y446" s="28" t="e">
        <v>#REF!</v>
      </c>
      <c r="Z446" s="9"/>
      <c r="AA446" s="24" t="s">
        <v>393</v>
      </c>
      <c r="AB446" s="28">
        <v>40905</v>
      </c>
    </row>
    <row r="447" spans="1:28" ht="14.25" customHeight="1" x14ac:dyDescent="0.4">
      <c r="A447">
        <v>421</v>
      </c>
      <c r="B447" s="34">
        <v>0</v>
      </c>
      <c r="C447" s="34">
        <v>0</v>
      </c>
      <c r="D447" s="34">
        <v>0</v>
      </c>
      <c r="E447" s="32">
        <v>40952</v>
      </c>
      <c r="F447" s="24" t="s">
        <v>393</v>
      </c>
      <c r="G447" s="24">
        <v>40954</v>
      </c>
      <c r="H447" s="134">
        <v>458</v>
      </c>
      <c r="I447" s="23">
        <v>40940</v>
      </c>
      <c r="J447" s="37">
        <v>28</v>
      </c>
      <c r="K447" s="24" t="s">
        <v>524</v>
      </c>
      <c r="L447" s="24">
        <v>40849</v>
      </c>
      <c r="M447" s="24">
        <v>40673</v>
      </c>
      <c r="N447" s="22" t="s">
        <v>1380</v>
      </c>
      <c r="O447" s="4">
        <v>9120172</v>
      </c>
      <c r="P447" s="22">
        <v>1020</v>
      </c>
      <c r="Q447" s="22">
        <v>50</v>
      </c>
      <c r="R447" s="22">
        <v>0</v>
      </c>
      <c r="S447" s="102"/>
      <c r="T447" s="4" t="s">
        <v>406</v>
      </c>
      <c r="U447" s="42"/>
      <c r="V447" s="4"/>
      <c r="W447" s="4"/>
      <c r="X447" s="74"/>
      <c r="Y447" s="28" t="e">
        <v>#REF!</v>
      </c>
      <c r="Z447" s="9"/>
      <c r="AA447" s="24" t="s">
        <v>393</v>
      </c>
      <c r="AB447" s="28">
        <v>40954</v>
      </c>
    </row>
    <row r="448" spans="1:28" ht="14.25" customHeight="1" x14ac:dyDescent="0.4">
      <c r="A448">
        <v>422</v>
      </c>
      <c r="B448" s="34">
        <v>0</v>
      </c>
      <c r="C448" s="34">
        <v>0</v>
      </c>
      <c r="D448" s="34">
        <v>0</v>
      </c>
      <c r="E448" s="32">
        <v>40959</v>
      </c>
      <c r="F448" s="24" t="s">
        <v>393</v>
      </c>
      <c r="G448" s="24">
        <v>40961</v>
      </c>
      <c r="H448" s="134">
        <v>470</v>
      </c>
      <c r="I448" s="23">
        <v>40940</v>
      </c>
      <c r="J448" s="37">
        <v>40</v>
      </c>
      <c r="K448" s="24" t="s">
        <v>524</v>
      </c>
      <c r="L448" s="24">
        <v>40878</v>
      </c>
      <c r="M448" s="32">
        <v>40673</v>
      </c>
      <c r="N448" s="22" t="s">
        <v>1380</v>
      </c>
      <c r="O448" s="4">
        <v>9120173</v>
      </c>
      <c r="P448" s="22">
        <v>720</v>
      </c>
      <c r="Q448" s="22">
        <v>50</v>
      </c>
      <c r="R448" s="22" t="s">
        <v>145</v>
      </c>
      <c r="S448" s="4" t="s">
        <v>145</v>
      </c>
      <c r="T448" s="4" t="s">
        <v>404</v>
      </c>
      <c r="U448" s="44">
        <v>40900</v>
      </c>
      <c r="V448" s="4" t="s">
        <v>404</v>
      </c>
      <c r="W448" s="9"/>
      <c r="X448" s="74"/>
      <c r="Y448" s="28" t="e">
        <v>#REF!</v>
      </c>
      <c r="Z448" s="9"/>
      <c r="AA448" s="24" t="s">
        <v>393</v>
      </c>
      <c r="AB448" s="28">
        <v>40961</v>
      </c>
    </row>
    <row r="449" spans="1:28" ht="14.25" customHeight="1" x14ac:dyDescent="0.4">
      <c r="A449">
        <v>423</v>
      </c>
      <c r="B449" s="34">
        <v>0</v>
      </c>
      <c r="C449" s="34" t="s">
        <v>2165</v>
      </c>
      <c r="D449" s="34">
        <v>0</v>
      </c>
      <c r="E449" s="32">
        <v>40898</v>
      </c>
      <c r="F449" s="24" t="s">
        <v>393</v>
      </c>
      <c r="G449" s="24">
        <v>40899</v>
      </c>
      <c r="H449" s="134">
        <v>356</v>
      </c>
      <c r="I449" s="23">
        <v>40878</v>
      </c>
      <c r="J449" s="37">
        <v>46</v>
      </c>
      <c r="K449" s="24" t="s">
        <v>524</v>
      </c>
      <c r="L449" s="24">
        <v>40879</v>
      </c>
      <c r="M449" s="32">
        <v>40673</v>
      </c>
      <c r="N449" s="22" t="s">
        <v>1380</v>
      </c>
      <c r="O449" s="4">
        <v>9120174</v>
      </c>
      <c r="P449" s="22">
        <v>720</v>
      </c>
      <c r="Q449" s="22">
        <v>50</v>
      </c>
      <c r="R449" s="22" t="s">
        <v>727</v>
      </c>
      <c r="S449" s="4" t="s">
        <v>727</v>
      </c>
      <c r="T449" s="4" t="s">
        <v>404</v>
      </c>
      <c r="U449" s="44">
        <v>40794</v>
      </c>
      <c r="V449" s="4" t="s">
        <v>404</v>
      </c>
      <c r="W449" s="28"/>
      <c r="X449" s="74"/>
      <c r="Y449" s="28" t="e">
        <v>#REF!</v>
      </c>
      <c r="Z449" s="9"/>
      <c r="AA449" s="24" t="s">
        <v>393</v>
      </c>
      <c r="AB449" s="28">
        <v>40899</v>
      </c>
    </row>
    <row r="450" spans="1:28" ht="14.25" customHeight="1" x14ac:dyDescent="0.4">
      <c r="A450">
        <v>424</v>
      </c>
      <c r="B450" s="34">
        <v>0</v>
      </c>
      <c r="C450" s="34">
        <v>0</v>
      </c>
      <c r="D450" s="34">
        <v>0</v>
      </c>
      <c r="E450" s="32">
        <v>40918</v>
      </c>
      <c r="F450" s="24" t="s">
        <v>393</v>
      </c>
      <c r="G450" s="24">
        <v>40921</v>
      </c>
      <c r="H450" s="134">
        <v>386</v>
      </c>
      <c r="I450" s="23">
        <v>40909</v>
      </c>
      <c r="J450" s="37">
        <v>19</v>
      </c>
      <c r="K450" s="24" t="s">
        <v>524</v>
      </c>
      <c r="L450" s="24">
        <v>40909</v>
      </c>
      <c r="M450" s="32">
        <v>40673</v>
      </c>
      <c r="N450" s="22" t="s">
        <v>1380</v>
      </c>
      <c r="O450" s="4">
        <v>9120175</v>
      </c>
      <c r="P450" s="22">
        <v>1020</v>
      </c>
      <c r="Q450" s="22">
        <v>42</v>
      </c>
      <c r="R450" s="22">
        <v>0</v>
      </c>
      <c r="S450" s="4" t="s">
        <v>1817</v>
      </c>
      <c r="T450" s="4" t="s">
        <v>404</v>
      </c>
      <c r="U450" s="44">
        <v>41005</v>
      </c>
      <c r="V450" s="4" t="s">
        <v>404</v>
      </c>
      <c r="W450" s="9"/>
      <c r="Y450" s="28" t="e">
        <v>#REF!</v>
      </c>
      <c r="Z450" s="28"/>
      <c r="AA450" s="24" t="s">
        <v>393</v>
      </c>
      <c r="AB450" s="28">
        <v>40921</v>
      </c>
    </row>
    <row r="451" spans="1:28" ht="14.25" customHeight="1" x14ac:dyDescent="0.4">
      <c r="A451">
        <v>425</v>
      </c>
      <c r="B451" s="34">
        <v>0</v>
      </c>
      <c r="C451" s="34" t="s">
        <v>2102</v>
      </c>
      <c r="D451" s="34">
        <v>0</v>
      </c>
      <c r="E451" s="32">
        <v>40960</v>
      </c>
      <c r="F451" s="24" t="s">
        <v>393</v>
      </c>
      <c r="G451" s="24">
        <v>40962</v>
      </c>
      <c r="H451" s="134">
        <v>474</v>
      </c>
      <c r="I451" s="23">
        <v>40940</v>
      </c>
      <c r="J451" s="37">
        <v>44</v>
      </c>
      <c r="K451" s="24" t="s">
        <v>524</v>
      </c>
      <c r="L451" s="24">
        <v>40910</v>
      </c>
      <c r="M451" s="32">
        <v>40673</v>
      </c>
      <c r="N451" s="22" t="s">
        <v>1380</v>
      </c>
      <c r="O451" s="4">
        <v>9120176</v>
      </c>
      <c r="P451" s="22">
        <v>720</v>
      </c>
      <c r="Q451" s="22">
        <v>50</v>
      </c>
      <c r="R451" s="22">
        <v>0</v>
      </c>
      <c r="S451" s="4" t="s">
        <v>1696</v>
      </c>
      <c r="T451" s="4" t="s">
        <v>404</v>
      </c>
      <c r="U451" s="44">
        <v>41043</v>
      </c>
      <c r="V451" s="4" t="s">
        <v>404</v>
      </c>
      <c r="W451" s="9">
        <v>41044</v>
      </c>
      <c r="X451" s="74"/>
      <c r="Y451" s="28" t="e">
        <v>#REF!</v>
      </c>
      <c r="Z451" s="9"/>
      <c r="AA451" s="24" t="s">
        <v>393</v>
      </c>
      <c r="AB451" s="28">
        <v>40962</v>
      </c>
    </row>
    <row r="452" spans="1:28" ht="14.25" customHeight="1" x14ac:dyDescent="0.4">
      <c r="A452">
        <v>426</v>
      </c>
      <c r="B452" s="34">
        <v>0</v>
      </c>
      <c r="C452" s="34">
        <v>0</v>
      </c>
      <c r="D452" s="34">
        <v>0</v>
      </c>
      <c r="E452" s="32">
        <v>40990</v>
      </c>
      <c r="F452" s="24" t="s">
        <v>393</v>
      </c>
      <c r="G452" s="24">
        <v>40997</v>
      </c>
      <c r="H452" s="134">
        <v>526</v>
      </c>
      <c r="I452" s="23">
        <v>40969</v>
      </c>
      <c r="J452" s="37">
        <v>33</v>
      </c>
      <c r="K452" s="24" t="s">
        <v>524</v>
      </c>
      <c r="L452" s="24">
        <v>0</v>
      </c>
      <c r="M452" s="32">
        <v>40941</v>
      </c>
      <c r="N452" s="22" t="s">
        <v>1380</v>
      </c>
      <c r="O452" s="4">
        <v>9120553</v>
      </c>
      <c r="P452" s="22">
        <v>720</v>
      </c>
      <c r="Q452" s="22">
        <v>42</v>
      </c>
      <c r="R452" s="22">
        <v>0</v>
      </c>
      <c r="T452"/>
      <c r="U452" s="164"/>
      <c r="Y452" s="28" t="e">
        <v>#REF!</v>
      </c>
      <c r="AA452" s="24" t="s">
        <v>393</v>
      </c>
      <c r="AB452" s="28">
        <v>40997</v>
      </c>
    </row>
    <row r="453" spans="1:28" ht="14.25" customHeight="1" x14ac:dyDescent="0.4">
      <c r="A453">
        <v>427</v>
      </c>
      <c r="B453" s="34">
        <v>0</v>
      </c>
      <c r="C453" s="34">
        <v>0</v>
      </c>
      <c r="D453" s="34">
        <v>0</v>
      </c>
      <c r="E453" s="32">
        <v>40980</v>
      </c>
      <c r="F453" s="24" t="s">
        <v>393</v>
      </c>
      <c r="G453" s="24">
        <v>40982</v>
      </c>
      <c r="H453" s="134">
        <v>512</v>
      </c>
      <c r="I453" s="23">
        <v>40969</v>
      </c>
      <c r="J453" s="37">
        <v>19</v>
      </c>
      <c r="K453" s="24" t="s">
        <v>524</v>
      </c>
      <c r="L453" s="24">
        <v>0</v>
      </c>
      <c r="M453" s="32">
        <v>40941</v>
      </c>
      <c r="N453" s="22" t="s">
        <v>1380</v>
      </c>
      <c r="O453" s="4">
        <v>9120554</v>
      </c>
      <c r="P453" s="22">
        <v>720</v>
      </c>
      <c r="Q453" s="22">
        <v>42</v>
      </c>
      <c r="R453" s="22" t="s">
        <v>2713</v>
      </c>
      <c r="S453" s="3" t="s">
        <v>1282</v>
      </c>
      <c r="T453" s="3" t="s">
        <v>404</v>
      </c>
      <c r="U453" s="164">
        <v>40949</v>
      </c>
      <c r="V453" s="1" t="s">
        <v>404</v>
      </c>
      <c r="Y453" s="28" t="e">
        <v>#REF!</v>
      </c>
      <c r="AA453" s="24" t="s">
        <v>393</v>
      </c>
      <c r="AB453" s="28">
        <v>40982</v>
      </c>
    </row>
    <row r="454" spans="1:28" ht="14.25" customHeight="1" x14ac:dyDescent="0.4">
      <c r="A454">
        <v>601</v>
      </c>
      <c r="B454" s="34">
        <v>0</v>
      </c>
      <c r="C454" s="34" t="s">
        <v>2165</v>
      </c>
      <c r="D454" s="34">
        <v>0</v>
      </c>
      <c r="E454" s="32">
        <v>41072</v>
      </c>
      <c r="F454" s="24" t="s">
        <v>393</v>
      </c>
      <c r="G454" s="24">
        <v>41065</v>
      </c>
      <c r="H454" s="134">
        <v>594</v>
      </c>
      <c r="I454" s="23">
        <v>41061</v>
      </c>
      <c r="J454" s="37">
        <v>4</v>
      </c>
      <c r="K454" s="24" t="s">
        <v>524</v>
      </c>
      <c r="L454" s="24">
        <v>0</v>
      </c>
      <c r="M454" s="32">
        <v>41051</v>
      </c>
      <c r="N454" s="22" t="s">
        <v>1380</v>
      </c>
      <c r="O454" s="4">
        <v>9120601</v>
      </c>
      <c r="P454" s="22">
        <v>720</v>
      </c>
      <c r="Q454" s="22">
        <v>50</v>
      </c>
      <c r="R454" s="22" t="s">
        <v>2714</v>
      </c>
      <c r="S454" s="3" t="s">
        <v>1459</v>
      </c>
      <c r="T454" s="3" t="s">
        <v>404</v>
      </c>
      <c r="U454" s="80">
        <v>41148</v>
      </c>
      <c r="AA454" s="24" t="s">
        <v>393</v>
      </c>
      <c r="AB454" s="28">
        <v>41065</v>
      </c>
    </row>
    <row r="455" spans="1:28" ht="14.25" customHeight="1" x14ac:dyDescent="0.4">
      <c r="A455">
        <v>602</v>
      </c>
      <c r="B455" s="34">
        <v>0</v>
      </c>
      <c r="C455" s="34">
        <v>0</v>
      </c>
      <c r="D455" s="34">
        <v>0</v>
      </c>
      <c r="E455" s="32">
        <v>41074</v>
      </c>
      <c r="F455" s="24" t="s">
        <v>393</v>
      </c>
      <c r="G455" s="24">
        <v>41073</v>
      </c>
      <c r="H455" s="134">
        <v>595</v>
      </c>
      <c r="I455" s="23">
        <v>41061</v>
      </c>
      <c r="J455" s="37">
        <v>5</v>
      </c>
      <c r="K455" s="24" t="s">
        <v>524</v>
      </c>
      <c r="L455" s="24">
        <v>0</v>
      </c>
      <c r="M455" s="32">
        <v>41051</v>
      </c>
      <c r="N455" s="22" t="s">
        <v>1380</v>
      </c>
      <c r="O455" s="4">
        <v>9120602</v>
      </c>
      <c r="P455" s="22">
        <v>720</v>
      </c>
      <c r="Q455" s="22">
        <v>50</v>
      </c>
      <c r="R455" s="22" t="s">
        <v>2715</v>
      </c>
      <c r="T455"/>
      <c r="U455"/>
      <c r="AA455" s="24" t="s">
        <v>393</v>
      </c>
      <c r="AB455" s="28">
        <v>41073</v>
      </c>
    </row>
    <row r="456" spans="1:28" ht="14.25" customHeight="1" x14ac:dyDescent="0.4">
      <c r="A456">
        <v>435</v>
      </c>
      <c r="B456" s="32">
        <v>40725</v>
      </c>
      <c r="C456" s="32">
        <v>40725</v>
      </c>
      <c r="D456" s="32">
        <v>40725</v>
      </c>
      <c r="E456" s="32">
        <v>40725</v>
      </c>
      <c r="F456" s="24" t="s">
        <v>393</v>
      </c>
      <c r="G456" s="24">
        <v>41066</v>
      </c>
      <c r="H456" s="35">
        <v>1</v>
      </c>
      <c r="I456" s="23">
        <v>40725</v>
      </c>
      <c r="J456" s="37">
        <v>1</v>
      </c>
      <c r="K456" s="24" t="s">
        <v>524</v>
      </c>
      <c r="L456" s="24">
        <v>40725</v>
      </c>
      <c r="M456" s="24">
        <v>40731</v>
      </c>
      <c r="N456" s="22" t="s">
        <v>1380</v>
      </c>
      <c r="O456" s="4">
        <v>9120440</v>
      </c>
      <c r="P456" s="22">
        <v>720</v>
      </c>
      <c r="Q456" s="22">
        <v>42</v>
      </c>
      <c r="R456" s="22" t="s">
        <v>2716</v>
      </c>
      <c r="T456" s="4"/>
      <c r="U456" s="44"/>
      <c r="V456" s="4"/>
      <c r="Y456" s="28" t="e">
        <v>#REF!</v>
      </c>
      <c r="AA456" s="24" t="s">
        <v>393</v>
      </c>
      <c r="AB456" s="28">
        <v>41066</v>
      </c>
    </row>
    <row r="457" spans="1:28" ht="14.25" customHeight="1" x14ac:dyDescent="0.4">
      <c r="A457">
        <v>428</v>
      </c>
      <c r="B457" s="34">
        <v>0</v>
      </c>
      <c r="C457" s="34">
        <v>0</v>
      </c>
      <c r="D457" s="34">
        <v>0</v>
      </c>
      <c r="E457" s="32">
        <v>40826</v>
      </c>
      <c r="F457" s="24" t="s">
        <v>393</v>
      </c>
      <c r="G457" s="24">
        <v>40829</v>
      </c>
      <c r="H457" s="134">
        <v>200</v>
      </c>
      <c r="I457" s="23">
        <v>40817</v>
      </c>
      <c r="J457" s="37">
        <v>13</v>
      </c>
      <c r="K457" s="24" t="s">
        <v>1369</v>
      </c>
      <c r="L457" s="24">
        <v>0</v>
      </c>
      <c r="M457" s="32">
        <v>40800</v>
      </c>
      <c r="N457" s="22" t="s">
        <v>1705</v>
      </c>
      <c r="O457" s="4">
        <v>9120185</v>
      </c>
      <c r="P457" s="22">
        <v>1020</v>
      </c>
      <c r="Q457" s="22">
        <v>50</v>
      </c>
      <c r="R457" s="22">
        <v>0</v>
      </c>
      <c r="S457" s="4" t="s">
        <v>800</v>
      </c>
      <c r="T457" s="4" t="s">
        <v>404</v>
      </c>
      <c r="U457" s="44">
        <v>40889</v>
      </c>
      <c r="V457" s="4"/>
      <c r="W457" s="9"/>
      <c r="Y457" s="28" t="e">
        <v>#REF!</v>
      </c>
      <c r="Z457" s="9"/>
      <c r="AA457" s="24" t="s">
        <v>393</v>
      </c>
      <c r="AB457" s="28">
        <v>40829</v>
      </c>
    </row>
    <row r="458" spans="1:28" ht="14.25" customHeight="1" x14ac:dyDescent="0.4">
      <c r="A458">
        <v>429</v>
      </c>
      <c r="B458" s="32">
        <v>40786</v>
      </c>
      <c r="C458" s="32">
        <v>40786</v>
      </c>
      <c r="D458" s="32">
        <v>40786</v>
      </c>
      <c r="E458" s="32">
        <v>40786</v>
      </c>
      <c r="F458" s="24" t="s">
        <v>393</v>
      </c>
      <c r="G458" s="24">
        <v>40794</v>
      </c>
      <c r="H458" s="35">
        <v>121</v>
      </c>
      <c r="I458" s="23">
        <v>40756</v>
      </c>
      <c r="J458" s="37">
        <v>66</v>
      </c>
      <c r="K458" s="24" t="s">
        <v>1369</v>
      </c>
      <c r="L458" s="24">
        <v>0</v>
      </c>
      <c r="M458" s="32">
        <v>40723</v>
      </c>
      <c r="N458" s="22" t="s">
        <v>1705</v>
      </c>
      <c r="O458" s="4">
        <v>9120436</v>
      </c>
      <c r="P458" s="22">
        <v>1220</v>
      </c>
      <c r="Q458" s="22">
        <v>50</v>
      </c>
      <c r="R458" s="22">
        <v>0</v>
      </c>
      <c r="S458" s="3" t="s">
        <v>799</v>
      </c>
      <c r="T458" s="4" t="s">
        <v>404</v>
      </c>
      <c r="U458" s="44">
        <v>40865</v>
      </c>
      <c r="V458" s="4"/>
      <c r="Y458" s="28" t="e">
        <v>#REF!</v>
      </c>
      <c r="AA458" s="24" t="s">
        <v>393</v>
      </c>
      <c r="AB458" s="28">
        <v>40794</v>
      </c>
    </row>
    <row r="459" spans="1:28" ht="14.25" customHeight="1" x14ac:dyDescent="0.4">
      <c r="A459">
        <v>430</v>
      </c>
      <c r="B459" s="32">
        <v>40891</v>
      </c>
      <c r="C459" s="32">
        <v>40891</v>
      </c>
      <c r="D459" s="32">
        <v>40891</v>
      </c>
      <c r="E459" s="32">
        <v>40891</v>
      </c>
      <c r="F459" s="24" t="s">
        <v>393</v>
      </c>
      <c r="G459" s="24">
        <v>40896</v>
      </c>
      <c r="H459" s="35">
        <v>342</v>
      </c>
      <c r="I459" s="23">
        <v>40878</v>
      </c>
      <c r="J459" s="37">
        <v>32</v>
      </c>
      <c r="K459" s="24" t="s">
        <v>1369</v>
      </c>
      <c r="L459" s="24">
        <v>0</v>
      </c>
      <c r="M459" s="32">
        <v>40660</v>
      </c>
      <c r="N459" s="22" t="s">
        <v>1705</v>
      </c>
      <c r="O459" s="4">
        <v>9120524</v>
      </c>
      <c r="P459" s="22">
        <v>1220</v>
      </c>
      <c r="Q459" s="22">
        <v>50</v>
      </c>
      <c r="R459" s="22">
        <v>0</v>
      </c>
      <c r="S459" s="3" t="s">
        <v>801</v>
      </c>
      <c r="T459" s="4" t="s">
        <v>404</v>
      </c>
      <c r="U459" s="44">
        <v>40896</v>
      </c>
      <c r="V459" s="4"/>
      <c r="Y459" s="28" t="e">
        <v>#REF!</v>
      </c>
      <c r="AA459" s="24" t="s">
        <v>393</v>
      </c>
      <c r="AB459" s="28">
        <v>40896</v>
      </c>
    </row>
    <row r="460" spans="1:28" ht="14.25" customHeight="1" x14ac:dyDescent="0.4">
      <c r="A460">
        <v>431</v>
      </c>
      <c r="B460" s="32">
        <v>40947</v>
      </c>
      <c r="C460" s="32">
        <v>40947</v>
      </c>
      <c r="D460" s="32">
        <v>40947</v>
      </c>
      <c r="E460" s="32">
        <v>40947</v>
      </c>
      <c r="F460" s="24" t="s">
        <v>393</v>
      </c>
      <c r="G460" s="24">
        <v>40955</v>
      </c>
      <c r="H460" s="35">
        <v>451</v>
      </c>
      <c r="I460" s="23">
        <v>40940</v>
      </c>
      <c r="J460" s="37">
        <v>21</v>
      </c>
      <c r="K460" s="24" t="s">
        <v>1369</v>
      </c>
      <c r="L460" s="24">
        <v>40909</v>
      </c>
      <c r="M460" s="32">
        <v>40877</v>
      </c>
      <c r="N460" s="22" t="s">
        <v>1705</v>
      </c>
      <c r="O460" s="4">
        <v>9120526</v>
      </c>
      <c r="P460" s="22">
        <v>1220</v>
      </c>
      <c r="Q460" s="22">
        <v>50</v>
      </c>
      <c r="R460" s="22">
        <v>0</v>
      </c>
      <c r="T460" s="11" t="s">
        <v>404</v>
      </c>
      <c r="U460" s="122">
        <v>40935</v>
      </c>
      <c r="V460" s="4"/>
      <c r="Y460" s="28" t="e">
        <v>#REF!</v>
      </c>
      <c r="AA460" s="24" t="s">
        <v>393</v>
      </c>
      <c r="AB460" s="28">
        <v>40955</v>
      </c>
    </row>
    <row r="461" spans="1:28" ht="14.25" customHeight="1" x14ac:dyDescent="0.4">
      <c r="A461">
        <v>432</v>
      </c>
      <c r="B461" s="32">
        <v>40953</v>
      </c>
      <c r="C461" s="32">
        <v>40953</v>
      </c>
      <c r="D461" s="32">
        <v>40953</v>
      </c>
      <c r="E461" s="32">
        <v>40953</v>
      </c>
      <c r="F461" s="24" t="s">
        <v>393</v>
      </c>
      <c r="G461" s="24">
        <v>40959</v>
      </c>
      <c r="H461" s="35">
        <v>462</v>
      </c>
      <c r="I461" s="23">
        <v>40940</v>
      </c>
      <c r="J461" s="37">
        <v>32</v>
      </c>
      <c r="K461" s="24" t="s">
        <v>1369</v>
      </c>
      <c r="L461" s="24">
        <v>0</v>
      </c>
      <c r="M461" s="32">
        <v>40660</v>
      </c>
      <c r="N461" s="22" t="s">
        <v>1705</v>
      </c>
      <c r="O461" s="4">
        <v>9120529</v>
      </c>
      <c r="P461" s="22">
        <v>1020</v>
      </c>
      <c r="Q461" s="22">
        <v>50</v>
      </c>
      <c r="R461" s="22">
        <v>0</v>
      </c>
      <c r="T461" s="4"/>
      <c r="U461" s="164"/>
      <c r="V461" s="4"/>
      <c r="Y461" s="28" t="e">
        <v>#REF!</v>
      </c>
      <c r="AA461" s="24" t="s">
        <v>393</v>
      </c>
      <c r="AB461" s="28">
        <v>40959</v>
      </c>
    </row>
    <row r="462" spans="1:28" ht="14.25" customHeight="1" x14ac:dyDescent="0.4">
      <c r="A462">
        <v>433</v>
      </c>
      <c r="B462" s="34">
        <v>0</v>
      </c>
      <c r="C462" s="34" t="s">
        <v>2102</v>
      </c>
      <c r="D462" s="34">
        <v>0</v>
      </c>
      <c r="E462" s="32">
        <v>40981</v>
      </c>
      <c r="F462" s="24" t="s">
        <v>393</v>
      </c>
      <c r="G462" s="24">
        <v>41045</v>
      </c>
      <c r="H462" s="134">
        <v>514</v>
      </c>
      <c r="I462" s="23">
        <v>40969</v>
      </c>
      <c r="J462" s="37">
        <v>21</v>
      </c>
      <c r="K462" s="24" t="s">
        <v>1369</v>
      </c>
      <c r="L462" s="24">
        <v>40969</v>
      </c>
      <c r="M462" s="32">
        <v>40673</v>
      </c>
      <c r="N462" s="22" t="s">
        <v>1705</v>
      </c>
      <c r="O462" s="4">
        <v>9120559</v>
      </c>
      <c r="P462" s="22">
        <v>1220</v>
      </c>
      <c r="Q462" s="22">
        <v>50</v>
      </c>
      <c r="R462" s="22">
        <v>0</v>
      </c>
      <c r="T462"/>
      <c r="U462" s="164"/>
      <c r="Y462" s="28" t="e">
        <v>#REF!</v>
      </c>
      <c r="AA462" s="24" t="s">
        <v>393</v>
      </c>
      <c r="AB462" s="28">
        <v>41045</v>
      </c>
    </row>
    <row r="463" spans="1:28" ht="14.25" customHeight="1" x14ac:dyDescent="0.4">
      <c r="A463">
        <v>434</v>
      </c>
      <c r="B463" s="32">
        <v>40822</v>
      </c>
      <c r="C463" s="32">
        <v>40822</v>
      </c>
      <c r="D463" s="32">
        <v>40822</v>
      </c>
      <c r="E463" s="32">
        <v>40822</v>
      </c>
      <c r="F463" s="24" t="s">
        <v>392</v>
      </c>
      <c r="G463" s="24">
        <v>0</v>
      </c>
      <c r="H463" s="35">
        <v>195</v>
      </c>
      <c r="I463" s="23">
        <v>40817</v>
      </c>
      <c r="J463" s="37">
        <v>8</v>
      </c>
      <c r="K463" s="24" t="s">
        <v>1369</v>
      </c>
      <c r="L463" s="24">
        <v>40817</v>
      </c>
      <c r="M463" s="32">
        <v>40730</v>
      </c>
      <c r="N463" s="22" t="s">
        <v>1727</v>
      </c>
      <c r="O463" s="4">
        <v>9120437</v>
      </c>
      <c r="P463" s="22">
        <v>1025</v>
      </c>
      <c r="Q463" s="22">
        <v>42</v>
      </c>
      <c r="R463" s="22" t="s">
        <v>2716</v>
      </c>
      <c r="T463" s="4"/>
      <c r="U463" s="44"/>
      <c r="V463" s="4"/>
      <c r="Y463" s="28" t="e">
        <v>#REF!</v>
      </c>
      <c r="AA463" s="24" t="s">
        <v>392</v>
      </c>
      <c r="AB463" s="28">
        <v>0</v>
      </c>
    </row>
    <row r="464" spans="1:28" ht="14.25" customHeight="1" x14ac:dyDescent="0.4">
      <c r="A464">
        <v>483</v>
      </c>
      <c r="B464" s="32">
        <v>40841</v>
      </c>
      <c r="C464" s="32">
        <v>40841</v>
      </c>
      <c r="D464" s="32">
        <v>40841</v>
      </c>
      <c r="E464" s="32">
        <v>40841</v>
      </c>
      <c r="F464" s="24" t="s">
        <v>392</v>
      </c>
      <c r="G464" s="24">
        <v>40850</v>
      </c>
      <c r="H464" s="134">
        <v>238</v>
      </c>
      <c r="I464" s="23">
        <v>40817</v>
      </c>
      <c r="J464" s="37">
        <v>51</v>
      </c>
      <c r="K464" s="24" t="s">
        <v>1369</v>
      </c>
      <c r="L464" s="24">
        <v>40817</v>
      </c>
      <c r="M464" s="32">
        <v>40661</v>
      </c>
      <c r="N464" s="22" t="s">
        <v>1727</v>
      </c>
      <c r="O464" s="81">
        <v>9120252</v>
      </c>
      <c r="P464" s="22">
        <v>1020</v>
      </c>
      <c r="Q464" s="22">
        <v>50</v>
      </c>
      <c r="R464" s="22" t="s">
        <v>2717</v>
      </c>
      <c r="S464" s="55"/>
      <c r="T464" s="4"/>
      <c r="U464" s="94"/>
      <c r="V464" s="4"/>
      <c r="W464" s="92"/>
      <c r="X464" s="74"/>
      <c r="Y464" s="28" t="e">
        <v>#REF!</v>
      </c>
      <c r="Z464" s="9"/>
      <c r="AA464" s="24" t="s">
        <v>392</v>
      </c>
      <c r="AB464" s="28">
        <v>40850</v>
      </c>
    </row>
    <row r="465" spans="1:34" ht="14.25" customHeight="1" x14ac:dyDescent="0.4">
      <c r="A465">
        <v>490</v>
      </c>
      <c r="B465" s="34">
        <v>0</v>
      </c>
      <c r="C465" s="34" t="s">
        <v>2165</v>
      </c>
      <c r="D465" s="34">
        <v>0</v>
      </c>
      <c r="E465" s="32">
        <v>40953</v>
      </c>
      <c r="F465" s="24" t="s">
        <v>392</v>
      </c>
      <c r="G465" s="24">
        <v>40961</v>
      </c>
      <c r="H465" s="134">
        <v>460</v>
      </c>
      <c r="I465" s="23">
        <v>40940</v>
      </c>
      <c r="J465" s="37">
        <v>30</v>
      </c>
      <c r="K465" s="24" t="s">
        <v>1369</v>
      </c>
      <c r="L465" s="24">
        <v>40848</v>
      </c>
      <c r="M465" s="32">
        <v>40661</v>
      </c>
      <c r="N465" s="22" t="s">
        <v>1727</v>
      </c>
      <c r="O465" s="81">
        <v>9120260</v>
      </c>
      <c r="P465" s="22">
        <v>1020</v>
      </c>
      <c r="Q465" s="22">
        <v>50</v>
      </c>
      <c r="R465" s="22" t="s">
        <v>2718</v>
      </c>
      <c r="S465" s="4"/>
      <c r="T465" s="4"/>
      <c r="U465" s="44"/>
      <c r="V465" s="4"/>
      <c r="W465" s="127"/>
      <c r="X465" s="74"/>
      <c r="Y465" s="28" t="e">
        <v>#REF!</v>
      </c>
      <c r="Z465" s="9"/>
      <c r="AA465" s="24" t="s">
        <v>392</v>
      </c>
      <c r="AB465" s="28">
        <v>40961</v>
      </c>
    </row>
    <row r="466" spans="1:34" ht="14.25" customHeight="1" x14ac:dyDescent="0.4">
      <c r="A466">
        <v>196</v>
      </c>
      <c r="B466" s="34">
        <v>0</v>
      </c>
      <c r="C466" s="34" t="s">
        <v>2102</v>
      </c>
      <c r="D466" s="34">
        <v>0</v>
      </c>
      <c r="E466" s="32">
        <v>40735</v>
      </c>
      <c r="F466" s="24" t="s">
        <v>393</v>
      </c>
      <c r="G466" s="24">
        <v>40742</v>
      </c>
      <c r="H466" s="134">
        <v>13</v>
      </c>
      <c r="I466" s="23">
        <v>40725</v>
      </c>
      <c r="J466" s="37">
        <v>13</v>
      </c>
      <c r="K466" s="24" t="s">
        <v>1760</v>
      </c>
      <c r="L466" s="24">
        <v>0</v>
      </c>
      <c r="M466" s="32">
        <v>40669</v>
      </c>
      <c r="N466" s="22" t="s">
        <v>557</v>
      </c>
      <c r="O466" s="4">
        <v>9120107</v>
      </c>
      <c r="P466" s="22">
        <v>1020</v>
      </c>
      <c r="Q466" s="22">
        <v>42</v>
      </c>
      <c r="R466" s="22">
        <v>0</v>
      </c>
      <c r="S466" s="3" t="s">
        <v>403</v>
      </c>
      <c r="T466" s="102" t="s">
        <v>404</v>
      </c>
      <c r="U466" s="164">
        <v>41032</v>
      </c>
      <c r="V466" s="55"/>
      <c r="W466" s="93"/>
      <c r="X466" s="74"/>
      <c r="Y466" s="28" t="e">
        <v>#REF!</v>
      </c>
      <c r="Z466" s="9"/>
      <c r="AA466" s="24" t="s">
        <v>393</v>
      </c>
      <c r="AB466" s="28">
        <v>40742</v>
      </c>
    </row>
    <row r="467" spans="1:34" ht="14.25" customHeight="1" x14ac:dyDescent="0.4">
      <c r="A467">
        <v>197</v>
      </c>
      <c r="B467" s="34">
        <v>0</v>
      </c>
      <c r="C467" s="34" t="s">
        <v>2165</v>
      </c>
      <c r="D467" s="34">
        <v>0</v>
      </c>
      <c r="E467" s="32">
        <v>40736</v>
      </c>
      <c r="F467" s="24" t="s">
        <v>393</v>
      </c>
      <c r="G467" s="24">
        <v>40749</v>
      </c>
      <c r="H467" s="134">
        <v>14</v>
      </c>
      <c r="I467" s="23">
        <v>40725</v>
      </c>
      <c r="J467" s="37">
        <v>14</v>
      </c>
      <c r="K467" s="24" t="s">
        <v>1760</v>
      </c>
      <c r="L467" s="24">
        <v>0</v>
      </c>
      <c r="M467" s="32">
        <v>40669</v>
      </c>
      <c r="N467" s="22" t="s">
        <v>557</v>
      </c>
      <c r="O467" s="4">
        <v>9120108</v>
      </c>
      <c r="P467" s="22">
        <v>1020</v>
      </c>
      <c r="Q467" s="22">
        <v>42</v>
      </c>
      <c r="R467" s="22">
        <v>0</v>
      </c>
      <c r="S467" s="3" t="s">
        <v>403</v>
      </c>
      <c r="T467" s="55" t="s">
        <v>404</v>
      </c>
      <c r="U467" s="164">
        <v>41005</v>
      </c>
      <c r="V467" s="55"/>
      <c r="W467" s="92"/>
      <c r="X467" s="74"/>
      <c r="Y467" s="28" t="e">
        <v>#REF!</v>
      </c>
      <c r="Z467" s="28"/>
      <c r="AA467" s="24" t="s">
        <v>393</v>
      </c>
      <c r="AB467" s="28">
        <v>40749</v>
      </c>
    </row>
    <row r="468" spans="1:34" s="69" customFormat="1" ht="14.25" customHeight="1" x14ac:dyDescent="0.4">
      <c r="A468">
        <v>198</v>
      </c>
      <c r="B468" s="32">
        <v>40858</v>
      </c>
      <c r="C468" s="32">
        <v>40858</v>
      </c>
      <c r="D468" s="32">
        <v>40858</v>
      </c>
      <c r="E468" s="32">
        <v>40858</v>
      </c>
      <c r="F468" s="24" t="s">
        <v>393</v>
      </c>
      <c r="G468" s="24">
        <v>40877</v>
      </c>
      <c r="H468" s="134">
        <v>280</v>
      </c>
      <c r="I468" s="23">
        <v>40848</v>
      </c>
      <c r="J468" s="37">
        <v>29</v>
      </c>
      <c r="K468" s="24" t="s">
        <v>1760</v>
      </c>
      <c r="L468" s="24">
        <v>0</v>
      </c>
      <c r="M468" s="32">
        <v>40669</v>
      </c>
      <c r="N468" s="22" t="s">
        <v>557</v>
      </c>
      <c r="O468" s="4">
        <v>9120109</v>
      </c>
      <c r="P468" s="22">
        <v>1020</v>
      </c>
      <c r="Q468" s="22">
        <v>42</v>
      </c>
      <c r="R468" s="22">
        <v>0</v>
      </c>
      <c r="S468" s="3" t="s">
        <v>403</v>
      </c>
      <c r="T468" s="102" t="s">
        <v>404</v>
      </c>
      <c r="U468" s="164">
        <v>41151</v>
      </c>
      <c r="V468" s="55"/>
      <c r="W468" s="157"/>
      <c r="X468" s="74"/>
      <c r="Y468" s="28" t="e">
        <v>#REF!</v>
      </c>
      <c r="Z468" s="28"/>
      <c r="AA468" s="24" t="s">
        <v>393</v>
      </c>
      <c r="AB468" s="28">
        <v>40877</v>
      </c>
      <c r="AH468" s="64"/>
    </row>
    <row r="469" spans="1:34" ht="14.25" customHeight="1" x14ac:dyDescent="0.4">
      <c r="A469">
        <v>199</v>
      </c>
      <c r="B469" s="32">
        <v>40861</v>
      </c>
      <c r="C469" s="32">
        <v>40861</v>
      </c>
      <c r="D469" s="32">
        <v>40861</v>
      </c>
      <c r="E469" s="32">
        <v>40861</v>
      </c>
      <c r="F469" s="24" t="s">
        <v>393</v>
      </c>
      <c r="G469" s="24">
        <v>40865</v>
      </c>
      <c r="H469" s="134">
        <v>281</v>
      </c>
      <c r="I469" s="23">
        <v>40848</v>
      </c>
      <c r="J469" s="37">
        <v>30</v>
      </c>
      <c r="K469" s="24" t="s">
        <v>1760</v>
      </c>
      <c r="L469" s="24">
        <v>0</v>
      </c>
      <c r="M469" s="32">
        <v>40669</v>
      </c>
      <c r="N469" s="22" t="s">
        <v>557</v>
      </c>
      <c r="O469" s="4">
        <v>9120110</v>
      </c>
      <c r="P469" s="22">
        <v>1020</v>
      </c>
      <c r="Q469" s="22">
        <v>42</v>
      </c>
      <c r="R469" s="22">
        <v>0</v>
      </c>
      <c r="S469" s="3" t="s">
        <v>403</v>
      </c>
      <c r="T469" s="55" t="s">
        <v>404</v>
      </c>
      <c r="U469" s="164">
        <v>41136</v>
      </c>
      <c r="V469" s="55"/>
      <c r="W469" s="157"/>
      <c r="X469" s="74"/>
      <c r="Y469" s="28" t="e">
        <v>#REF!</v>
      </c>
      <c r="Z469" s="28"/>
      <c r="AA469" s="24" t="s">
        <v>393</v>
      </c>
      <c r="AB469" s="28">
        <v>40865</v>
      </c>
    </row>
    <row r="470" spans="1:34" ht="14.25" customHeight="1" x14ac:dyDescent="0.4">
      <c r="A470">
        <v>436</v>
      </c>
      <c r="B470" s="32">
        <v>40784</v>
      </c>
      <c r="C470" s="32">
        <v>40784</v>
      </c>
      <c r="D470" s="32">
        <v>40784</v>
      </c>
      <c r="E470" s="32">
        <v>40784</v>
      </c>
      <c r="F470" s="24" t="s">
        <v>393</v>
      </c>
      <c r="G470" s="24">
        <v>40808</v>
      </c>
      <c r="H470" s="35">
        <v>115</v>
      </c>
      <c r="I470" s="23">
        <v>40756</v>
      </c>
      <c r="J470" s="37">
        <v>60</v>
      </c>
      <c r="K470" s="24" t="s">
        <v>1760</v>
      </c>
      <c r="L470" s="24">
        <v>40756</v>
      </c>
      <c r="M470" s="32">
        <v>40673</v>
      </c>
      <c r="N470" s="22" t="s">
        <v>1950</v>
      </c>
      <c r="O470" s="4">
        <v>9120275</v>
      </c>
      <c r="P470" s="22">
        <v>1220</v>
      </c>
      <c r="Q470" s="22">
        <v>50</v>
      </c>
      <c r="R470" s="22" t="s">
        <v>2719</v>
      </c>
      <c r="S470" s="3" t="s">
        <v>272</v>
      </c>
      <c r="T470" s="4" t="s">
        <v>404</v>
      </c>
      <c r="U470" s="44">
        <v>40927</v>
      </c>
      <c r="V470" s="4"/>
      <c r="Y470" s="28" t="e">
        <v>#REF!</v>
      </c>
      <c r="AA470" s="24" t="s">
        <v>393</v>
      </c>
      <c r="AB470" s="28">
        <v>40808</v>
      </c>
    </row>
    <row r="471" spans="1:34" ht="14.25" customHeight="1" x14ac:dyDescent="0.4">
      <c r="A471">
        <v>437</v>
      </c>
      <c r="B471" s="34">
        <v>0</v>
      </c>
      <c r="C471" s="34">
        <v>0</v>
      </c>
      <c r="D471" s="34">
        <v>0</v>
      </c>
      <c r="E471" s="32">
        <v>40785</v>
      </c>
      <c r="F471" s="24" t="s">
        <v>393</v>
      </c>
      <c r="G471" s="24">
        <v>40795</v>
      </c>
      <c r="H471" s="134">
        <v>116</v>
      </c>
      <c r="I471" s="23">
        <v>40756</v>
      </c>
      <c r="J471" s="37">
        <v>61</v>
      </c>
      <c r="K471" s="24" t="s">
        <v>1760</v>
      </c>
      <c r="L471" s="24">
        <v>40756</v>
      </c>
      <c r="M471" s="32">
        <v>40724</v>
      </c>
      <c r="N471" s="22" t="s">
        <v>1950</v>
      </c>
      <c r="O471" s="4">
        <v>9120276</v>
      </c>
      <c r="P471" s="22">
        <v>1220</v>
      </c>
      <c r="Q471" s="22">
        <v>50</v>
      </c>
      <c r="R471" s="22" t="s">
        <v>2720</v>
      </c>
      <c r="S471" s="55"/>
      <c r="T471" s="4"/>
      <c r="U471" s="94"/>
      <c r="V471" s="4"/>
      <c r="W471" s="92"/>
      <c r="Y471" s="28" t="e">
        <v>#REF!</v>
      </c>
      <c r="Z471" s="28"/>
      <c r="AA471" s="24" t="s">
        <v>393</v>
      </c>
      <c r="AB471" s="28">
        <v>40795</v>
      </c>
    </row>
    <row r="472" spans="1:34" ht="14.25" customHeight="1" x14ac:dyDescent="0.4">
      <c r="A472">
        <v>438</v>
      </c>
      <c r="B472" s="34">
        <v>0</v>
      </c>
      <c r="C472" s="34">
        <v>0</v>
      </c>
      <c r="D472" s="34">
        <v>0</v>
      </c>
      <c r="E472" s="32">
        <v>40813</v>
      </c>
      <c r="F472" s="24" t="s">
        <v>393</v>
      </c>
      <c r="G472" s="24">
        <v>40815</v>
      </c>
      <c r="H472" s="134">
        <v>172</v>
      </c>
      <c r="I472" s="23">
        <v>40787</v>
      </c>
      <c r="J472" s="37">
        <v>48</v>
      </c>
      <c r="K472" s="24" t="s">
        <v>1760</v>
      </c>
      <c r="L472" s="24">
        <v>40787</v>
      </c>
      <c r="M472" s="32">
        <v>40673</v>
      </c>
      <c r="N472" s="22" t="s">
        <v>1950</v>
      </c>
      <c r="O472" s="4">
        <v>9120277</v>
      </c>
      <c r="P472" s="22">
        <v>1220</v>
      </c>
      <c r="Q472" s="22">
        <v>50</v>
      </c>
      <c r="R472" s="22" t="s">
        <v>2721</v>
      </c>
      <c r="S472" s="1" t="s">
        <v>273</v>
      </c>
      <c r="T472" s="4" t="s">
        <v>404</v>
      </c>
      <c r="U472" s="94">
        <v>41032</v>
      </c>
      <c r="V472" s="4"/>
      <c r="W472" s="92"/>
      <c r="X472" s="74"/>
      <c r="Y472" s="28" t="e">
        <v>#REF!</v>
      </c>
      <c r="Z472" s="28"/>
      <c r="AA472" s="24" t="s">
        <v>393</v>
      </c>
      <c r="AB472" s="28">
        <v>40815</v>
      </c>
    </row>
    <row r="473" spans="1:34" ht="14.25" customHeight="1" x14ac:dyDescent="0.4">
      <c r="A473">
        <v>439</v>
      </c>
      <c r="B473" s="32">
        <v>40813</v>
      </c>
      <c r="C473" s="32">
        <v>40813</v>
      </c>
      <c r="D473" s="32">
        <v>40813</v>
      </c>
      <c r="E473" s="32">
        <v>40813</v>
      </c>
      <c r="F473" s="24" t="s">
        <v>393</v>
      </c>
      <c r="G473" s="24">
        <v>40841</v>
      </c>
      <c r="H473" s="35">
        <v>173</v>
      </c>
      <c r="I473" s="23">
        <v>40787</v>
      </c>
      <c r="J473" s="37">
        <v>49</v>
      </c>
      <c r="K473" s="24" t="s">
        <v>1760</v>
      </c>
      <c r="L473" s="24">
        <v>40787</v>
      </c>
      <c r="M473" s="32">
        <v>40673</v>
      </c>
      <c r="N473" s="22" t="s">
        <v>1950</v>
      </c>
      <c r="O473" s="4">
        <v>9120278</v>
      </c>
      <c r="P473" s="22">
        <v>1220</v>
      </c>
      <c r="Q473" s="22">
        <v>50</v>
      </c>
      <c r="R473" s="22" t="s">
        <v>2722</v>
      </c>
      <c r="T473" s="4"/>
      <c r="U473" s="164"/>
      <c r="V473" s="4"/>
      <c r="W473" s="28"/>
      <c r="Y473" s="28" t="e">
        <v>#REF!</v>
      </c>
      <c r="AA473" s="24" t="s">
        <v>393</v>
      </c>
      <c r="AB473" s="28">
        <v>40841</v>
      </c>
    </row>
    <row r="474" spans="1:34" ht="14.25" customHeight="1" x14ac:dyDescent="0.4">
      <c r="A474">
        <v>440</v>
      </c>
      <c r="B474" s="32">
        <v>40842</v>
      </c>
      <c r="C474" s="32">
        <v>40842</v>
      </c>
      <c r="D474" s="32">
        <v>40842</v>
      </c>
      <c r="E474" s="32">
        <v>40842</v>
      </c>
      <c r="F474" s="24" t="s">
        <v>393</v>
      </c>
      <c r="G474" s="24">
        <v>40863</v>
      </c>
      <c r="H474" s="134">
        <v>240</v>
      </c>
      <c r="I474" s="23">
        <v>40817</v>
      </c>
      <c r="J474" s="37">
        <v>53</v>
      </c>
      <c r="K474" s="24" t="s">
        <v>1760</v>
      </c>
      <c r="L474" s="24">
        <v>40817</v>
      </c>
      <c r="M474" s="32">
        <v>40673</v>
      </c>
      <c r="N474" s="22" t="s">
        <v>1950</v>
      </c>
      <c r="O474" s="4">
        <v>9120279</v>
      </c>
      <c r="P474" s="22">
        <v>1220</v>
      </c>
      <c r="Q474" s="22">
        <v>50</v>
      </c>
      <c r="R474" s="22" t="s">
        <v>2723</v>
      </c>
      <c r="S474" s="102" t="s">
        <v>175</v>
      </c>
      <c r="T474" s="4" t="s">
        <v>404</v>
      </c>
      <c r="U474" s="143">
        <v>40806</v>
      </c>
      <c r="V474" s="4"/>
      <c r="W474" s="92"/>
      <c r="X474" s="74">
        <v>0</v>
      </c>
      <c r="Y474" s="28" t="e">
        <v>#REF!</v>
      </c>
      <c r="Z474" s="9"/>
      <c r="AA474" s="24" t="s">
        <v>393</v>
      </c>
      <c r="AB474" s="28">
        <v>40863</v>
      </c>
    </row>
    <row r="475" spans="1:34" ht="14.25" customHeight="1" x14ac:dyDescent="0.4">
      <c r="A475">
        <v>441</v>
      </c>
      <c r="B475" s="32">
        <v>40842</v>
      </c>
      <c r="C475" s="32">
        <v>40842</v>
      </c>
      <c r="D475" s="32">
        <v>40842</v>
      </c>
      <c r="E475" s="32">
        <v>40842</v>
      </c>
      <c r="F475" s="24" t="s">
        <v>393</v>
      </c>
      <c r="G475" s="24">
        <v>40861</v>
      </c>
      <c r="H475" s="134">
        <v>241</v>
      </c>
      <c r="I475" s="23">
        <v>40817</v>
      </c>
      <c r="J475" s="37">
        <v>54</v>
      </c>
      <c r="K475" s="24" t="s">
        <v>1760</v>
      </c>
      <c r="L475" s="24">
        <v>40817</v>
      </c>
      <c r="M475" s="32">
        <v>40673</v>
      </c>
      <c r="N475" s="22" t="s">
        <v>1950</v>
      </c>
      <c r="O475" s="4">
        <v>9120280</v>
      </c>
      <c r="P475" s="22">
        <v>1220</v>
      </c>
      <c r="Q475" s="22">
        <v>50</v>
      </c>
      <c r="R475" s="22" t="s">
        <v>2724</v>
      </c>
      <c r="S475" s="102" t="s">
        <v>924</v>
      </c>
      <c r="T475" s="4" t="s">
        <v>404</v>
      </c>
      <c r="U475" s="94">
        <v>40814</v>
      </c>
      <c r="V475" s="4"/>
      <c r="W475" s="92"/>
      <c r="X475" s="74">
        <v>0</v>
      </c>
      <c r="Y475" s="28" t="e">
        <v>#REF!</v>
      </c>
      <c r="Z475" s="9"/>
      <c r="AA475" s="24" t="s">
        <v>393</v>
      </c>
      <c r="AB475" s="28">
        <v>40861</v>
      </c>
    </row>
    <row r="476" spans="1:34" ht="14.25" customHeight="1" x14ac:dyDescent="0.4">
      <c r="A476">
        <v>442</v>
      </c>
      <c r="B476" s="32">
        <v>0</v>
      </c>
      <c r="C476" s="32">
        <v>0</v>
      </c>
      <c r="D476" s="32">
        <v>0</v>
      </c>
      <c r="E476" s="32">
        <v>0</v>
      </c>
      <c r="F476" s="24" t="s">
        <v>393</v>
      </c>
      <c r="G476" s="24">
        <v>41115</v>
      </c>
      <c r="H476" s="35">
        <v>609</v>
      </c>
      <c r="I476" s="23">
        <v>41061</v>
      </c>
      <c r="J476" s="37">
        <v>19</v>
      </c>
      <c r="K476" s="24" t="s">
        <v>1760</v>
      </c>
      <c r="L476" s="24">
        <v>0</v>
      </c>
      <c r="M476" s="32">
        <v>40819</v>
      </c>
      <c r="N476" s="22" t="s">
        <v>1950</v>
      </c>
      <c r="O476" s="4">
        <v>9139999</v>
      </c>
      <c r="P476" s="22">
        <v>1220</v>
      </c>
      <c r="Q476" s="22">
        <v>50</v>
      </c>
      <c r="R476" s="22" t="s">
        <v>2725</v>
      </c>
      <c r="S476" s="3" t="s">
        <v>1819</v>
      </c>
      <c r="T476" s="4" t="s">
        <v>404</v>
      </c>
      <c r="U476" s="164">
        <v>41005</v>
      </c>
      <c r="V476" s="4"/>
      <c r="Y476" s="28" t="e">
        <v>#REF!</v>
      </c>
      <c r="AA476" s="24" t="s">
        <v>393</v>
      </c>
      <c r="AB476" s="28">
        <v>41115</v>
      </c>
    </row>
    <row r="477" spans="1:34" ht="14.25" customHeight="1" x14ac:dyDescent="0.4">
      <c r="A477">
        <v>443</v>
      </c>
      <c r="B477" s="32">
        <v>41074</v>
      </c>
      <c r="C477" s="32">
        <v>41074</v>
      </c>
      <c r="D477" s="32">
        <v>41074</v>
      </c>
      <c r="E477" s="32">
        <v>41074</v>
      </c>
      <c r="F477" s="24" t="s">
        <v>393</v>
      </c>
      <c r="G477" s="24">
        <v>41086</v>
      </c>
      <c r="H477" s="35">
        <v>599</v>
      </c>
      <c r="I477" s="23">
        <v>41061</v>
      </c>
      <c r="J477" s="37">
        <v>9</v>
      </c>
      <c r="K477" s="24" t="s">
        <v>1760</v>
      </c>
      <c r="L477" s="24">
        <v>0</v>
      </c>
      <c r="M477" s="32">
        <v>40819</v>
      </c>
      <c r="N477" s="22" t="s">
        <v>1950</v>
      </c>
      <c r="O477" s="4">
        <v>9120496</v>
      </c>
      <c r="P477" s="22">
        <v>1220</v>
      </c>
      <c r="Q477" s="22">
        <v>50</v>
      </c>
      <c r="R477" s="22" t="s">
        <v>2726</v>
      </c>
      <c r="T477" s="4"/>
      <c r="U477" s="164"/>
      <c r="V477" s="4"/>
      <c r="Y477" s="28" t="e">
        <v>#REF!</v>
      </c>
      <c r="AA477" s="24" t="s">
        <v>393</v>
      </c>
      <c r="AB477" s="28">
        <v>41086</v>
      </c>
    </row>
    <row r="478" spans="1:34" ht="14.25" customHeight="1" x14ac:dyDescent="0.4">
      <c r="A478">
        <v>444</v>
      </c>
      <c r="B478" s="32">
        <v>41079</v>
      </c>
      <c r="C478" s="32">
        <v>41079</v>
      </c>
      <c r="D478" s="32">
        <v>41079</v>
      </c>
      <c r="E478" s="32">
        <v>41079</v>
      </c>
      <c r="F478" s="24" t="s">
        <v>393</v>
      </c>
      <c r="G478" s="24">
        <v>41081</v>
      </c>
      <c r="H478" s="35">
        <v>600</v>
      </c>
      <c r="I478" s="23">
        <v>41061</v>
      </c>
      <c r="J478" s="37">
        <v>10</v>
      </c>
      <c r="K478" s="24" t="s">
        <v>1760</v>
      </c>
      <c r="L478" s="24">
        <v>0</v>
      </c>
      <c r="M478" s="32">
        <v>40819</v>
      </c>
      <c r="N478" s="22" t="s">
        <v>1950</v>
      </c>
      <c r="O478" s="4">
        <v>9120497</v>
      </c>
      <c r="P478" s="22">
        <v>1220</v>
      </c>
      <c r="Q478" s="22">
        <v>50</v>
      </c>
      <c r="R478" s="22" t="s">
        <v>2727</v>
      </c>
      <c r="T478" s="4"/>
      <c r="U478" s="164"/>
      <c r="V478" s="4"/>
      <c r="Y478" s="28" t="e">
        <v>#REF!</v>
      </c>
      <c r="AA478" s="24" t="s">
        <v>393</v>
      </c>
      <c r="AB478" s="28">
        <v>41081</v>
      </c>
    </row>
    <row r="479" spans="1:34" ht="14.25" customHeight="1" x14ac:dyDescent="0.4">
      <c r="A479">
        <v>445</v>
      </c>
      <c r="B479" s="34"/>
      <c r="C479" s="34"/>
      <c r="D479" s="34"/>
      <c r="E479" s="32">
        <v>40765</v>
      </c>
      <c r="F479" s="24" t="s">
        <v>393</v>
      </c>
      <c r="G479" s="24">
        <v>40786</v>
      </c>
      <c r="H479" s="134">
        <v>76</v>
      </c>
      <c r="I479" s="23">
        <v>40756</v>
      </c>
      <c r="J479" s="37">
        <v>21</v>
      </c>
      <c r="K479" s="24" t="s">
        <v>1760</v>
      </c>
      <c r="L479" s="24">
        <v>40725</v>
      </c>
      <c r="M479" s="32">
        <v>40673</v>
      </c>
      <c r="N479" s="22" t="s">
        <v>210</v>
      </c>
      <c r="O479" s="4">
        <v>9120281</v>
      </c>
      <c r="P479" s="22">
        <v>1220</v>
      </c>
      <c r="Q479" s="22">
        <v>50</v>
      </c>
      <c r="R479" s="22" t="s">
        <v>2719</v>
      </c>
      <c r="S479" s="4" t="s">
        <v>119</v>
      </c>
      <c r="T479" s="4" t="s">
        <v>404</v>
      </c>
      <c r="U479" s="44">
        <v>40977</v>
      </c>
      <c r="V479" s="4"/>
      <c r="W479" s="57"/>
      <c r="X479" s="74"/>
      <c r="Y479" s="28" t="e">
        <v>#REF!</v>
      </c>
      <c r="Z479" s="28"/>
      <c r="AA479" s="24" t="s">
        <v>393</v>
      </c>
      <c r="AB479" s="28">
        <v>40786</v>
      </c>
    </row>
    <row r="480" spans="1:34" ht="14.25" customHeight="1" x14ac:dyDescent="0.4">
      <c r="A480">
        <v>446</v>
      </c>
      <c r="B480" s="34">
        <v>0</v>
      </c>
      <c r="C480" s="34">
        <v>0</v>
      </c>
      <c r="D480" s="34">
        <v>0</v>
      </c>
      <c r="E480" s="32">
        <v>40743</v>
      </c>
      <c r="F480" s="24" t="s">
        <v>393</v>
      </c>
      <c r="G480" s="24">
        <v>40758</v>
      </c>
      <c r="H480" s="134">
        <v>30</v>
      </c>
      <c r="I480" s="23">
        <v>40725</v>
      </c>
      <c r="J480" s="37">
        <v>30</v>
      </c>
      <c r="K480" s="24" t="s">
        <v>1760</v>
      </c>
      <c r="L480" s="24">
        <v>40725</v>
      </c>
      <c r="M480" s="32">
        <v>40673</v>
      </c>
      <c r="N480" s="22" t="s">
        <v>210</v>
      </c>
      <c r="O480" s="4">
        <v>9120282</v>
      </c>
      <c r="P480" s="22">
        <v>720</v>
      </c>
      <c r="Q480" s="22">
        <v>42</v>
      </c>
      <c r="R480" s="22" t="s">
        <v>2720</v>
      </c>
      <c r="S480" s="1" t="s">
        <v>119</v>
      </c>
      <c r="T480" s="4" t="s">
        <v>2102</v>
      </c>
      <c r="U480" s="94">
        <v>41010</v>
      </c>
      <c r="V480" s="4"/>
      <c r="W480" s="92"/>
      <c r="X480" s="74"/>
      <c r="Y480" s="28" t="e">
        <v>#REF!</v>
      </c>
      <c r="Z480" s="28"/>
      <c r="AA480" s="24" t="s">
        <v>393</v>
      </c>
      <c r="AB480" s="28">
        <v>40758</v>
      </c>
    </row>
    <row r="481" spans="1:28" ht="14.25" customHeight="1" x14ac:dyDescent="0.4">
      <c r="A481">
        <v>447</v>
      </c>
      <c r="B481" s="34">
        <v>0</v>
      </c>
      <c r="C481" s="34" t="s">
        <v>2165</v>
      </c>
      <c r="D481" s="34">
        <v>0</v>
      </c>
      <c r="E481" s="32">
        <v>40808</v>
      </c>
      <c r="F481" s="24" t="s">
        <v>393</v>
      </c>
      <c r="G481" s="24">
        <v>40830</v>
      </c>
      <c r="H481" s="134">
        <v>164</v>
      </c>
      <c r="I481" s="23">
        <v>40787</v>
      </c>
      <c r="J481" s="37">
        <v>40</v>
      </c>
      <c r="K481" s="24" t="s">
        <v>1760</v>
      </c>
      <c r="L481" s="24">
        <v>40787</v>
      </c>
      <c r="M481" s="32">
        <v>40673</v>
      </c>
      <c r="N481" s="22" t="s">
        <v>210</v>
      </c>
      <c r="O481" s="4">
        <v>9120283</v>
      </c>
      <c r="P481" s="22">
        <v>1020</v>
      </c>
      <c r="Q481" s="22">
        <v>42</v>
      </c>
      <c r="R481" s="22" t="s">
        <v>2721</v>
      </c>
      <c r="S481" s="55"/>
      <c r="T481" s="4"/>
      <c r="U481" s="94"/>
      <c r="V481" s="4"/>
      <c r="W481" s="92"/>
      <c r="X481" s="74"/>
      <c r="Y481" s="28" t="e">
        <v>#REF!</v>
      </c>
      <c r="Z481" s="9"/>
      <c r="AA481" s="24" t="s">
        <v>393</v>
      </c>
      <c r="AB481" s="28">
        <v>40830</v>
      </c>
    </row>
    <row r="482" spans="1:28" ht="14.25" customHeight="1" x14ac:dyDescent="0.4">
      <c r="A482">
        <v>448</v>
      </c>
      <c r="B482" s="34">
        <v>0</v>
      </c>
      <c r="C482" s="34">
        <v>0</v>
      </c>
      <c r="D482" s="34">
        <v>0</v>
      </c>
      <c r="E482" s="32">
        <v>40812</v>
      </c>
      <c r="F482" s="24" t="s">
        <v>393</v>
      </c>
      <c r="G482" s="24">
        <v>40841</v>
      </c>
      <c r="H482" s="134">
        <v>171</v>
      </c>
      <c r="I482" s="23">
        <v>40787</v>
      </c>
      <c r="J482" s="37">
        <v>47</v>
      </c>
      <c r="K482" s="24" t="s">
        <v>1760</v>
      </c>
      <c r="L482" s="24">
        <v>40787</v>
      </c>
      <c r="M482" s="32">
        <v>40673</v>
      </c>
      <c r="N482" s="22" t="s">
        <v>210</v>
      </c>
      <c r="O482" s="4">
        <v>9120284</v>
      </c>
      <c r="P482" s="22">
        <v>1020</v>
      </c>
      <c r="Q482" s="22">
        <v>50</v>
      </c>
      <c r="R482" s="22" t="s">
        <v>2722</v>
      </c>
      <c r="S482" s="102" t="s">
        <v>119</v>
      </c>
      <c r="T482" s="4" t="s">
        <v>404</v>
      </c>
      <c r="U482" s="94">
        <v>40957</v>
      </c>
      <c r="V482" s="4"/>
      <c r="W482" s="92"/>
      <c r="Y482" s="28" t="e">
        <v>#REF!</v>
      </c>
      <c r="Z482" s="9"/>
      <c r="AA482" s="24" t="s">
        <v>393</v>
      </c>
      <c r="AB482" s="28">
        <v>40841</v>
      </c>
    </row>
    <row r="483" spans="1:28" ht="14.25" customHeight="1" x14ac:dyDescent="0.4">
      <c r="A483">
        <v>449</v>
      </c>
      <c r="B483" s="34">
        <v>0</v>
      </c>
      <c r="C483" s="34" t="s">
        <v>2102</v>
      </c>
      <c r="D483" s="34">
        <v>0</v>
      </c>
      <c r="E483" s="32">
        <v>40928</v>
      </c>
      <c r="F483" s="24" t="s">
        <v>393</v>
      </c>
      <c r="G483" s="24">
        <v>40934</v>
      </c>
      <c r="H483" s="35">
        <v>410</v>
      </c>
      <c r="I483" s="23">
        <v>40909</v>
      </c>
      <c r="J483" s="37">
        <v>43</v>
      </c>
      <c r="K483" s="24" t="s">
        <v>1760</v>
      </c>
      <c r="L483" s="24">
        <v>40940</v>
      </c>
      <c r="M483" s="32">
        <v>40673</v>
      </c>
      <c r="N483" s="22" t="s">
        <v>210</v>
      </c>
      <c r="O483" s="4">
        <v>9120286</v>
      </c>
      <c r="P483" s="22">
        <v>1020</v>
      </c>
      <c r="Q483" s="22">
        <v>42</v>
      </c>
      <c r="R483" s="22" t="s">
        <v>2728</v>
      </c>
      <c r="S483" s="102" t="s">
        <v>2058</v>
      </c>
      <c r="T483" s="4" t="s">
        <v>2102</v>
      </c>
      <c r="U483" s="44">
        <v>40885</v>
      </c>
      <c r="V483" s="4"/>
      <c r="W483" s="9"/>
      <c r="X483" s="74"/>
      <c r="Y483" s="28" t="e">
        <v>#REF!</v>
      </c>
      <c r="Z483" s="9"/>
      <c r="AA483" s="24" t="s">
        <v>393</v>
      </c>
      <c r="AB483" s="28">
        <v>40934</v>
      </c>
    </row>
    <row r="484" spans="1:28" ht="14.25" customHeight="1" x14ac:dyDescent="0.4">
      <c r="A484">
        <v>450</v>
      </c>
      <c r="B484" s="32">
        <v>40961</v>
      </c>
      <c r="C484" s="32">
        <v>40961</v>
      </c>
      <c r="D484" s="32">
        <v>40961</v>
      </c>
      <c r="E484" s="32">
        <v>40961</v>
      </c>
      <c r="F484" s="24" t="s">
        <v>393</v>
      </c>
      <c r="G484" s="24">
        <v>40987</v>
      </c>
      <c r="H484" s="35">
        <v>477</v>
      </c>
      <c r="I484" s="23">
        <v>40940</v>
      </c>
      <c r="J484" s="37">
        <v>47</v>
      </c>
      <c r="K484" s="24" t="s">
        <v>1760</v>
      </c>
      <c r="L484" s="24">
        <v>40940</v>
      </c>
      <c r="M484" s="32">
        <v>40673</v>
      </c>
      <c r="N484" s="22" t="s">
        <v>210</v>
      </c>
      <c r="O484" s="4">
        <v>9120285</v>
      </c>
      <c r="P484" s="22">
        <v>720</v>
      </c>
      <c r="Q484" s="22">
        <v>50</v>
      </c>
      <c r="R484" s="22" t="s">
        <v>2729</v>
      </c>
      <c r="S484" s="3" t="s">
        <v>1399</v>
      </c>
      <c r="T484" s="4" t="s">
        <v>2102</v>
      </c>
      <c r="U484" s="164">
        <v>40913</v>
      </c>
      <c r="V484" s="4"/>
      <c r="W484" s="51"/>
      <c r="X484" s="74"/>
      <c r="Y484" s="28" t="e">
        <v>#REF!</v>
      </c>
      <c r="Z484" s="28"/>
      <c r="AA484" s="24" t="s">
        <v>393</v>
      </c>
      <c r="AB484" s="28">
        <v>40987</v>
      </c>
    </row>
    <row r="485" spans="1:28" ht="14.25" customHeight="1" x14ac:dyDescent="0.4">
      <c r="A485">
        <v>451</v>
      </c>
      <c r="B485" s="32">
        <v>40942</v>
      </c>
      <c r="C485" s="32">
        <v>40942</v>
      </c>
      <c r="D485" s="32">
        <v>40942</v>
      </c>
      <c r="E485" s="32">
        <v>40942</v>
      </c>
      <c r="F485" s="24" t="s">
        <v>393</v>
      </c>
      <c r="G485" s="24">
        <v>40960</v>
      </c>
      <c r="H485" s="35">
        <v>440</v>
      </c>
      <c r="I485" s="23">
        <v>40940</v>
      </c>
      <c r="J485" s="37">
        <v>10</v>
      </c>
      <c r="K485" s="24" t="s">
        <v>1760</v>
      </c>
      <c r="L485" s="24">
        <v>0</v>
      </c>
      <c r="M485" s="32">
        <v>40809</v>
      </c>
      <c r="N485" s="22" t="s">
        <v>210</v>
      </c>
      <c r="O485" s="4">
        <v>9120485</v>
      </c>
      <c r="P485" s="22">
        <v>1220</v>
      </c>
      <c r="Q485" s="22">
        <v>50</v>
      </c>
      <c r="R485" s="22" t="s">
        <v>2730</v>
      </c>
      <c r="S485" s="3" t="s">
        <v>2059</v>
      </c>
      <c r="T485" s="4" t="s">
        <v>2102</v>
      </c>
      <c r="U485" s="164">
        <v>40861</v>
      </c>
      <c r="V485" s="4"/>
      <c r="Y485" s="28" t="e">
        <v>#REF!</v>
      </c>
      <c r="AA485" s="24" t="s">
        <v>393</v>
      </c>
      <c r="AB485" s="28">
        <v>40960</v>
      </c>
    </row>
    <row r="486" spans="1:28" ht="14.25" customHeight="1" x14ac:dyDescent="0.4">
      <c r="A486">
        <v>452</v>
      </c>
      <c r="B486" s="32">
        <v>40942</v>
      </c>
      <c r="C486" s="32">
        <v>40942</v>
      </c>
      <c r="D486" s="32">
        <v>40942</v>
      </c>
      <c r="E486" s="32">
        <v>40942</v>
      </c>
      <c r="F486" s="24" t="s">
        <v>393</v>
      </c>
      <c r="G486" s="24">
        <v>40967</v>
      </c>
      <c r="H486" s="35">
        <v>441</v>
      </c>
      <c r="I486" s="23">
        <v>40940</v>
      </c>
      <c r="J486" s="37">
        <v>11</v>
      </c>
      <c r="K486" s="24" t="s">
        <v>1760</v>
      </c>
      <c r="L486" s="24">
        <v>0</v>
      </c>
      <c r="M486" s="32">
        <v>40809</v>
      </c>
      <c r="N486" s="22" t="s">
        <v>210</v>
      </c>
      <c r="O486" s="4">
        <v>9120486</v>
      </c>
      <c r="P486" s="22">
        <v>1220</v>
      </c>
      <c r="Q486" s="22">
        <v>50</v>
      </c>
      <c r="R486" s="22" t="s">
        <v>2731</v>
      </c>
      <c r="S486" s="3" t="s">
        <v>266</v>
      </c>
      <c r="T486" s="4" t="s">
        <v>2102</v>
      </c>
      <c r="U486" s="164">
        <v>40876</v>
      </c>
      <c r="V486" s="4"/>
      <c r="Y486" s="28" t="e">
        <v>#REF!</v>
      </c>
      <c r="AA486" s="24" t="s">
        <v>393</v>
      </c>
      <c r="AB486" s="28">
        <v>40967</v>
      </c>
    </row>
    <row r="487" spans="1:28" ht="14.25" customHeight="1" x14ac:dyDescent="0.4">
      <c r="A487">
        <v>453</v>
      </c>
      <c r="B487" s="32">
        <v>40961</v>
      </c>
      <c r="C487" s="32">
        <v>40961</v>
      </c>
      <c r="D487" s="32">
        <v>40961</v>
      </c>
      <c r="E487" s="32">
        <v>40961</v>
      </c>
      <c r="F487" s="24" t="s">
        <v>393</v>
      </c>
      <c r="G487" s="24">
        <v>40968</v>
      </c>
      <c r="H487" s="35">
        <v>476</v>
      </c>
      <c r="I487" s="23">
        <v>40940</v>
      </c>
      <c r="J487" s="37">
        <v>46</v>
      </c>
      <c r="K487" s="24" t="s">
        <v>1760</v>
      </c>
      <c r="L487" s="24">
        <v>40940</v>
      </c>
      <c r="M487" s="32">
        <v>40739</v>
      </c>
      <c r="N487" s="22" t="s">
        <v>210</v>
      </c>
      <c r="O487" s="4">
        <v>9120081</v>
      </c>
      <c r="P487" s="22">
        <v>720</v>
      </c>
      <c r="Q487" s="22">
        <v>50</v>
      </c>
      <c r="R487" s="22" t="s">
        <v>1549</v>
      </c>
      <c r="S487" s="4"/>
      <c r="T487" s="4"/>
      <c r="U487" s="44"/>
      <c r="V487" s="4"/>
      <c r="W487" s="57"/>
      <c r="X487" s="74"/>
      <c r="Y487" s="28" t="e">
        <v>#REF!</v>
      </c>
      <c r="Z487" s="28"/>
      <c r="AA487" s="24" t="s">
        <v>393</v>
      </c>
      <c r="AB487" s="28">
        <v>40968</v>
      </c>
    </row>
    <row r="488" spans="1:28" ht="14.25" customHeight="1" x14ac:dyDescent="0.4">
      <c r="A488">
        <v>454</v>
      </c>
      <c r="B488" s="34">
        <v>0</v>
      </c>
      <c r="C488" s="34" t="s">
        <v>2165</v>
      </c>
      <c r="D488" s="34">
        <v>0</v>
      </c>
      <c r="E488" s="32">
        <v>41011</v>
      </c>
      <c r="F488" s="24" t="s">
        <v>393</v>
      </c>
      <c r="G488" s="24">
        <v>41038</v>
      </c>
      <c r="H488" s="134">
        <v>549</v>
      </c>
      <c r="I488" s="23">
        <v>41000</v>
      </c>
      <c r="J488" s="37">
        <v>9</v>
      </c>
      <c r="K488" s="24" t="s">
        <v>1760</v>
      </c>
      <c r="L488" s="24">
        <v>0</v>
      </c>
      <c r="M488" s="32">
        <v>40969</v>
      </c>
      <c r="N488" s="22" t="s">
        <v>210</v>
      </c>
      <c r="O488" s="4">
        <v>9120571</v>
      </c>
      <c r="P488" s="22">
        <v>1020</v>
      </c>
      <c r="Q488" s="22">
        <v>42</v>
      </c>
      <c r="R488" s="22">
        <v>0</v>
      </c>
      <c r="T488"/>
      <c r="U488" s="164"/>
      <c r="Y488" s="28" t="e">
        <v>#REF!</v>
      </c>
      <c r="AA488" s="24" t="s">
        <v>393</v>
      </c>
      <c r="AB488" s="28">
        <v>41038</v>
      </c>
    </row>
    <row r="489" spans="1:28" ht="14.25" customHeight="1" x14ac:dyDescent="0.4">
      <c r="A489">
        <v>455</v>
      </c>
      <c r="B489" s="34">
        <v>0</v>
      </c>
      <c r="C489" s="34">
        <v>0</v>
      </c>
      <c r="D489" s="34">
        <v>0</v>
      </c>
      <c r="E489" s="32">
        <v>41015</v>
      </c>
      <c r="F489" s="24" t="s">
        <v>393</v>
      </c>
      <c r="G489" s="24">
        <v>41022</v>
      </c>
      <c r="H489" s="134">
        <v>550</v>
      </c>
      <c r="I489" s="23">
        <v>41000</v>
      </c>
      <c r="J489" s="37">
        <v>10</v>
      </c>
      <c r="K489" s="24" t="s">
        <v>1760</v>
      </c>
      <c r="L489" s="24">
        <v>0</v>
      </c>
      <c r="M489" s="32">
        <v>40970</v>
      </c>
      <c r="N489" s="22" t="s">
        <v>210</v>
      </c>
      <c r="O489" s="4">
        <v>9120572</v>
      </c>
      <c r="P489" s="22">
        <v>1020</v>
      </c>
      <c r="Q489" s="22">
        <v>50</v>
      </c>
      <c r="R489" s="22">
        <v>0</v>
      </c>
      <c r="T489"/>
      <c r="U489" s="164"/>
      <c r="Y489" s="28" t="e">
        <v>#REF!</v>
      </c>
      <c r="AA489" s="24" t="s">
        <v>393</v>
      </c>
      <c r="AB489" s="28">
        <v>41022</v>
      </c>
    </row>
    <row r="490" spans="1:28" ht="14.25" customHeight="1" x14ac:dyDescent="0.4">
      <c r="A490">
        <v>456</v>
      </c>
      <c r="B490" s="32">
        <v>40731</v>
      </c>
      <c r="C490" s="32">
        <v>40731</v>
      </c>
      <c r="D490" s="32">
        <v>40731</v>
      </c>
      <c r="E490" s="32">
        <v>40731</v>
      </c>
      <c r="F490" s="24" t="s">
        <v>393</v>
      </c>
      <c r="G490" s="24">
        <v>40742</v>
      </c>
      <c r="H490" s="134">
        <v>7</v>
      </c>
      <c r="I490" s="23">
        <v>40725</v>
      </c>
      <c r="J490" s="37">
        <v>7</v>
      </c>
      <c r="K490" s="24" t="s">
        <v>1760</v>
      </c>
      <c r="L490" s="24">
        <v>40725</v>
      </c>
      <c r="M490" s="32">
        <v>40660</v>
      </c>
      <c r="N490" s="22" t="s">
        <v>1751</v>
      </c>
      <c r="O490" s="4">
        <v>9120078</v>
      </c>
      <c r="P490" s="22">
        <v>1020</v>
      </c>
      <c r="Q490" s="22">
        <v>42</v>
      </c>
      <c r="R490" s="22" t="s">
        <v>1546</v>
      </c>
      <c r="S490" s="4"/>
      <c r="T490" s="4"/>
      <c r="U490" s="44"/>
      <c r="V490" s="4"/>
      <c r="W490" s="9"/>
      <c r="X490" s="74">
        <v>0</v>
      </c>
      <c r="Y490" s="28" t="e">
        <v>#REF!</v>
      </c>
      <c r="Z490" s="9"/>
      <c r="AA490" s="24" t="s">
        <v>393</v>
      </c>
      <c r="AB490" s="28">
        <v>40742</v>
      </c>
    </row>
    <row r="491" spans="1:28" ht="14.25" customHeight="1" x14ac:dyDescent="0.4">
      <c r="A491">
        <v>457</v>
      </c>
      <c r="B491" s="32">
        <v>40731</v>
      </c>
      <c r="C491" s="32">
        <v>40731</v>
      </c>
      <c r="D491" s="32">
        <v>40731</v>
      </c>
      <c r="E491" s="32">
        <v>40731</v>
      </c>
      <c r="F491" s="24" t="s">
        <v>393</v>
      </c>
      <c r="G491" s="24">
        <v>40742</v>
      </c>
      <c r="H491" s="134">
        <v>8</v>
      </c>
      <c r="I491" s="23">
        <v>40725</v>
      </c>
      <c r="J491" s="37">
        <v>8</v>
      </c>
      <c r="K491" s="24" t="s">
        <v>1760</v>
      </c>
      <c r="L491" s="24">
        <v>40725</v>
      </c>
      <c r="M491" s="32">
        <v>40660</v>
      </c>
      <c r="N491" s="22" t="s">
        <v>1751</v>
      </c>
      <c r="O491" s="4">
        <v>9120080</v>
      </c>
      <c r="P491" s="22">
        <v>1020</v>
      </c>
      <c r="Q491" s="22">
        <v>50</v>
      </c>
      <c r="R491" s="22" t="s">
        <v>1548</v>
      </c>
      <c r="S491" s="4" t="s">
        <v>1652</v>
      </c>
      <c r="T491" s="4" t="s">
        <v>404</v>
      </c>
      <c r="U491" s="44">
        <v>40989</v>
      </c>
      <c r="V491" s="4"/>
      <c r="W491" s="9"/>
      <c r="X491" s="74">
        <v>0</v>
      </c>
      <c r="Y491" s="28" t="e">
        <v>#REF!</v>
      </c>
      <c r="Z491" s="9"/>
      <c r="AA491" s="24" t="s">
        <v>393</v>
      </c>
      <c r="AB491" s="28">
        <v>40742</v>
      </c>
    </row>
    <row r="492" spans="1:28" ht="14.25" customHeight="1" x14ac:dyDescent="0.4">
      <c r="A492">
        <v>458</v>
      </c>
      <c r="B492" s="34">
        <v>0</v>
      </c>
      <c r="C492" s="34">
        <v>0</v>
      </c>
      <c r="D492" s="34">
        <v>0</v>
      </c>
      <c r="E492" s="32">
        <v>40847</v>
      </c>
      <c r="F492" s="24" t="s">
        <v>393</v>
      </c>
      <c r="G492" s="24">
        <v>40865</v>
      </c>
      <c r="H492" s="134">
        <v>252</v>
      </c>
      <c r="I492" s="23">
        <v>40848</v>
      </c>
      <c r="J492" s="37">
        <v>1</v>
      </c>
      <c r="K492" s="24" t="s">
        <v>1760</v>
      </c>
      <c r="L492" s="24">
        <v>40848</v>
      </c>
      <c r="M492" s="32">
        <v>40660</v>
      </c>
      <c r="N492" s="22" t="s">
        <v>1751</v>
      </c>
      <c r="O492" s="4">
        <v>9120077</v>
      </c>
      <c r="P492" s="22">
        <v>1020</v>
      </c>
      <c r="Q492" s="22">
        <v>42</v>
      </c>
      <c r="R492" s="22" t="s">
        <v>1545</v>
      </c>
      <c r="S492" s="4"/>
      <c r="T492" s="4"/>
      <c r="U492" s="42"/>
      <c r="V492" s="4"/>
      <c r="W492" s="9"/>
      <c r="X492" s="74"/>
      <c r="Y492" s="28" t="e">
        <v>#REF!</v>
      </c>
      <c r="Z492" s="28"/>
      <c r="AA492" s="24" t="s">
        <v>393</v>
      </c>
      <c r="AB492" s="28">
        <v>40865</v>
      </c>
    </row>
    <row r="493" spans="1:28" ht="14.25" customHeight="1" x14ac:dyDescent="0.4">
      <c r="A493">
        <v>459</v>
      </c>
      <c r="B493" s="34">
        <v>0</v>
      </c>
      <c r="C493" s="34">
        <v>0</v>
      </c>
      <c r="D493" s="34">
        <v>0</v>
      </c>
      <c r="E493" s="32">
        <v>40847</v>
      </c>
      <c r="F493" s="24" t="s">
        <v>393</v>
      </c>
      <c r="G493" s="24">
        <v>40856</v>
      </c>
      <c r="H493" s="134">
        <v>253</v>
      </c>
      <c r="I493" s="23">
        <v>40848</v>
      </c>
      <c r="J493" s="37">
        <v>2</v>
      </c>
      <c r="K493" s="24" t="s">
        <v>1760</v>
      </c>
      <c r="L493" s="24">
        <v>40848</v>
      </c>
      <c r="M493" s="32">
        <v>40660</v>
      </c>
      <c r="N493" s="22" t="s">
        <v>1751</v>
      </c>
      <c r="O493" s="4">
        <v>9120079</v>
      </c>
      <c r="P493" s="22">
        <v>1020</v>
      </c>
      <c r="Q493" s="22">
        <v>42</v>
      </c>
      <c r="R493" s="22" t="s">
        <v>1547</v>
      </c>
      <c r="S493" s="4"/>
      <c r="T493" s="4"/>
      <c r="U493" s="42"/>
      <c r="V493" s="4"/>
      <c r="W493" s="28"/>
      <c r="X493" s="74"/>
      <c r="Y493" s="28" t="e">
        <v>#REF!</v>
      </c>
      <c r="Z493" s="28"/>
      <c r="AA493" s="24" t="s">
        <v>393</v>
      </c>
      <c r="AB493" s="28">
        <v>40856</v>
      </c>
    </row>
    <row r="494" spans="1:28" ht="14.25" customHeight="1" x14ac:dyDescent="0.4">
      <c r="A494">
        <v>460</v>
      </c>
      <c r="B494" s="34">
        <v>0</v>
      </c>
      <c r="C494" s="34" t="s">
        <v>2165</v>
      </c>
      <c r="D494" s="34">
        <v>0</v>
      </c>
      <c r="E494" s="32">
        <v>40938</v>
      </c>
      <c r="F494" s="24" t="s">
        <v>393</v>
      </c>
      <c r="G494" s="24">
        <v>40949</v>
      </c>
      <c r="H494" s="35">
        <v>428</v>
      </c>
      <c r="I494" s="23">
        <v>40909</v>
      </c>
      <c r="J494" s="37">
        <v>61</v>
      </c>
      <c r="K494" s="24" t="s">
        <v>1760</v>
      </c>
      <c r="L494" s="24">
        <v>40940</v>
      </c>
      <c r="M494" s="32">
        <v>40673</v>
      </c>
      <c r="N494" s="22" t="s">
        <v>1751</v>
      </c>
      <c r="O494" s="4">
        <v>9120082</v>
      </c>
      <c r="P494" s="22">
        <v>720</v>
      </c>
      <c r="Q494" s="22">
        <v>42</v>
      </c>
      <c r="R494" s="22" t="s">
        <v>1550</v>
      </c>
      <c r="S494" s="4"/>
      <c r="T494" s="4"/>
      <c r="U494" s="44"/>
      <c r="V494" s="4"/>
      <c r="W494" s="9"/>
      <c r="X494" s="74"/>
      <c r="Y494" s="28" t="e">
        <v>#REF!</v>
      </c>
      <c r="Z494" s="9"/>
      <c r="AA494" s="24" t="s">
        <v>393</v>
      </c>
      <c r="AB494" s="28">
        <v>40949</v>
      </c>
    </row>
    <row r="495" spans="1:28" ht="14.25" customHeight="1" x14ac:dyDescent="0.4">
      <c r="A495">
        <v>284</v>
      </c>
      <c r="B495" s="34">
        <v>0</v>
      </c>
      <c r="C495" s="34" t="s">
        <v>2102</v>
      </c>
      <c r="D495" s="34">
        <v>0</v>
      </c>
      <c r="E495" s="32">
        <v>40892</v>
      </c>
      <c r="F495" s="24" t="s">
        <v>393</v>
      </c>
      <c r="G495" s="24">
        <v>40914</v>
      </c>
      <c r="H495" s="134">
        <v>345</v>
      </c>
      <c r="I495" s="23">
        <v>40878</v>
      </c>
      <c r="J495" s="37">
        <v>35</v>
      </c>
      <c r="K495" s="24" t="s">
        <v>1760</v>
      </c>
      <c r="L495" s="24">
        <v>40848</v>
      </c>
      <c r="M495" s="32">
        <v>40669</v>
      </c>
      <c r="N495" s="22" t="s">
        <v>592</v>
      </c>
      <c r="O495" s="4">
        <v>9120311</v>
      </c>
      <c r="P495" s="22">
        <v>1220</v>
      </c>
      <c r="Q495" s="22">
        <v>50</v>
      </c>
      <c r="R495" s="22" t="s">
        <v>2732</v>
      </c>
      <c r="S495" s="55" t="s">
        <v>250</v>
      </c>
      <c r="T495" s="55" t="s">
        <v>404</v>
      </c>
      <c r="U495" s="94">
        <v>41089</v>
      </c>
      <c r="V495" s="55"/>
      <c r="W495" s="28"/>
      <c r="X495" s="74"/>
      <c r="Y495" s="28" t="e">
        <v>#REF!</v>
      </c>
      <c r="Z495" s="9"/>
      <c r="AA495" s="24" t="s">
        <v>393</v>
      </c>
      <c r="AB495" s="28">
        <v>40914</v>
      </c>
    </row>
    <row r="496" spans="1:28" ht="14.25" customHeight="1" x14ac:dyDescent="0.4">
      <c r="A496">
        <v>285</v>
      </c>
      <c r="B496" s="32">
        <v>40899</v>
      </c>
      <c r="C496" s="32">
        <v>40899</v>
      </c>
      <c r="D496" s="32">
        <v>40899</v>
      </c>
      <c r="E496" s="32">
        <v>40899</v>
      </c>
      <c r="F496" s="24" t="s">
        <v>393</v>
      </c>
      <c r="G496" s="24">
        <v>40906</v>
      </c>
      <c r="H496" s="35">
        <v>361</v>
      </c>
      <c r="I496" s="23">
        <v>40878</v>
      </c>
      <c r="J496" s="37">
        <v>51</v>
      </c>
      <c r="K496" s="24" t="s">
        <v>1760</v>
      </c>
      <c r="L496" s="24">
        <v>40878</v>
      </c>
      <c r="M496" s="32">
        <v>40669</v>
      </c>
      <c r="N496" s="22" t="s">
        <v>592</v>
      </c>
      <c r="O496" s="4">
        <v>9120312</v>
      </c>
      <c r="P496" s="22">
        <v>1220</v>
      </c>
      <c r="Q496" s="22">
        <v>50</v>
      </c>
      <c r="R496" s="22" t="s">
        <v>2441</v>
      </c>
      <c r="S496" s="102" t="s">
        <v>2035</v>
      </c>
      <c r="T496" s="102" t="s">
        <v>404</v>
      </c>
      <c r="U496" s="94">
        <v>41033</v>
      </c>
      <c r="V496" s="55"/>
      <c r="W496" s="92"/>
      <c r="X496" s="74">
        <v>0</v>
      </c>
      <c r="Y496" s="28" t="e">
        <v>#REF!</v>
      </c>
      <c r="Z496" s="9"/>
      <c r="AA496" s="24" t="s">
        <v>393</v>
      </c>
      <c r="AB496" s="28">
        <v>40906</v>
      </c>
    </row>
    <row r="497" spans="1:28" ht="14.25" customHeight="1" x14ac:dyDescent="0.4">
      <c r="A497">
        <v>286</v>
      </c>
      <c r="B497" s="32">
        <v>40959</v>
      </c>
      <c r="C497" s="32">
        <v>40959</v>
      </c>
      <c r="D497" s="32">
        <v>40959</v>
      </c>
      <c r="E497" s="32">
        <v>40959</v>
      </c>
      <c r="F497" s="24" t="s">
        <v>393</v>
      </c>
      <c r="G497" s="24">
        <v>40968</v>
      </c>
      <c r="H497" s="35">
        <v>469</v>
      </c>
      <c r="I497" s="23">
        <v>40940</v>
      </c>
      <c r="J497" s="37">
        <v>39</v>
      </c>
      <c r="K497" s="24" t="s">
        <v>1760</v>
      </c>
      <c r="L497" s="24">
        <v>40940</v>
      </c>
      <c r="M497" s="32">
        <v>40669</v>
      </c>
      <c r="N497" s="22" t="s">
        <v>592</v>
      </c>
      <c r="O497" s="4">
        <v>9120313</v>
      </c>
      <c r="P497" s="22">
        <v>1220</v>
      </c>
      <c r="Q497" s="22">
        <v>50</v>
      </c>
      <c r="R497" s="22" t="s">
        <v>2733</v>
      </c>
      <c r="S497" s="102" t="s">
        <v>2036</v>
      </c>
      <c r="T497" s="102" t="s">
        <v>404</v>
      </c>
      <c r="U497" s="94">
        <v>41040</v>
      </c>
      <c r="V497" s="55"/>
      <c r="W497" s="92"/>
      <c r="X497" s="74"/>
      <c r="Y497" s="28" t="e">
        <v>#REF!</v>
      </c>
      <c r="Z497" s="9"/>
      <c r="AA497" s="24" t="s">
        <v>393</v>
      </c>
      <c r="AB497" s="28">
        <v>40968</v>
      </c>
    </row>
    <row r="498" spans="1:28" ht="14.25" customHeight="1" x14ac:dyDescent="0.4">
      <c r="A498">
        <v>287</v>
      </c>
      <c r="B498" s="34">
        <v>0</v>
      </c>
      <c r="C498" s="34" t="s">
        <v>2102</v>
      </c>
      <c r="D498" s="34">
        <v>0</v>
      </c>
      <c r="E498" s="32">
        <v>40973</v>
      </c>
      <c r="F498" s="24" t="s">
        <v>393</v>
      </c>
      <c r="G498" s="24">
        <v>40981</v>
      </c>
      <c r="H498" s="35">
        <v>501</v>
      </c>
      <c r="I498" s="23">
        <v>40969</v>
      </c>
      <c r="J498" s="37">
        <v>8</v>
      </c>
      <c r="K498" s="24" t="s">
        <v>1760</v>
      </c>
      <c r="L498" s="24">
        <v>40969</v>
      </c>
      <c r="M498" s="32">
        <v>40669</v>
      </c>
      <c r="N498" s="22" t="s">
        <v>592</v>
      </c>
      <c r="O498" s="4">
        <v>9120314</v>
      </c>
      <c r="P498" s="22">
        <v>1220</v>
      </c>
      <c r="Q498" s="22">
        <v>50</v>
      </c>
      <c r="R498" s="22" t="s">
        <v>2734</v>
      </c>
      <c r="S498" s="55" t="s">
        <v>250</v>
      </c>
      <c r="T498" s="55" t="s">
        <v>404</v>
      </c>
      <c r="U498" s="94">
        <v>41089</v>
      </c>
      <c r="V498" s="55"/>
      <c r="W498" s="92"/>
      <c r="X498" s="74"/>
      <c r="Y498" s="28" t="e">
        <v>#REF!</v>
      </c>
      <c r="Z498" s="28"/>
      <c r="AA498" s="24" t="s">
        <v>393</v>
      </c>
      <c r="AB498" s="28">
        <v>40981</v>
      </c>
    </row>
    <row r="499" spans="1:28" ht="14.25" customHeight="1" x14ac:dyDescent="0.4">
      <c r="A499">
        <v>461</v>
      </c>
      <c r="B499" s="34">
        <v>0</v>
      </c>
      <c r="C499" s="34" t="s">
        <v>2165</v>
      </c>
      <c r="D499" s="34">
        <v>0</v>
      </c>
      <c r="E499" s="32">
        <v>40742</v>
      </c>
      <c r="F499" s="24" t="s">
        <v>393</v>
      </c>
      <c r="G499" s="24">
        <v>40744</v>
      </c>
      <c r="H499" s="134">
        <v>25</v>
      </c>
      <c r="I499" s="23">
        <v>40725</v>
      </c>
      <c r="J499" s="37">
        <v>25</v>
      </c>
      <c r="K499" s="24" t="s">
        <v>549</v>
      </c>
      <c r="L499" s="24">
        <v>40725</v>
      </c>
      <c r="M499" s="32">
        <v>40661</v>
      </c>
      <c r="N499" s="22" t="s">
        <v>567</v>
      </c>
      <c r="O499" s="81">
        <v>9120231</v>
      </c>
      <c r="P499" s="22">
        <v>1020</v>
      </c>
      <c r="Q499" s="22">
        <v>42</v>
      </c>
      <c r="R499" s="22" t="s">
        <v>2735</v>
      </c>
      <c r="S499" s="38"/>
      <c r="T499" s="4" t="s">
        <v>404</v>
      </c>
      <c r="U499" s="44">
        <v>40899</v>
      </c>
      <c r="V499" s="4" t="s">
        <v>404</v>
      </c>
      <c r="W499" s="57">
        <v>40906</v>
      </c>
      <c r="X499" s="74"/>
      <c r="Y499" s="28" t="e">
        <v>#REF!</v>
      </c>
      <c r="AA499" s="24" t="s">
        <v>393</v>
      </c>
      <c r="AB499" s="28">
        <v>40744</v>
      </c>
    </row>
    <row r="500" spans="1:28" ht="14.25" customHeight="1" x14ac:dyDescent="0.4">
      <c r="A500">
        <v>462</v>
      </c>
      <c r="B500" s="34">
        <v>0</v>
      </c>
      <c r="C500" s="34" t="s">
        <v>2102</v>
      </c>
      <c r="D500" s="34">
        <v>0</v>
      </c>
      <c r="E500" s="32">
        <v>40758</v>
      </c>
      <c r="F500" s="24" t="s">
        <v>393</v>
      </c>
      <c r="G500" s="24">
        <v>40766</v>
      </c>
      <c r="H500" s="134">
        <v>63</v>
      </c>
      <c r="I500" s="23">
        <v>40756</v>
      </c>
      <c r="J500" s="37">
        <v>8</v>
      </c>
      <c r="K500" s="24" t="s">
        <v>549</v>
      </c>
      <c r="L500" s="24">
        <v>40725</v>
      </c>
      <c r="M500" s="32">
        <v>40661</v>
      </c>
      <c r="N500" s="22" t="s">
        <v>567</v>
      </c>
      <c r="O500" s="81">
        <v>9120232</v>
      </c>
      <c r="P500" s="22">
        <v>1020</v>
      </c>
      <c r="Q500" s="22">
        <v>50</v>
      </c>
      <c r="R500" s="22" t="s">
        <v>2736</v>
      </c>
      <c r="S500" s="4"/>
      <c r="T500" s="4" t="s">
        <v>404</v>
      </c>
      <c r="U500" s="44">
        <v>40969</v>
      </c>
      <c r="V500" s="4" t="s">
        <v>404</v>
      </c>
      <c r="W500" s="9">
        <v>40991</v>
      </c>
      <c r="X500" s="74"/>
      <c r="Y500" s="28" t="e">
        <v>#REF!</v>
      </c>
      <c r="Z500" s="9"/>
      <c r="AA500" s="24" t="s">
        <v>393</v>
      </c>
      <c r="AB500" s="28">
        <v>40766</v>
      </c>
    </row>
    <row r="501" spans="1:28" ht="14.25" customHeight="1" x14ac:dyDescent="0.4">
      <c r="A501">
        <v>463</v>
      </c>
      <c r="B501" s="34">
        <v>0</v>
      </c>
      <c r="C501" s="34">
        <v>0</v>
      </c>
      <c r="D501" s="34">
        <v>0</v>
      </c>
      <c r="E501" s="32">
        <v>40759</v>
      </c>
      <c r="F501" s="24" t="s">
        <v>393</v>
      </c>
      <c r="G501" s="24">
        <v>40766</v>
      </c>
      <c r="H501" s="134">
        <v>64</v>
      </c>
      <c r="I501" s="23">
        <v>40756</v>
      </c>
      <c r="J501" s="37">
        <v>9</v>
      </c>
      <c r="K501" s="24" t="s">
        <v>549</v>
      </c>
      <c r="L501" s="24">
        <v>40725</v>
      </c>
      <c r="M501" s="32">
        <v>40661</v>
      </c>
      <c r="N501" s="22" t="s">
        <v>567</v>
      </c>
      <c r="O501" s="81">
        <v>9120233</v>
      </c>
      <c r="P501" s="22">
        <v>1020</v>
      </c>
      <c r="Q501" s="22">
        <v>50</v>
      </c>
      <c r="R501" s="22" t="s">
        <v>2737</v>
      </c>
      <c r="S501" s="4" t="s">
        <v>594</v>
      </c>
      <c r="T501" s="4" t="s">
        <v>404</v>
      </c>
      <c r="U501" s="44">
        <v>40907</v>
      </c>
      <c r="V501" s="4" t="s">
        <v>404</v>
      </c>
      <c r="W501" s="57">
        <v>40931</v>
      </c>
      <c r="Y501" s="28" t="e">
        <v>#REF!</v>
      </c>
      <c r="Z501" s="9"/>
      <c r="AA501" s="24" t="s">
        <v>393</v>
      </c>
      <c r="AB501" s="28">
        <v>40766</v>
      </c>
    </row>
    <row r="502" spans="1:28" ht="14.25" customHeight="1" x14ac:dyDescent="0.4">
      <c r="A502">
        <v>464</v>
      </c>
      <c r="B502" s="34">
        <v>0</v>
      </c>
      <c r="C502" s="34" t="s">
        <v>2165</v>
      </c>
      <c r="D502" s="34">
        <v>0</v>
      </c>
      <c r="E502" s="32">
        <v>40742</v>
      </c>
      <c r="F502" s="24" t="s">
        <v>393</v>
      </c>
      <c r="G502" s="24">
        <v>40745</v>
      </c>
      <c r="H502" s="134">
        <v>26</v>
      </c>
      <c r="I502" s="23">
        <v>40725</v>
      </c>
      <c r="J502" s="37">
        <v>26</v>
      </c>
      <c r="K502" s="24" t="s">
        <v>549</v>
      </c>
      <c r="L502" s="24">
        <v>40725</v>
      </c>
      <c r="M502" s="32">
        <v>40661</v>
      </c>
      <c r="N502" s="22" t="s">
        <v>567</v>
      </c>
      <c r="O502" s="81">
        <v>9120234</v>
      </c>
      <c r="P502" s="22">
        <v>1020</v>
      </c>
      <c r="Q502" s="22">
        <v>42</v>
      </c>
      <c r="R502" s="22" t="s">
        <v>2738</v>
      </c>
      <c r="S502" s="4"/>
      <c r="T502" s="4" t="s">
        <v>404</v>
      </c>
      <c r="U502" s="44">
        <v>40801</v>
      </c>
      <c r="V502" s="4" t="s">
        <v>404</v>
      </c>
      <c r="W502" s="57">
        <v>40830</v>
      </c>
      <c r="X502" s="74"/>
      <c r="Y502" s="28" t="e">
        <v>#REF!</v>
      </c>
      <c r="Z502" s="28"/>
      <c r="AA502" s="24" t="s">
        <v>393</v>
      </c>
      <c r="AB502" s="28">
        <v>40745</v>
      </c>
    </row>
    <row r="503" spans="1:28" ht="14.25" customHeight="1" x14ac:dyDescent="0.4">
      <c r="A503">
        <v>465</v>
      </c>
      <c r="B503" s="34">
        <v>0</v>
      </c>
      <c r="C503" s="34">
        <v>0</v>
      </c>
      <c r="D503" s="34">
        <v>0</v>
      </c>
      <c r="E503" s="32">
        <v>40742</v>
      </c>
      <c r="F503" s="24" t="s">
        <v>393</v>
      </c>
      <c r="G503" s="24">
        <v>40749</v>
      </c>
      <c r="H503" s="134">
        <v>27</v>
      </c>
      <c r="I503" s="23">
        <v>40725</v>
      </c>
      <c r="J503" s="37">
        <v>27</v>
      </c>
      <c r="K503" s="24" t="s">
        <v>549</v>
      </c>
      <c r="L503" s="24">
        <v>40725</v>
      </c>
      <c r="M503" s="32">
        <v>40661</v>
      </c>
      <c r="N503" s="22" t="s">
        <v>567</v>
      </c>
      <c r="O503" s="81">
        <v>9120235</v>
      </c>
      <c r="P503" s="22">
        <v>1020</v>
      </c>
      <c r="Q503" s="22">
        <v>42</v>
      </c>
      <c r="R503" s="22" t="s">
        <v>2739</v>
      </c>
      <c r="T503" s="4" t="s">
        <v>404</v>
      </c>
      <c r="U503" s="94">
        <v>40962</v>
      </c>
      <c r="V503" s="4" t="s">
        <v>404</v>
      </c>
      <c r="W503" s="92">
        <v>40970</v>
      </c>
      <c r="X503" s="74"/>
      <c r="Y503" s="28" t="e">
        <v>#REF!</v>
      </c>
      <c r="Z503" s="28"/>
      <c r="AA503" s="24" t="s">
        <v>393</v>
      </c>
      <c r="AB503" s="28">
        <v>40749</v>
      </c>
    </row>
    <row r="504" spans="1:28" ht="14.25" customHeight="1" x14ac:dyDescent="0.4">
      <c r="A504">
        <v>466</v>
      </c>
      <c r="B504" s="34">
        <v>0</v>
      </c>
      <c r="C504" s="34" t="s">
        <v>2165</v>
      </c>
      <c r="D504" s="34">
        <v>0</v>
      </c>
      <c r="E504" s="32">
        <v>40743</v>
      </c>
      <c r="F504" s="24" t="s">
        <v>393</v>
      </c>
      <c r="G504" s="24">
        <v>40751</v>
      </c>
      <c r="H504" s="134">
        <v>28</v>
      </c>
      <c r="I504" s="23">
        <v>40725</v>
      </c>
      <c r="J504" s="37">
        <v>28</v>
      </c>
      <c r="K504" s="24" t="s">
        <v>549</v>
      </c>
      <c r="L504" s="24">
        <v>40725</v>
      </c>
      <c r="M504" s="32">
        <v>40661</v>
      </c>
      <c r="N504" s="22" t="s">
        <v>567</v>
      </c>
      <c r="O504" s="81">
        <v>9120236</v>
      </c>
      <c r="P504" s="22">
        <v>720</v>
      </c>
      <c r="Q504" s="22">
        <v>42</v>
      </c>
      <c r="R504" s="22" t="s">
        <v>2740</v>
      </c>
      <c r="S504" s="4"/>
      <c r="T504" s="4" t="s">
        <v>404</v>
      </c>
      <c r="U504" s="44">
        <v>40851</v>
      </c>
      <c r="V504" s="4" t="s">
        <v>404</v>
      </c>
      <c r="W504" s="57">
        <v>40869</v>
      </c>
      <c r="Y504" s="28" t="e">
        <v>#REF!</v>
      </c>
      <c r="Z504" s="28"/>
      <c r="AA504" s="24" t="s">
        <v>393</v>
      </c>
      <c r="AB504" s="28">
        <v>40751</v>
      </c>
    </row>
    <row r="505" spans="1:28" ht="14.25" customHeight="1" x14ac:dyDescent="0.4">
      <c r="A505">
        <v>467</v>
      </c>
      <c r="B505" s="34">
        <v>0</v>
      </c>
      <c r="C505" s="34" t="s">
        <v>2165</v>
      </c>
      <c r="D505" s="34">
        <v>0</v>
      </c>
      <c r="E505" s="32">
        <v>40743</v>
      </c>
      <c r="F505" s="24" t="s">
        <v>393</v>
      </c>
      <c r="G505" s="24">
        <v>40749</v>
      </c>
      <c r="H505" s="134">
        <v>29</v>
      </c>
      <c r="I505" s="23">
        <v>40725</v>
      </c>
      <c r="J505" s="37">
        <v>29</v>
      </c>
      <c r="K505" s="24" t="s">
        <v>549</v>
      </c>
      <c r="L505" s="24">
        <v>40725</v>
      </c>
      <c r="M505" s="32">
        <v>40661</v>
      </c>
      <c r="N505" s="22" t="s">
        <v>567</v>
      </c>
      <c r="O505" s="81">
        <v>9120237</v>
      </c>
      <c r="P505" s="22">
        <v>720</v>
      </c>
      <c r="Q505" s="22">
        <v>42</v>
      </c>
      <c r="R505" s="22" t="s">
        <v>2741</v>
      </c>
      <c r="S505" s="4"/>
      <c r="T505" s="4" t="s">
        <v>404</v>
      </c>
      <c r="U505" s="44">
        <v>40800</v>
      </c>
      <c r="V505" s="4" t="s">
        <v>404</v>
      </c>
      <c r="W505" s="9">
        <v>40813</v>
      </c>
      <c r="X505" s="74"/>
      <c r="Y505" s="28" t="e">
        <v>#REF!</v>
      </c>
      <c r="Z505" s="9"/>
      <c r="AA505" s="24" t="s">
        <v>393</v>
      </c>
      <c r="AB505" s="28">
        <v>40749</v>
      </c>
    </row>
    <row r="506" spans="1:28" ht="14.25" customHeight="1" x14ac:dyDescent="0.4">
      <c r="A506">
        <v>468</v>
      </c>
      <c r="B506" s="34">
        <v>0</v>
      </c>
      <c r="C506" s="34">
        <v>0</v>
      </c>
      <c r="D506" s="34">
        <v>0</v>
      </c>
      <c r="E506" s="32">
        <v>40759</v>
      </c>
      <c r="F506" s="24" t="s">
        <v>393</v>
      </c>
      <c r="G506" s="24">
        <v>40773</v>
      </c>
      <c r="H506" s="134">
        <v>65</v>
      </c>
      <c r="I506" s="23">
        <v>40756</v>
      </c>
      <c r="J506" s="37">
        <v>10</v>
      </c>
      <c r="K506" s="24" t="s">
        <v>549</v>
      </c>
      <c r="L506" s="24">
        <v>40725</v>
      </c>
      <c r="M506" s="32">
        <v>40661</v>
      </c>
      <c r="N506" s="22" t="s">
        <v>567</v>
      </c>
      <c r="O506" s="81">
        <v>9120238</v>
      </c>
      <c r="P506" s="22">
        <v>1220</v>
      </c>
      <c r="Q506" s="22">
        <v>50</v>
      </c>
      <c r="R506" s="22" t="s">
        <v>2742</v>
      </c>
      <c r="S506" s="55"/>
      <c r="T506" s="4" t="s">
        <v>404</v>
      </c>
      <c r="U506" s="94">
        <v>40907</v>
      </c>
      <c r="V506" s="4" t="s">
        <v>404</v>
      </c>
      <c r="W506" s="92">
        <v>40962</v>
      </c>
      <c r="X506" s="74"/>
      <c r="Y506" s="28" t="e">
        <v>#REF!</v>
      </c>
      <c r="Z506" s="28"/>
      <c r="AA506" s="24" t="s">
        <v>393</v>
      </c>
      <c r="AB506" s="28">
        <v>40773</v>
      </c>
    </row>
    <row r="507" spans="1:28" ht="14.25" customHeight="1" x14ac:dyDescent="0.4">
      <c r="A507">
        <v>469</v>
      </c>
      <c r="B507" s="34">
        <v>0</v>
      </c>
      <c r="C507" s="34">
        <v>0</v>
      </c>
      <c r="D507" s="34">
        <v>0</v>
      </c>
      <c r="E507" s="32">
        <v>40746</v>
      </c>
      <c r="F507" s="24" t="s">
        <v>393</v>
      </c>
      <c r="G507" s="24">
        <v>40760</v>
      </c>
      <c r="H507" s="134">
        <v>38</v>
      </c>
      <c r="I507" s="23">
        <v>40725</v>
      </c>
      <c r="J507" s="37">
        <v>38</v>
      </c>
      <c r="K507" s="24" t="s">
        <v>549</v>
      </c>
      <c r="L507" s="24">
        <v>40756</v>
      </c>
      <c r="M507" s="32">
        <v>40661</v>
      </c>
      <c r="N507" s="22" t="s">
        <v>567</v>
      </c>
      <c r="O507" s="81">
        <v>9120239</v>
      </c>
      <c r="P507" s="22">
        <v>1020</v>
      </c>
      <c r="Q507" s="22">
        <v>42</v>
      </c>
      <c r="R507" s="22" t="s">
        <v>2743</v>
      </c>
      <c r="S507" s="47"/>
      <c r="T507" s="4"/>
      <c r="U507" s="88"/>
      <c r="V507" s="4"/>
      <c r="W507" s="89"/>
      <c r="X507" s="170">
        <v>115</v>
      </c>
      <c r="Y507" s="28" t="e">
        <v>#REF!</v>
      </c>
      <c r="Z507" s="28"/>
      <c r="AA507" s="24" t="s">
        <v>393</v>
      </c>
      <c r="AB507" s="28">
        <v>40760</v>
      </c>
    </row>
    <row r="508" spans="1:28" ht="14.25" customHeight="1" x14ac:dyDescent="0.4">
      <c r="A508">
        <v>470</v>
      </c>
      <c r="B508" s="34">
        <v>0</v>
      </c>
      <c r="C508" s="34" t="s">
        <v>2165</v>
      </c>
      <c r="D508" s="34">
        <v>0</v>
      </c>
      <c r="E508" s="32">
        <v>40746</v>
      </c>
      <c r="F508" s="24" t="s">
        <v>393</v>
      </c>
      <c r="G508" s="24">
        <v>40759</v>
      </c>
      <c r="H508" s="134">
        <v>39</v>
      </c>
      <c r="I508" s="23">
        <v>40725</v>
      </c>
      <c r="J508" s="37">
        <v>39</v>
      </c>
      <c r="K508" s="24" t="s">
        <v>549</v>
      </c>
      <c r="L508" s="24">
        <v>40756</v>
      </c>
      <c r="M508" s="32">
        <v>40661</v>
      </c>
      <c r="N508" s="22" t="s">
        <v>567</v>
      </c>
      <c r="O508" s="81">
        <v>9120240</v>
      </c>
      <c r="P508" s="22">
        <v>1020</v>
      </c>
      <c r="Q508" s="22">
        <v>42</v>
      </c>
      <c r="R508" s="22" t="s">
        <v>2744</v>
      </c>
      <c r="S508" s="4"/>
      <c r="T508" s="4" t="s">
        <v>404</v>
      </c>
      <c r="U508" s="44">
        <v>40969</v>
      </c>
      <c r="V508" s="4" t="s">
        <v>404</v>
      </c>
      <c r="W508" s="89">
        <v>40984</v>
      </c>
      <c r="X508" s="84"/>
      <c r="Y508" s="28" t="e">
        <v>#REF!</v>
      </c>
      <c r="Z508" s="28"/>
      <c r="AA508" s="24" t="s">
        <v>393</v>
      </c>
      <c r="AB508" s="28">
        <v>40759</v>
      </c>
    </row>
    <row r="509" spans="1:28" ht="14.25" customHeight="1" x14ac:dyDescent="0.4">
      <c r="A509">
        <v>471</v>
      </c>
      <c r="B509" s="34">
        <v>0</v>
      </c>
      <c r="C509" s="34">
        <v>0</v>
      </c>
      <c r="D509" s="34">
        <v>0</v>
      </c>
      <c r="E509" s="32">
        <v>40749</v>
      </c>
      <c r="F509" s="24" t="s">
        <v>393</v>
      </c>
      <c r="G509" s="24">
        <v>40760</v>
      </c>
      <c r="H509" s="134">
        <v>40</v>
      </c>
      <c r="I509" s="23">
        <v>40725</v>
      </c>
      <c r="J509" s="37">
        <v>40</v>
      </c>
      <c r="K509" s="24" t="s">
        <v>549</v>
      </c>
      <c r="L509" s="24">
        <v>40756</v>
      </c>
      <c r="M509" s="32">
        <v>40661</v>
      </c>
      <c r="N509" s="22" t="s">
        <v>567</v>
      </c>
      <c r="O509" s="81">
        <v>9120241</v>
      </c>
      <c r="P509" s="22">
        <v>1020</v>
      </c>
      <c r="Q509" s="22">
        <v>42</v>
      </c>
      <c r="R509" s="22" t="s">
        <v>2745</v>
      </c>
      <c r="S509" s="4"/>
      <c r="T509" s="4" t="s">
        <v>404</v>
      </c>
      <c r="U509" s="44">
        <v>40973</v>
      </c>
      <c r="V509" s="4" t="s">
        <v>404</v>
      </c>
      <c r="W509" s="9">
        <v>40998</v>
      </c>
      <c r="Y509" s="28" t="e">
        <v>#REF!</v>
      </c>
      <c r="Z509" s="28"/>
      <c r="AA509" s="24" t="s">
        <v>393</v>
      </c>
      <c r="AB509" s="28">
        <v>40760</v>
      </c>
    </row>
    <row r="510" spans="1:28" ht="14.25" customHeight="1" x14ac:dyDescent="0.4">
      <c r="A510">
        <v>472</v>
      </c>
      <c r="B510" s="34">
        <v>0</v>
      </c>
      <c r="C510" s="34">
        <v>0</v>
      </c>
      <c r="D510" s="34">
        <v>0</v>
      </c>
      <c r="E510" s="32">
        <v>40773</v>
      </c>
      <c r="F510" s="24" t="s">
        <v>393</v>
      </c>
      <c r="G510" s="24">
        <v>40786</v>
      </c>
      <c r="H510" s="134">
        <v>95</v>
      </c>
      <c r="I510" s="23">
        <v>40756</v>
      </c>
      <c r="J510" s="37">
        <v>40</v>
      </c>
      <c r="K510" s="24" t="s">
        <v>549</v>
      </c>
      <c r="L510" s="24">
        <v>40756</v>
      </c>
      <c r="M510" s="32">
        <v>40661</v>
      </c>
      <c r="N510" s="22" t="s">
        <v>567</v>
      </c>
      <c r="O510" s="81">
        <v>9120242</v>
      </c>
      <c r="P510" s="22">
        <v>1020</v>
      </c>
      <c r="Q510" s="22">
        <v>42</v>
      </c>
      <c r="R510" s="22" t="s">
        <v>2746</v>
      </c>
      <c r="S510" s="4"/>
      <c r="T510" s="4" t="s">
        <v>404</v>
      </c>
      <c r="U510" s="42">
        <v>40988</v>
      </c>
      <c r="V510" s="4" t="s">
        <v>404</v>
      </c>
      <c r="W510" s="28">
        <v>41010</v>
      </c>
      <c r="X510" s="74"/>
      <c r="Y510" s="28" t="e">
        <v>#REF!</v>
      </c>
      <c r="Z510" s="9"/>
      <c r="AA510" s="24" t="s">
        <v>393</v>
      </c>
      <c r="AB510" s="28">
        <v>40786</v>
      </c>
    </row>
    <row r="511" spans="1:28" ht="14.25" customHeight="1" x14ac:dyDescent="0.4">
      <c r="A511">
        <v>473</v>
      </c>
      <c r="B511" s="32">
        <v>40774</v>
      </c>
      <c r="C511" s="32">
        <v>40774</v>
      </c>
      <c r="D511" s="32">
        <v>40774</v>
      </c>
      <c r="E511" s="32">
        <v>40774</v>
      </c>
      <c r="F511" s="24" t="s">
        <v>393</v>
      </c>
      <c r="G511" s="24">
        <v>40786</v>
      </c>
      <c r="H511" s="35">
        <v>96</v>
      </c>
      <c r="I511" s="23">
        <v>40756</v>
      </c>
      <c r="J511" s="37">
        <v>41</v>
      </c>
      <c r="K511" s="24" t="s">
        <v>549</v>
      </c>
      <c r="L511" s="24">
        <v>40756</v>
      </c>
      <c r="M511" s="32">
        <v>40661</v>
      </c>
      <c r="N511" s="22" t="s">
        <v>567</v>
      </c>
      <c r="O511" s="81">
        <v>9120243</v>
      </c>
      <c r="P511" s="22">
        <v>1020</v>
      </c>
      <c r="Q511" s="22">
        <v>42</v>
      </c>
      <c r="R511" s="22" t="s">
        <v>2747</v>
      </c>
      <c r="T511" s="4" t="s">
        <v>404</v>
      </c>
      <c r="U511" s="164">
        <v>40977</v>
      </c>
      <c r="V511" s="4" t="s">
        <v>404</v>
      </c>
      <c r="W511" s="43">
        <v>41019</v>
      </c>
      <c r="Y511" s="28" t="e">
        <v>#REF!</v>
      </c>
      <c r="AA511" s="24" t="s">
        <v>393</v>
      </c>
      <c r="AB511" s="28">
        <v>40786</v>
      </c>
    </row>
    <row r="512" spans="1:28" ht="14.25" customHeight="1" x14ac:dyDescent="0.4">
      <c r="A512">
        <v>474</v>
      </c>
      <c r="B512" s="32">
        <v>40774</v>
      </c>
      <c r="C512" s="32">
        <v>40774</v>
      </c>
      <c r="D512" s="32">
        <v>40774</v>
      </c>
      <c r="E512" s="32">
        <v>40774</v>
      </c>
      <c r="F512" s="24" t="s">
        <v>393</v>
      </c>
      <c r="G512" s="24">
        <v>40784</v>
      </c>
      <c r="H512" s="35">
        <v>97</v>
      </c>
      <c r="I512" s="23">
        <v>40756</v>
      </c>
      <c r="J512" s="37">
        <v>42</v>
      </c>
      <c r="K512" s="24" t="s">
        <v>549</v>
      </c>
      <c r="L512" s="24">
        <v>40940</v>
      </c>
      <c r="M512" s="32">
        <v>40661</v>
      </c>
      <c r="N512" s="22" t="s">
        <v>567</v>
      </c>
      <c r="O512" s="81">
        <v>9120270</v>
      </c>
      <c r="P512" s="22">
        <v>720</v>
      </c>
      <c r="Q512" s="22">
        <v>42</v>
      </c>
      <c r="R512" s="22" t="s">
        <v>2748</v>
      </c>
      <c r="T512" s="4" t="s">
        <v>404</v>
      </c>
      <c r="U512" s="94">
        <v>40837</v>
      </c>
      <c r="V512" s="4" t="s">
        <v>404</v>
      </c>
      <c r="W512" s="43">
        <v>40865</v>
      </c>
      <c r="Y512" s="28" t="e">
        <v>#REF!</v>
      </c>
      <c r="AA512" s="24" t="s">
        <v>393</v>
      </c>
      <c r="AB512" s="28">
        <v>40784</v>
      </c>
    </row>
    <row r="513" spans="1:28" ht="14.25" customHeight="1" x14ac:dyDescent="0.4">
      <c r="A513">
        <v>475</v>
      </c>
      <c r="B513" s="34">
        <v>0</v>
      </c>
      <c r="C513" s="34">
        <v>0</v>
      </c>
      <c r="D513" s="34">
        <v>0</v>
      </c>
      <c r="E513" s="32">
        <v>40805</v>
      </c>
      <c r="F513" s="24" t="s">
        <v>393</v>
      </c>
      <c r="G513" s="24">
        <v>40807</v>
      </c>
      <c r="H513" s="134">
        <v>155</v>
      </c>
      <c r="I513" s="23">
        <v>40787</v>
      </c>
      <c r="J513" s="37">
        <v>31</v>
      </c>
      <c r="K513" s="24" t="s">
        <v>549</v>
      </c>
      <c r="L513" s="24">
        <v>40787</v>
      </c>
      <c r="M513" s="32">
        <v>40661</v>
      </c>
      <c r="N513" s="22" t="s">
        <v>567</v>
      </c>
      <c r="O513" s="81">
        <v>9120244</v>
      </c>
      <c r="P513" s="22">
        <v>1020</v>
      </c>
      <c r="Q513" s="22">
        <v>50</v>
      </c>
      <c r="R513" s="22" t="s">
        <v>2749</v>
      </c>
      <c r="S513" s="55"/>
      <c r="T513" s="4" t="s">
        <v>404</v>
      </c>
      <c r="U513" s="94">
        <v>41020</v>
      </c>
      <c r="V513" s="4" t="s">
        <v>404</v>
      </c>
      <c r="W513" s="92">
        <v>41033</v>
      </c>
      <c r="X513" s="74"/>
      <c r="Y513" s="28" t="e">
        <v>#REF!</v>
      </c>
      <c r="Z513" s="9"/>
      <c r="AA513" s="24" t="s">
        <v>393</v>
      </c>
      <c r="AB513" s="28">
        <v>40807</v>
      </c>
    </row>
    <row r="514" spans="1:28" ht="14.25" customHeight="1" x14ac:dyDescent="0.4">
      <c r="A514">
        <v>476</v>
      </c>
      <c r="B514" s="34">
        <v>0</v>
      </c>
      <c r="C514" s="34">
        <v>0</v>
      </c>
      <c r="D514" s="34">
        <v>0</v>
      </c>
      <c r="E514" s="32">
        <v>40805</v>
      </c>
      <c r="F514" s="24" t="s">
        <v>393</v>
      </c>
      <c r="G514" s="24">
        <v>40815</v>
      </c>
      <c r="H514" s="134">
        <v>156</v>
      </c>
      <c r="I514" s="23">
        <v>40787</v>
      </c>
      <c r="J514" s="37">
        <v>32</v>
      </c>
      <c r="K514" s="24" t="s">
        <v>549</v>
      </c>
      <c r="L514" s="24">
        <v>40787</v>
      </c>
      <c r="M514" s="32">
        <v>40661</v>
      </c>
      <c r="N514" s="22" t="s">
        <v>567</v>
      </c>
      <c r="O514" s="81">
        <v>9120245</v>
      </c>
      <c r="P514" s="22">
        <v>1020</v>
      </c>
      <c r="Q514" s="22">
        <v>50</v>
      </c>
      <c r="R514" s="22" t="s">
        <v>2750</v>
      </c>
      <c r="S514" s="55"/>
      <c r="T514" s="4"/>
      <c r="U514" s="94"/>
      <c r="V514" s="4"/>
      <c r="W514" s="92"/>
      <c r="X514" s="74"/>
      <c r="Y514" s="28" t="e">
        <v>#REF!</v>
      </c>
      <c r="Z514" s="9"/>
      <c r="AA514" s="24" t="s">
        <v>393</v>
      </c>
      <c r="AB514" s="28">
        <v>40815</v>
      </c>
    </row>
    <row r="515" spans="1:28" ht="14.25" customHeight="1" x14ac:dyDescent="0.4">
      <c r="A515">
        <v>477</v>
      </c>
      <c r="B515" s="34">
        <v>0</v>
      </c>
      <c r="C515" s="34" t="s">
        <v>2165</v>
      </c>
      <c r="D515" s="34">
        <v>0</v>
      </c>
      <c r="E515" s="32">
        <v>40806</v>
      </c>
      <c r="F515" s="24" t="s">
        <v>393</v>
      </c>
      <c r="G515" s="24">
        <v>40814</v>
      </c>
      <c r="H515" s="134">
        <v>157</v>
      </c>
      <c r="I515" s="23">
        <v>40787</v>
      </c>
      <c r="J515" s="37">
        <v>33</v>
      </c>
      <c r="K515" s="24" t="s">
        <v>549</v>
      </c>
      <c r="L515" s="24">
        <v>40787</v>
      </c>
      <c r="M515" s="32">
        <v>40661</v>
      </c>
      <c r="N515" s="22" t="s">
        <v>567</v>
      </c>
      <c r="O515" s="81">
        <v>9120246</v>
      </c>
      <c r="P515" s="22">
        <v>1020</v>
      </c>
      <c r="Q515" s="22">
        <v>42</v>
      </c>
      <c r="R515" s="22" t="s">
        <v>2751</v>
      </c>
      <c r="S515" s="55"/>
      <c r="T515" s="4" t="s">
        <v>404</v>
      </c>
      <c r="U515" s="94">
        <v>41065</v>
      </c>
      <c r="V515" s="4" t="s">
        <v>404</v>
      </c>
      <c r="W515" s="92">
        <v>41075</v>
      </c>
      <c r="X515" s="175">
        <v>30</v>
      </c>
      <c r="Y515" s="28" t="e">
        <v>#REF!</v>
      </c>
      <c r="Z515" s="9"/>
      <c r="AA515" s="24" t="s">
        <v>393</v>
      </c>
      <c r="AB515" s="28">
        <v>40814</v>
      </c>
    </row>
    <row r="516" spans="1:28" ht="14.25" customHeight="1" x14ac:dyDescent="0.4">
      <c r="A516">
        <v>478</v>
      </c>
      <c r="B516" s="34">
        <v>0</v>
      </c>
      <c r="C516" s="34" t="s">
        <v>2165</v>
      </c>
      <c r="D516" s="34">
        <v>0</v>
      </c>
      <c r="E516" s="32">
        <v>40806</v>
      </c>
      <c r="F516" s="24" t="s">
        <v>393</v>
      </c>
      <c r="G516" s="24">
        <v>40833</v>
      </c>
      <c r="H516" s="134">
        <v>158</v>
      </c>
      <c r="I516" s="23">
        <v>40787</v>
      </c>
      <c r="J516" s="37">
        <v>34</v>
      </c>
      <c r="K516" s="24" t="s">
        <v>549</v>
      </c>
      <c r="L516" s="24">
        <v>40787</v>
      </c>
      <c r="M516" s="32">
        <v>40661</v>
      </c>
      <c r="N516" s="22" t="s">
        <v>567</v>
      </c>
      <c r="O516" s="81">
        <v>9120247</v>
      </c>
      <c r="P516" s="22">
        <v>1020</v>
      </c>
      <c r="Q516" s="22">
        <v>42</v>
      </c>
      <c r="R516" s="22" t="s">
        <v>2752</v>
      </c>
      <c r="S516" s="55"/>
      <c r="T516" s="4" t="s">
        <v>404</v>
      </c>
      <c r="U516" s="94">
        <v>41171</v>
      </c>
      <c r="V516" s="4"/>
      <c r="W516" s="92"/>
      <c r="X516" s="175">
        <v>35</v>
      </c>
      <c r="Y516" s="28" t="e">
        <v>#REF!</v>
      </c>
      <c r="Z516" s="9"/>
      <c r="AA516" s="24" t="s">
        <v>393</v>
      </c>
      <c r="AB516" s="28">
        <v>40833</v>
      </c>
    </row>
    <row r="517" spans="1:28" ht="14.25" customHeight="1" x14ac:dyDescent="0.4">
      <c r="A517">
        <v>479</v>
      </c>
      <c r="B517" s="34">
        <v>0</v>
      </c>
      <c r="C517" s="34" t="s">
        <v>2165</v>
      </c>
      <c r="D517" s="34">
        <v>0</v>
      </c>
      <c r="E517" s="32">
        <v>40806</v>
      </c>
      <c r="F517" s="24" t="s">
        <v>393</v>
      </c>
      <c r="G517" s="24">
        <v>40813</v>
      </c>
      <c r="H517" s="134">
        <v>159</v>
      </c>
      <c r="I517" s="23">
        <v>40787</v>
      </c>
      <c r="J517" s="37">
        <v>35</v>
      </c>
      <c r="K517" s="24" t="s">
        <v>549</v>
      </c>
      <c r="L517" s="24">
        <v>40787</v>
      </c>
      <c r="M517" s="32">
        <v>40661</v>
      </c>
      <c r="N517" s="22" t="s">
        <v>567</v>
      </c>
      <c r="O517" s="81">
        <v>9120248</v>
      </c>
      <c r="P517" s="22">
        <v>1020</v>
      </c>
      <c r="Q517" s="22">
        <v>42</v>
      </c>
      <c r="R517" s="22" t="s">
        <v>2753</v>
      </c>
      <c r="S517" s="55"/>
      <c r="T517" s="4" t="s">
        <v>404</v>
      </c>
      <c r="U517" s="94">
        <v>41062</v>
      </c>
      <c r="V517" s="4" t="s">
        <v>404</v>
      </c>
      <c r="W517" s="92">
        <v>41071</v>
      </c>
      <c r="X517" s="74"/>
      <c r="Y517" s="28" t="e">
        <v>#REF!</v>
      </c>
      <c r="Z517" s="9"/>
      <c r="AA517" s="24" t="s">
        <v>393</v>
      </c>
      <c r="AB517" s="28">
        <v>40813</v>
      </c>
    </row>
    <row r="518" spans="1:28" ht="14.25" customHeight="1" x14ac:dyDescent="0.4">
      <c r="A518">
        <v>480</v>
      </c>
      <c r="B518" s="34">
        <v>0</v>
      </c>
      <c r="C518" s="34">
        <v>0</v>
      </c>
      <c r="D518" s="34">
        <v>0</v>
      </c>
      <c r="E518" s="32">
        <v>40807</v>
      </c>
      <c r="F518" s="24" t="s">
        <v>392</v>
      </c>
      <c r="G518" s="24">
        <v>40809</v>
      </c>
      <c r="H518" s="134">
        <v>160</v>
      </c>
      <c r="I518" s="23">
        <v>40787</v>
      </c>
      <c r="J518" s="37">
        <v>36</v>
      </c>
      <c r="K518" s="24" t="s">
        <v>549</v>
      </c>
      <c r="L518" s="24">
        <v>40787</v>
      </c>
      <c r="M518" s="32">
        <v>40661</v>
      </c>
      <c r="N518" s="22" t="s">
        <v>567</v>
      </c>
      <c r="O518" s="81">
        <v>9120249</v>
      </c>
      <c r="P518" s="22">
        <v>720</v>
      </c>
      <c r="Q518" s="22">
        <v>42</v>
      </c>
      <c r="R518" s="22" t="s">
        <v>2754</v>
      </c>
      <c r="S518" s="55"/>
      <c r="T518" s="4" t="s">
        <v>404</v>
      </c>
      <c r="U518" s="94">
        <v>40876</v>
      </c>
      <c r="V518" s="4" t="s">
        <v>404</v>
      </c>
      <c r="W518" s="92">
        <v>40897</v>
      </c>
      <c r="X518" s="74"/>
      <c r="Y518" s="28" t="e">
        <v>#REF!</v>
      </c>
      <c r="Z518" s="9"/>
      <c r="AA518" s="24" t="s">
        <v>392</v>
      </c>
      <c r="AB518" s="28">
        <v>40809</v>
      </c>
    </row>
    <row r="519" spans="1:28" ht="14.25" customHeight="1" x14ac:dyDescent="0.4">
      <c r="A519">
        <v>481</v>
      </c>
      <c r="B519" s="34">
        <v>0</v>
      </c>
      <c r="C519" s="34">
        <v>0</v>
      </c>
      <c r="D519" s="34">
        <v>0</v>
      </c>
      <c r="E519" s="32">
        <v>40807</v>
      </c>
      <c r="F519" s="24" t="s">
        <v>393</v>
      </c>
      <c r="G519" s="24">
        <v>40821</v>
      </c>
      <c r="H519" s="134">
        <v>161</v>
      </c>
      <c r="I519" s="23">
        <v>40787</v>
      </c>
      <c r="J519" s="37">
        <v>37</v>
      </c>
      <c r="K519" s="24" t="s">
        <v>549</v>
      </c>
      <c r="L519" s="24">
        <v>40787</v>
      </c>
      <c r="M519" s="32">
        <v>40661</v>
      </c>
      <c r="N519" s="22" t="s">
        <v>567</v>
      </c>
      <c r="O519" s="81">
        <v>9120250</v>
      </c>
      <c r="P519" s="22">
        <v>720</v>
      </c>
      <c r="Q519" s="22">
        <v>42</v>
      </c>
      <c r="R519" s="22" t="s">
        <v>2755</v>
      </c>
      <c r="S519" s="55"/>
      <c r="T519" s="4" t="s">
        <v>404</v>
      </c>
      <c r="U519" s="94">
        <v>40837</v>
      </c>
      <c r="V519" s="4" t="s">
        <v>404</v>
      </c>
      <c r="W519" s="92">
        <v>40849</v>
      </c>
      <c r="X519" s="74"/>
      <c r="Y519" s="28" t="e">
        <v>#REF!</v>
      </c>
      <c r="Z519" s="9"/>
      <c r="AA519" s="24" t="s">
        <v>393</v>
      </c>
      <c r="AB519" s="28">
        <v>40821</v>
      </c>
    </row>
    <row r="520" spans="1:28" ht="14.25" customHeight="1" x14ac:dyDescent="0.4">
      <c r="A520">
        <v>482</v>
      </c>
      <c r="B520" s="32">
        <v>40841</v>
      </c>
      <c r="C520" s="32">
        <v>40841</v>
      </c>
      <c r="D520" s="32">
        <v>40841</v>
      </c>
      <c r="E520" s="32">
        <v>40841</v>
      </c>
      <c r="F520" s="24" t="s">
        <v>393</v>
      </c>
      <c r="G520" s="24">
        <v>40851</v>
      </c>
      <c r="H520" s="134">
        <v>237</v>
      </c>
      <c r="I520" s="23">
        <v>40817</v>
      </c>
      <c r="J520" s="37">
        <v>50</v>
      </c>
      <c r="K520" s="24" t="s">
        <v>549</v>
      </c>
      <c r="L520" s="24">
        <v>40817</v>
      </c>
      <c r="M520" s="32">
        <v>40661</v>
      </c>
      <c r="N520" s="22" t="s">
        <v>567</v>
      </c>
      <c r="O520" s="81">
        <v>9120251</v>
      </c>
      <c r="P520" s="22">
        <v>1020</v>
      </c>
      <c r="Q520" s="22">
        <v>50</v>
      </c>
      <c r="R520" s="22" t="s">
        <v>2756</v>
      </c>
      <c r="S520" s="55"/>
      <c r="T520" s="4"/>
      <c r="U520" s="42"/>
      <c r="V520" s="4"/>
      <c r="W520" s="28"/>
      <c r="X520" s="74"/>
      <c r="Y520" s="28" t="e">
        <v>#REF!</v>
      </c>
      <c r="Z520" s="9"/>
      <c r="AA520" s="24" t="s">
        <v>393</v>
      </c>
      <c r="AB520" s="28">
        <v>40851</v>
      </c>
    </row>
    <row r="521" spans="1:28" ht="14.25" customHeight="1" x14ac:dyDescent="0.4">
      <c r="A521">
        <v>484</v>
      </c>
      <c r="B521" s="32">
        <v>40829</v>
      </c>
      <c r="C521" s="32">
        <v>40829</v>
      </c>
      <c r="D521" s="32">
        <v>40829</v>
      </c>
      <c r="E521" s="32">
        <v>40829</v>
      </c>
      <c r="F521" s="24" t="s">
        <v>393</v>
      </c>
      <c r="G521" s="24">
        <v>40830</v>
      </c>
      <c r="H521" s="134">
        <v>212</v>
      </c>
      <c r="I521" s="23">
        <v>40817</v>
      </c>
      <c r="J521" s="37">
        <v>25</v>
      </c>
      <c r="K521" s="24" t="s">
        <v>549</v>
      </c>
      <c r="L521" s="24">
        <v>40817</v>
      </c>
      <c r="M521" s="32">
        <v>40661</v>
      </c>
      <c r="N521" s="22" t="s">
        <v>567</v>
      </c>
      <c r="O521" s="81">
        <v>9120254</v>
      </c>
      <c r="P521" s="22">
        <v>1020</v>
      </c>
      <c r="Q521" s="22">
        <v>42</v>
      </c>
      <c r="R521" s="22" t="s">
        <v>2757</v>
      </c>
      <c r="S521" s="55"/>
      <c r="T521" s="4"/>
      <c r="U521" s="94"/>
      <c r="V521" s="4"/>
      <c r="W521" s="92"/>
      <c r="X521" s="74"/>
      <c r="Y521" s="28" t="e">
        <v>#REF!</v>
      </c>
      <c r="Z521" s="9"/>
      <c r="AA521" s="24" t="s">
        <v>393</v>
      </c>
      <c r="AB521" s="28">
        <v>40830</v>
      </c>
    </row>
    <row r="522" spans="1:28" ht="14.25" customHeight="1" x14ac:dyDescent="0.4">
      <c r="A522">
        <v>485</v>
      </c>
      <c r="B522" s="32">
        <v>40870</v>
      </c>
      <c r="C522" s="32">
        <v>40870</v>
      </c>
      <c r="D522" s="32">
        <v>40870</v>
      </c>
      <c r="E522" s="32">
        <v>40870</v>
      </c>
      <c r="F522" s="24" t="s">
        <v>393</v>
      </c>
      <c r="G522" s="24">
        <v>40896</v>
      </c>
      <c r="H522" s="134">
        <v>304</v>
      </c>
      <c r="I522" s="23">
        <v>40848</v>
      </c>
      <c r="J522" s="37">
        <v>53</v>
      </c>
      <c r="K522" s="24" t="s">
        <v>549</v>
      </c>
      <c r="L522" s="24">
        <v>40817</v>
      </c>
      <c r="M522" s="32">
        <v>40661</v>
      </c>
      <c r="N522" s="22" t="s">
        <v>567</v>
      </c>
      <c r="O522" s="81">
        <v>9120255</v>
      </c>
      <c r="P522" s="22">
        <v>1020</v>
      </c>
      <c r="Q522" s="22">
        <v>42</v>
      </c>
      <c r="R522" s="22" t="s">
        <v>2758</v>
      </c>
      <c r="S522" s="55"/>
      <c r="T522" s="4"/>
      <c r="U522" s="42"/>
      <c r="V522" s="4"/>
      <c r="W522" s="28"/>
      <c r="X522" s="74"/>
      <c r="Y522" s="28" t="e">
        <v>#REF!</v>
      </c>
      <c r="Z522" s="28"/>
      <c r="AA522" s="24" t="s">
        <v>393</v>
      </c>
      <c r="AB522" s="28">
        <v>40896</v>
      </c>
    </row>
    <row r="523" spans="1:28" ht="14.25" customHeight="1" x14ac:dyDescent="0.4">
      <c r="A523">
        <v>486</v>
      </c>
      <c r="B523" s="34">
        <v>0</v>
      </c>
      <c r="C523" s="34" t="s">
        <v>2165</v>
      </c>
      <c r="D523" s="34">
        <v>0</v>
      </c>
      <c r="E523" s="32">
        <v>40830</v>
      </c>
      <c r="F523" s="24" t="s">
        <v>393</v>
      </c>
      <c r="G523" s="24">
        <v>40833</v>
      </c>
      <c r="H523" s="134">
        <v>216</v>
      </c>
      <c r="I523" s="23">
        <v>40817</v>
      </c>
      <c r="J523" s="37">
        <v>29</v>
      </c>
      <c r="K523" s="24" t="s">
        <v>549</v>
      </c>
      <c r="L523" s="24">
        <v>40817</v>
      </c>
      <c r="M523" s="32">
        <v>40739</v>
      </c>
      <c r="N523" s="22" t="s">
        <v>567</v>
      </c>
      <c r="O523" s="81">
        <v>9120256</v>
      </c>
      <c r="P523" s="22">
        <v>1220</v>
      </c>
      <c r="Q523" s="22">
        <v>50</v>
      </c>
      <c r="R523" s="22" t="s">
        <v>2759</v>
      </c>
      <c r="S523" s="55"/>
      <c r="T523" s="4"/>
      <c r="U523" s="94"/>
      <c r="V523" s="4"/>
      <c r="W523" s="92"/>
      <c r="X523" s="74"/>
      <c r="Y523" s="28" t="e">
        <v>#REF!</v>
      </c>
      <c r="Z523" s="9"/>
      <c r="AA523" s="24" t="s">
        <v>393</v>
      </c>
      <c r="AB523" s="28">
        <v>40833</v>
      </c>
    </row>
    <row r="524" spans="1:28" ht="14.25" customHeight="1" x14ac:dyDescent="0.4">
      <c r="A524">
        <v>488</v>
      </c>
      <c r="B524" s="34">
        <v>0</v>
      </c>
      <c r="C524" s="34" t="s">
        <v>2165</v>
      </c>
      <c r="D524" s="34">
        <v>0</v>
      </c>
      <c r="E524" s="32">
        <v>40914</v>
      </c>
      <c r="F524" s="24" t="s">
        <v>393</v>
      </c>
      <c r="G524" s="24">
        <v>40925</v>
      </c>
      <c r="H524" s="134">
        <v>382</v>
      </c>
      <c r="I524" s="23">
        <v>40909</v>
      </c>
      <c r="J524" s="37">
        <v>15</v>
      </c>
      <c r="K524" s="24" t="s">
        <v>549</v>
      </c>
      <c r="L524" s="24">
        <v>40848</v>
      </c>
      <c r="M524" s="32">
        <v>40661</v>
      </c>
      <c r="N524" s="22" t="s">
        <v>567</v>
      </c>
      <c r="O524" s="81">
        <v>9120258</v>
      </c>
      <c r="P524" s="22">
        <v>1020</v>
      </c>
      <c r="Q524" s="22">
        <v>42</v>
      </c>
      <c r="R524" s="22" t="s">
        <v>2760</v>
      </c>
      <c r="S524" s="4"/>
      <c r="T524" s="4"/>
      <c r="U524" s="44"/>
      <c r="V524" s="4"/>
      <c r="W524" s="4"/>
      <c r="X524" s="74"/>
      <c r="Y524" s="28" t="e">
        <v>#REF!</v>
      </c>
      <c r="Z524" s="28"/>
      <c r="AA524" s="24" t="s">
        <v>393</v>
      </c>
      <c r="AB524" s="28">
        <v>40925</v>
      </c>
    </row>
    <row r="525" spans="1:28" ht="14.25" customHeight="1" x14ac:dyDescent="0.4">
      <c r="A525">
        <v>489</v>
      </c>
      <c r="B525" s="32">
        <v>40869</v>
      </c>
      <c r="C525" s="32">
        <v>40869</v>
      </c>
      <c r="D525" s="32">
        <v>40869</v>
      </c>
      <c r="E525" s="32">
        <v>40869</v>
      </c>
      <c r="F525" s="24" t="s">
        <v>393</v>
      </c>
      <c r="G525" s="24">
        <v>40877</v>
      </c>
      <c r="H525" s="134">
        <v>301</v>
      </c>
      <c r="I525" s="23">
        <v>40848</v>
      </c>
      <c r="J525" s="37">
        <v>50</v>
      </c>
      <c r="K525" s="24" t="s">
        <v>549</v>
      </c>
      <c r="L525" s="24">
        <v>40848</v>
      </c>
      <c r="M525" s="32">
        <v>40661</v>
      </c>
      <c r="N525" s="22" t="s">
        <v>567</v>
      </c>
      <c r="O525" s="81">
        <v>9120259</v>
      </c>
      <c r="P525" s="22">
        <v>1020</v>
      </c>
      <c r="Q525" s="22">
        <v>42</v>
      </c>
      <c r="R525" s="22" t="s">
        <v>2761</v>
      </c>
      <c r="S525" s="4"/>
      <c r="T525" s="4" t="s">
        <v>404</v>
      </c>
      <c r="U525" s="44">
        <v>40737</v>
      </c>
      <c r="V525" s="4" t="s">
        <v>404</v>
      </c>
      <c r="W525" s="9">
        <v>40894</v>
      </c>
      <c r="X525" s="74">
        <v>0</v>
      </c>
      <c r="Y525" s="28" t="e">
        <v>#REF!</v>
      </c>
      <c r="Z525" s="9"/>
      <c r="AA525" s="24" t="s">
        <v>393</v>
      </c>
      <c r="AB525" s="28">
        <v>40877</v>
      </c>
    </row>
    <row r="526" spans="1:28" ht="14.25" customHeight="1" x14ac:dyDescent="0.4">
      <c r="A526">
        <v>491</v>
      </c>
      <c r="B526" s="34">
        <v>0</v>
      </c>
      <c r="C526" s="34" t="s">
        <v>2165</v>
      </c>
      <c r="D526" s="34">
        <v>0</v>
      </c>
      <c r="E526" s="32">
        <v>40953</v>
      </c>
      <c r="F526" s="24" t="s">
        <v>392</v>
      </c>
      <c r="G526" s="24">
        <v>40963</v>
      </c>
      <c r="H526" s="134">
        <v>461</v>
      </c>
      <c r="I526" s="23">
        <v>40940</v>
      </c>
      <c r="J526" s="37">
        <v>31</v>
      </c>
      <c r="K526" s="24" t="s">
        <v>549</v>
      </c>
      <c r="L526" s="24">
        <v>40848</v>
      </c>
      <c r="M526" s="32">
        <v>40661</v>
      </c>
      <c r="N526" s="22" t="s">
        <v>567</v>
      </c>
      <c r="O526" s="81">
        <v>9120261</v>
      </c>
      <c r="P526" s="22">
        <v>1020</v>
      </c>
      <c r="Q526" s="22">
        <v>50</v>
      </c>
      <c r="R526" s="22" t="s">
        <v>2762</v>
      </c>
      <c r="S526" s="38"/>
      <c r="T526" s="4"/>
      <c r="U526" s="44"/>
      <c r="V526" s="4"/>
      <c r="W526" s="127"/>
      <c r="X526" s="74"/>
      <c r="Y526" s="28" t="e">
        <v>#REF!</v>
      </c>
      <c r="Z526" s="28"/>
      <c r="AA526" s="24" t="s">
        <v>392</v>
      </c>
      <c r="AB526" s="28">
        <v>40963</v>
      </c>
    </row>
    <row r="527" spans="1:28" ht="14.25" customHeight="1" x14ac:dyDescent="0.4">
      <c r="A527">
        <v>492</v>
      </c>
      <c r="B527" s="32">
        <v>40870</v>
      </c>
      <c r="C527" s="32">
        <v>40870</v>
      </c>
      <c r="D527" s="32">
        <v>40870</v>
      </c>
      <c r="E527" s="32">
        <v>40870</v>
      </c>
      <c r="F527" s="24" t="s">
        <v>393</v>
      </c>
      <c r="G527" s="24">
        <v>40885</v>
      </c>
      <c r="H527" s="134">
        <v>302</v>
      </c>
      <c r="I527" s="23">
        <v>40848</v>
      </c>
      <c r="J527" s="37">
        <v>51</v>
      </c>
      <c r="K527" s="24" t="s">
        <v>549</v>
      </c>
      <c r="L527" s="24">
        <v>40848</v>
      </c>
      <c r="M527" s="32">
        <v>40661</v>
      </c>
      <c r="N527" s="22" t="s">
        <v>567</v>
      </c>
      <c r="O527" s="81">
        <v>9120262</v>
      </c>
      <c r="P527" s="22">
        <v>720</v>
      </c>
      <c r="Q527" s="22">
        <v>42</v>
      </c>
      <c r="R527" s="22" t="s">
        <v>2763</v>
      </c>
      <c r="S527" s="4"/>
      <c r="T527" s="4" t="s">
        <v>404</v>
      </c>
      <c r="U527" s="44">
        <v>40960</v>
      </c>
      <c r="V527" s="4" t="s">
        <v>404</v>
      </c>
      <c r="W527" s="127">
        <v>40975</v>
      </c>
      <c r="X527" s="74"/>
      <c r="Y527" s="28" t="e">
        <v>#REF!</v>
      </c>
      <c r="Z527" s="9"/>
      <c r="AA527" s="24" t="s">
        <v>393</v>
      </c>
      <c r="AB527" s="28">
        <v>40885</v>
      </c>
    </row>
    <row r="528" spans="1:28" ht="14.25" customHeight="1" x14ac:dyDescent="0.4">
      <c r="A528">
        <v>493</v>
      </c>
      <c r="B528" s="32">
        <v>40870</v>
      </c>
      <c r="C528" s="32">
        <v>40870</v>
      </c>
      <c r="D528" s="32">
        <v>40870</v>
      </c>
      <c r="E528" s="32">
        <v>40870</v>
      </c>
      <c r="F528" s="24" t="s">
        <v>393</v>
      </c>
      <c r="G528" s="24">
        <v>40889</v>
      </c>
      <c r="H528" s="134">
        <v>303</v>
      </c>
      <c r="I528" s="23">
        <v>40848</v>
      </c>
      <c r="J528" s="37">
        <v>52</v>
      </c>
      <c r="K528" s="24" t="s">
        <v>549</v>
      </c>
      <c r="L528" s="24">
        <v>40848</v>
      </c>
      <c r="M528" s="32">
        <v>40661</v>
      </c>
      <c r="N528" s="22" t="s">
        <v>567</v>
      </c>
      <c r="O528" s="81">
        <v>9120263</v>
      </c>
      <c r="P528" s="22">
        <v>720</v>
      </c>
      <c r="Q528" s="22">
        <v>42</v>
      </c>
      <c r="R528" s="22" t="s">
        <v>2764</v>
      </c>
      <c r="S528" s="4"/>
      <c r="T528" s="4" t="s">
        <v>404</v>
      </c>
      <c r="U528" s="44">
        <v>40963</v>
      </c>
      <c r="V528" s="4" t="s">
        <v>404</v>
      </c>
      <c r="W528" s="127">
        <v>40976</v>
      </c>
      <c r="X528" s="74"/>
      <c r="Y528" s="28" t="e">
        <v>#REF!</v>
      </c>
      <c r="Z528" s="9"/>
      <c r="AA528" s="24" t="s">
        <v>393</v>
      </c>
      <c r="AB528" s="28">
        <v>40889</v>
      </c>
    </row>
    <row r="529" spans="1:28" ht="14.25" customHeight="1" x14ac:dyDescent="0.4">
      <c r="A529">
        <v>494</v>
      </c>
      <c r="B529" s="32">
        <v>40956</v>
      </c>
      <c r="C529" s="32">
        <v>40956</v>
      </c>
      <c r="D529" s="32">
        <v>40956</v>
      </c>
      <c r="E529" s="32">
        <v>40956</v>
      </c>
      <c r="F529" s="24" t="s">
        <v>393</v>
      </c>
      <c r="G529" s="24">
        <v>40961</v>
      </c>
      <c r="H529" s="35">
        <v>466</v>
      </c>
      <c r="I529" s="23">
        <v>40940</v>
      </c>
      <c r="J529" s="37">
        <v>36</v>
      </c>
      <c r="K529" s="24" t="s">
        <v>549</v>
      </c>
      <c r="L529" s="24">
        <v>40878</v>
      </c>
      <c r="M529" s="32">
        <v>40661</v>
      </c>
      <c r="N529" s="22" t="s">
        <v>567</v>
      </c>
      <c r="O529" s="81">
        <v>9120264</v>
      </c>
      <c r="P529" s="22">
        <v>1020</v>
      </c>
      <c r="Q529" s="22">
        <v>50</v>
      </c>
      <c r="R529" s="22" t="s">
        <v>2765</v>
      </c>
      <c r="T529" s="4" t="s">
        <v>404</v>
      </c>
      <c r="U529" s="164">
        <v>41145</v>
      </c>
      <c r="V529" s="4" t="s">
        <v>404</v>
      </c>
      <c r="W529" s="43">
        <v>41164</v>
      </c>
      <c r="Y529" s="28" t="e">
        <v>#REF!</v>
      </c>
      <c r="AA529" s="24" t="s">
        <v>393</v>
      </c>
      <c r="AB529" s="28">
        <v>40961</v>
      </c>
    </row>
    <row r="530" spans="1:28" ht="14.25" customHeight="1" x14ac:dyDescent="0.4">
      <c r="A530">
        <v>495</v>
      </c>
      <c r="B530" s="32">
        <v>40913</v>
      </c>
      <c r="C530" s="32">
        <v>40913</v>
      </c>
      <c r="D530" s="32">
        <v>40913</v>
      </c>
      <c r="E530" s="32">
        <v>40913</v>
      </c>
      <c r="F530" s="24" t="s">
        <v>393</v>
      </c>
      <c r="G530" s="24">
        <v>40931</v>
      </c>
      <c r="H530" s="134">
        <v>377</v>
      </c>
      <c r="I530" s="23">
        <v>40909</v>
      </c>
      <c r="J530" s="37">
        <v>10</v>
      </c>
      <c r="K530" s="24" t="s">
        <v>549</v>
      </c>
      <c r="L530" s="24">
        <v>40878</v>
      </c>
      <c r="M530" s="32">
        <v>40724</v>
      </c>
      <c r="N530" s="22" t="s">
        <v>567</v>
      </c>
      <c r="O530" s="81">
        <v>9120265</v>
      </c>
      <c r="P530" s="22">
        <v>1020</v>
      </c>
      <c r="Q530" s="22">
        <v>42</v>
      </c>
      <c r="R530" s="22" t="s">
        <v>2766</v>
      </c>
      <c r="S530" s="4"/>
      <c r="T530" s="4" t="s">
        <v>404</v>
      </c>
      <c r="U530" s="44">
        <v>40792</v>
      </c>
      <c r="V530" s="4" t="s">
        <v>404</v>
      </c>
      <c r="W530" s="57">
        <v>41163</v>
      </c>
      <c r="X530" s="74"/>
      <c r="Y530" s="28" t="e">
        <v>#REF!</v>
      </c>
      <c r="Z530" s="28"/>
      <c r="AA530" s="24" t="s">
        <v>393</v>
      </c>
      <c r="AB530" s="28">
        <v>40931</v>
      </c>
    </row>
    <row r="531" spans="1:28" ht="14.25" customHeight="1" x14ac:dyDescent="0.4">
      <c r="A531">
        <v>496</v>
      </c>
      <c r="B531" s="32">
        <v>40913</v>
      </c>
      <c r="C531" s="32">
        <v>40913</v>
      </c>
      <c r="D531" s="32">
        <v>40913</v>
      </c>
      <c r="E531" s="32">
        <v>40913</v>
      </c>
      <c r="F531" s="24" t="s">
        <v>393</v>
      </c>
      <c r="G531" s="24">
        <v>40921</v>
      </c>
      <c r="H531" s="134">
        <v>378</v>
      </c>
      <c r="I531" s="23">
        <v>40909</v>
      </c>
      <c r="J531" s="37">
        <v>11</v>
      </c>
      <c r="K531" s="24" t="s">
        <v>549</v>
      </c>
      <c r="L531" s="24">
        <v>40878</v>
      </c>
      <c r="M531" s="32">
        <v>40661</v>
      </c>
      <c r="N531" s="22" t="s">
        <v>567</v>
      </c>
      <c r="O531" s="81">
        <v>9120266</v>
      </c>
      <c r="P531" s="22">
        <v>1020</v>
      </c>
      <c r="Q531" s="22">
        <v>42</v>
      </c>
      <c r="R531" s="22" t="s">
        <v>2767</v>
      </c>
      <c r="S531" s="4"/>
      <c r="T531" s="4" t="s">
        <v>404</v>
      </c>
      <c r="U531" s="44">
        <v>40725</v>
      </c>
      <c r="V531" s="4" t="s">
        <v>404</v>
      </c>
      <c r="W531" s="9">
        <v>40969</v>
      </c>
      <c r="X531" s="74">
        <v>0</v>
      </c>
      <c r="Y531" s="28" t="e">
        <v>#REF!</v>
      </c>
      <c r="Z531" s="9"/>
      <c r="AA531" s="24" t="s">
        <v>393</v>
      </c>
      <c r="AB531" s="28">
        <v>40921</v>
      </c>
    </row>
    <row r="532" spans="1:28" ht="14.25" customHeight="1" x14ac:dyDescent="0.4">
      <c r="A532">
        <v>497</v>
      </c>
      <c r="B532" s="34">
        <v>0</v>
      </c>
      <c r="C532" s="34">
        <v>0</v>
      </c>
      <c r="D532" s="34">
        <v>0</v>
      </c>
      <c r="E532" s="32">
        <v>40948</v>
      </c>
      <c r="F532" s="24" t="s">
        <v>393</v>
      </c>
      <c r="G532" s="24">
        <v>40955</v>
      </c>
      <c r="H532" s="134">
        <v>452</v>
      </c>
      <c r="I532" s="23">
        <v>40940</v>
      </c>
      <c r="J532" s="37">
        <v>22</v>
      </c>
      <c r="K532" s="24" t="s">
        <v>549</v>
      </c>
      <c r="L532" s="24">
        <v>40909</v>
      </c>
      <c r="M532" s="32">
        <v>40661</v>
      </c>
      <c r="N532" s="22" t="s">
        <v>567</v>
      </c>
      <c r="O532" s="81">
        <v>9120267</v>
      </c>
      <c r="P532" s="22">
        <v>720</v>
      </c>
      <c r="Q532" s="22">
        <v>50</v>
      </c>
      <c r="R532" s="22" t="s">
        <v>2768</v>
      </c>
      <c r="S532" s="4"/>
      <c r="T532" s="4" t="s">
        <v>404</v>
      </c>
      <c r="U532" s="44">
        <v>40899</v>
      </c>
      <c r="V532" s="4" t="s">
        <v>404</v>
      </c>
      <c r="W532" s="9">
        <v>40968</v>
      </c>
      <c r="X532" s="74"/>
      <c r="Y532" s="28" t="e">
        <v>#REF!</v>
      </c>
      <c r="Z532" s="9"/>
      <c r="AA532" s="24" t="s">
        <v>393</v>
      </c>
      <c r="AB532" s="28">
        <v>40955</v>
      </c>
    </row>
    <row r="533" spans="1:28" ht="14.25" customHeight="1" x14ac:dyDescent="0.4">
      <c r="A533">
        <v>498</v>
      </c>
      <c r="B533" s="34">
        <v>0</v>
      </c>
      <c r="C533" s="34">
        <v>0</v>
      </c>
      <c r="D533" s="34">
        <v>0</v>
      </c>
      <c r="E533" s="32">
        <v>40941</v>
      </c>
      <c r="F533" s="24" t="s">
        <v>393</v>
      </c>
      <c r="G533" s="24">
        <v>40948</v>
      </c>
      <c r="H533" s="134">
        <v>439</v>
      </c>
      <c r="I533" s="23">
        <v>40940</v>
      </c>
      <c r="J533" s="37">
        <v>9</v>
      </c>
      <c r="K533" s="24" t="s">
        <v>549</v>
      </c>
      <c r="L533" s="24">
        <v>40909</v>
      </c>
      <c r="M533" s="32">
        <v>40661</v>
      </c>
      <c r="N533" s="22" t="s">
        <v>567</v>
      </c>
      <c r="O533" s="81">
        <v>9120268</v>
      </c>
      <c r="P533" s="22">
        <v>720</v>
      </c>
      <c r="Q533" s="22">
        <v>42</v>
      </c>
      <c r="R533" s="22" t="s">
        <v>2769</v>
      </c>
      <c r="S533" s="4"/>
      <c r="T533" s="4" t="s">
        <v>404</v>
      </c>
      <c r="U533" s="44">
        <v>40973</v>
      </c>
      <c r="V533" s="4" t="s">
        <v>404</v>
      </c>
      <c r="W533" s="57">
        <v>41001</v>
      </c>
      <c r="Y533" s="28" t="e">
        <v>#REF!</v>
      </c>
      <c r="Z533" s="28"/>
      <c r="AA533" s="24" t="s">
        <v>393</v>
      </c>
      <c r="AB533" s="28">
        <v>40948</v>
      </c>
    </row>
    <row r="534" spans="1:28" ht="14.25" customHeight="1" x14ac:dyDescent="0.4">
      <c r="A534">
        <v>499</v>
      </c>
      <c r="B534" s="34">
        <v>0</v>
      </c>
      <c r="C534" s="34">
        <v>0</v>
      </c>
      <c r="D534" s="34">
        <v>0</v>
      </c>
      <c r="E534" s="32">
        <v>40918</v>
      </c>
      <c r="F534" s="24" t="s">
        <v>393</v>
      </c>
      <c r="G534" s="24">
        <v>40921</v>
      </c>
      <c r="H534" s="134">
        <v>387</v>
      </c>
      <c r="I534" s="23">
        <v>40909</v>
      </c>
      <c r="J534" s="37">
        <v>20</v>
      </c>
      <c r="K534" s="24" t="s">
        <v>549</v>
      </c>
      <c r="L534" s="24">
        <v>40909</v>
      </c>
      <c r="M534" s="32">
        <v>40661</v>
      </c>
      <c r="N534" s="22" t="s">
        <v>567</v>
      </c>
      <c r="O534" s="81">
        <v>9120269</v>
      </c>
      <c r="P534" s="22">
        <v>720</v>
      </c>
      <c r="Q534" s="22">
        <v>42</v>
      </c>
      <c r="R534" s="22" t="s">
        <v>2770</v>
      </c>
      <c r="S534" s="4"/>
      <c r="T534" s="4" t="s">
        <v>404</v>
      </c>
      <c r="U534" s="42">
        <v>40837</v>
      </c>
      <c r="V534" s="4" t="s">
        <v>404</v>
      </c>
      <c r="W534" s="28">
        <v>40938</v>
      </c>
      <c r="X534" s="74"/>
      <c r="Y534" s="28" t="e">
        <v>#REF!</v>
      </c>
      <c r="Z534" s="28"/>
      <c r="AA534" s="24" t="s">
        <v>393</v>
      </c>
      <c r="AB534" s="28">
        <v>40921</v>
      </c>
    </row>
    <row r="535" spans="1:28" ht="14.25" customHeight="1" x14ac:dyDescent="0.4">
      <c r="A535">
        <v>500</v>
      </c>
      <c r="B535" s="34">
        <v>0</v>
      </c>
      <c r="C535" s="34" t="s">
        <v>2165</v>
      </c>
      <c r="D535" s="34">
        <v>0</v>
      </c>
      <c r="E535" s="32">
        <v>41022</v>
      </c>
      <c r="F535" s="24" t="s">
        <v>393</v>
      </c>
      <c r="G535" s="24">
        <v>41025</v>
      </c>
      <c r="H535" s="134">
        <v>561</v>
      </c>
      <c r="I535" s="23">
        <v>41000</v>
      </c>
      <c r="J535" s="37">
        <v>20</v>
      </c>
      <c r="K535" s="24" t="s">
        <v>549</v>
      </c>
      <c r="L535" s="24">
        <v>0</v>
      </c>
      <c r="M535" s="32">
        <v>40974</v>
      </c>
      <c r="N535" s="22" t="s">
        <v>567</v>
      </c>
      <c r="O535" s="4">
        <v>9120573</v>
      </c>
      <c r="P535" s="22">
        <v>720</v>
      </c>
      <c r="Q535" s="22">
        <v>42</v>
      </c>
      <c r="R535" s="22" t="s">
        <v>2771</v>
      </c>
      <c r="T535" s="3" t="s">
        <v>404</v>
      </c>
      <c r="U535" s="164">
        <v>41019</v>
      </c>
      <c r="V535" s="1" t="s">
        <v>404</v>
      </c>
      <c r="W535" s="43">
        <v>41036</v>
      </c>
      <c r="Y535" s="28" t="e">
        <v>#REF!</v>
      </c>
      <c r="AA535" s="24" t="s">
        <v>393</v>
      </c>
      <c r="AB535" s="28">
        <v>41025</v>
      </c>
    </row>
    <row r="536" spans="1:28" ht="14.25" customHeight="1" x14ac:dyDescent="0.4">
      <c r="A536">
        <v>501</v>
      </c>
      <c r="B536" s="34">
        <v>0</v>
      </c>
      <c r="C536" s="34">
        <v>0</v>
      </c>
      <c r="D536" s="34">
        <v>0</v>
      </c>
      <c r="E536" s="32">
        <v>41022</v>
      </c>
      <c r="F536" s="24" t="s">
        <v>393</v>
      </c>
      <c r="G536" s="24">
        <v>41039</v>
      </c>
      <c r="H536" s="134">
        <v>562</v>
      </c>
      <c r="I536" s="23">
        <v>41000</v>
      </c>
      <c r="J536" s="37">
        <v>21</v>
      </c>
      <c r="K536" s="24" t="s">
        <v>549</v>
      </c>
      <c r="L536" s="24">
        <v>0</v>
      </c>
      <c r="M536" s="32">
        <v>40974</v>
      </c>
      <c r="N536" s="22" t="s">
        <v>567</v>
      </c>
      <c r="O536" s="4">
        <v>9120574</v>
      </c>
      <c r="P536" s="22">
        <v>720</v>
      </c>
      <c r="Q536" s="22">
        <v>42</v>
      </c>
      <c r="R536" s="22" t="s">
        <v>2772</v>
      </c>
      <c r="T536" s="3" t="s">
        <v>404</v>
      </c>
      <c r="U536" s="164">
        <v>41092</v>
      </c>
      <c r="V536" s="1" t="s">
        <v>404</v>
      </c>
      <c r="W536" s="43">
        <v>41102</v>
      </c>
      <c r="Y536" s="28" t="e">
        <v>#REF!</v>
      </c>
      <c r="AA536" s="24" t="s">
        <v>393</v>
      </c>
      <c r="AB536" s="28">
        <v>41039</v>
      </c>
    </row>
    <row r="537" spans="1:28" ht="14.25" customHeight="1" x14ac:dyDescent="0.4">
      <c r="A537">
        <v>502</v>
      </c>
      <c r="B537" s="34">
        <v>0</v>
      </c>
      <c r="C537" s="34">
        <v>0</v>
      </c>
      <c r="D537" s="34">
        <v>0</v>
      </c>
      <c r="E537" s="32">
        <v>40819</v>
      </c>
      <c r="F537" s="24" t="s">
        <v>393</v>
      </c>
      <c r="G537" s="24">
        <v>40823</v>
      </c>
      <c r="H537" s="134">
        <v>186</v>
      </c>
      <c r="I537" s="23">
        <v>40787</v>
      </c>
      <c r="J537" s="37">
        <v>62</v>
      </c>
      <c r="K537" s="24" t="s">
        <v>410</v>
      </c>
      <c r="L537" s="24">
        <v>0</v>
      </c>
      <c r="M537" s="32">
        <v>40801</v>
      </c>
      <c r="N537" s="22" t="s">
        <v>1109</v>
      </c>
      <c r="O537" s="4">
        <v>9120181</v>
      </c>
      <c r="P537" s="22">
        <v>1020</v>
      </c>
      <c r="Q537" s="22">
        <v>50</v>
      </c>
      <c r="R537" s="22" t="s">
        <v>694</v>
      </c>
      <c r="S537" s="4"/>
      <c r="T537" s="4" t="s">
        <v>404</v>
      </c>
      <c r="U537" s="164">
        <v>41005</v>
      </c>
      <c r="V537" s="4" t="s">
        <v>404</v>
      </c>
      <c r="W537" s="57">
        <v>41005</v>
      </c>
      <c r="X537" s="74"/>
      <c r="Y537" s="28" t="e">
        <v>#REF!</v>
      </c>
      <c r="Z537" s="9"/>
      <c r="AA537" s="24" t="s">
        <v>393</v>
      </c>
      <c r="AB537" s="28">
        <v>40823</v>
      </c>
    </row>
    <row r="538" spans="1:28" ht="14.25" customHeight="1" x14ac:dyDescent="0.4">
      <c r="A538">
        <v>503</v>
      </c>
      <c r="B538" s="34">
        <v>0</v>
      </c>
      <c r="C538" s="34">
        <v>0</v>
      </c>
      <c r="D538" s="34">
        <v>0</v>
      </c>
      <c r="E538" s="32">
        <v>40820</v>
      </c>
      <c r="F538" s="24" t="s">
        <v>393</v>
      </c>
      <c r="G538" s="24">
        <v>40823</v>
      </c>
      <c r="H538" s="134">
        <v>187</v>
      </c>
      <c r="I538" s="23">
        <v>40787</v>
      </c>
      <c r="J538" s="37">
        <v>63</v>
      </c>
      <c r="K538" s="24" t="s">
        <v>410</v>
      </c>
      <c r="L538" s="24">
        <v>0</v>
      </c>
      <c r="M538" s="32">
        <v>40801</v>
      </c>
      <c r="N538" s="22" t="s">
        <v>1109</v>
      </c>
      <c r="O538" s="4">
        <v>9120182</v>
      </c>
      <c r="P538" s="22">
        <v>1020</v>
      </c>
      <c r="Q538" s="22">
        <v>50</v>
      </c>
      <c r="R538" s="22" t="s">
        <v>696</v>
      </c>
      <c r="S538" s="4"/>
      <c r="T538" s="4" t="s">
        <v>404</v>
      </c>
      <c r="U538" s="88">
        <v>41005</v>
      </c>
      <c r="V538" s="4"/>
      <c r="W538" s="89"/>
      <c r="X538" s="84"/>
      <c r="Y538" s="28" t="e">
        <v>#REF!</v>
      </c>
      <c r="Z538" s="28"/>
      <c r="AA538" s="24" t="s">
        <v>393</v>
      </c>
      <c r="AB538" s="28">
        <v>40823</v>
      </c>
    </row>
    <row r="539" spans="1:28" ht="14.25" customHeight="1" x14ac:dyDescent="0.4">
      <c r="A539">
        <v>504</v>
      </c>
      <c r="B539" s="34">
        <v>0</v>
      </c>
      <c r="C539" s="34">
        <v>0</v>
      </c>
      <c r="D539" s="34">
        <v>0</v>
      </c>
      <c r="E539" s="32">
        <v>40924</v>
      </c>
      <c r="F539" s="24" t="s">
        <v>393</v>
      </c>
      <c r="G539" s="24">
        <v>40933</v>
      </c>
      <c r="H539" s="134">
        <v>399</v>
      </c>
      <c r="I539" s="23">
        <v>40909</v>
      </c>
      <c r="J539" s="37">
        <v>32</v>
      </c>
      <c r="K539" s="24" t="s">
        <v>410</v>
      </c>
      <c r="L539" s="24">
        <v>0</v>
      </c>
      <c r="M539" s="32">
        <v>40801</v>
      </c>
      <c r="N539" s="22" t="s">
        <v>1109</v>
      </c>
      <c r="O539" s="4">
        <v>9120186</v>
      </c>
      <c r="P539" s="22">
        <v>1020</v>
      </c>
      <c r="Q539" s="22">
        <v>50</v>
      </c>
      <c r="R539" s="22" t="s">
        <v>698</v>
      </c>
      <c r="S539" s="4"/>
      <c r="T539" s="4" t="s">
        <v>404</v>
      </c>
      <c r="U539" s="44">
        <v>41005</v>
      </c>
      <c r="V539" s="4" t="s">
        <v>404</v>
      </c>
      <c r="W539" s="9">
        <v>41068</v>
      </c>
      <c r="Y539" s="28" t="e">
        <v>#REF!</v>
      </c>
      <c r="Z539" s="28"/>
      <c r="AA539" s="24" t="s">
        <v>393</v>
      </c>
      <c r="AB539" s="28">
        <v>40933</v>
      </c>
    </row>
    <row r="540" spans="1:28" ht="14.25" customHeight="1" x14ac:dyDescent="0.4">
      <c r="A540">
        <v>505</v>
      </c>
      <c r="B540" s="32">
        <v>40924</v>
      </c>
      <c r="C540" s="32">
        <v>40924</v>
      </c>
      <c r="D540" s="32">
        <v>40924</v>
      </c>
      <c r="E540" s="32">
        <v>40924</v>
      </c>
      <c r="F540" s="24" t="s">
        <v>393</v>
      </c>
      <c r="G540" s="24">
        <v>40927</v>
      </c>
      <c r="H540" s="35">
        <v>400</v>
      </c>
      <c r="I540" s="23">
        <v>40909</v>
      </c>
      <c r="J540" s="37">
        <v>33</v>
      </c>
      <c r="K540" s="24" t="s">
        <v>410</v>
      </c>
      <c r="L540" s="24">
        <v>0</v>
      </c>
      <c r="M540" s="32">
        <v>40801</v>
      </c>
      <c r="N540" s="22" t="s">
        <v>1109</v>
      </c>
      <c r="O540" s="4">
        <v>9120480</v>
      </c>
      <c r="P540" s="22">
        <v>1020</v>
      </c>
      <c r="Q540" s="22">
        <v>50</v>
      </c>
      <c r="R540" s="22" t="s">
        <v>699</v>
      </c>
      <c r="T540" s="4" t="s">
        <v>404</v>
      </c>
      <c r="U540" s="164">
        <v>41026</v>
      </c>
      <c r="V540" s="4" t="s">
        <v>404</v>
      </c>
      <c r="W540" s="62">
        <v>41027</v>
      </c>
      <c r="Y540" s="28" t="e">
        <v>#REF!</v>
      </c>
      <c r="AA540" s="24" t="s">
        <v>393</v>
      </c>
      <c r="AB540" s="28">
        <v>40927</v>
      </c>
    </row>
    <row r="541" spans="1:28" ht="14.25" customHeight="1" x14ac:dyDescent="0.4">
      <c r="A541">
        <v>506</v>
      </c>
      <c r="B541" s="32">
        <v>40925</v>
      </c>
      <c r="C541" s="32">
        <v>40925</v>
      </c>
      <c r="D541" s="32">
        <v>40925</v>
      </c>
      <c r="E541" s="32">
        <v>40925</v>
      </c>
      <c r="F541" s="24" t="s">
        <v>393</v>
      </c>
      <c r="G541" s="24">
        <v>40927</v>
      </c>
      <c r="H541" s="35">
        <v>401</v>
      </c>
      <c r="I541" s="23">
        <v>40909</v>
      </c>
      <c r="J541" s="37">
        <v>34</v>
      </c>
      <c r="K541" s="24" t="s">
        <v>410</v>
      </c>
      <c r="L541" s="24">
        <v>0</v>
      </c>
      <c r="M541" s="32">
        <v>40801</v>
      </c>
      <c r="N541" s="22" t="s">
        <v>1109</v>
      </c>
      <c r="O541" s="4">
        <v>9120481</v>
      </c>
      <c r="P541" s="22">
        <v>1020</v>
      </c>
      <c r="Q541" s="22">
        <v>50</v>
      </c>
      <c r="R541" s="22" t="s">
        <v>846</v>
      </c>
      <c r="T541" s="4"/>
      <c r="U541" s="164"/>
      <c r="V541" s="4"/>
      <c r="Y541" s="28" t="e">
        <v>#REF!</v>
      </c>
      <c r="AA541" s="24" t="s">
        <v>393</v>
      </c>
      <c r="AB541" s="28">
        <v>40927</v>
      </c>
    </row>
    <row r="542" spans="1:28" ht="14.25" customHeight="1" x14ac:dyDescent="0.4">
      <c r="A542">
        <v>507</v>
      </c>
      <c r="B542" s="32">
        <v>40925</v>
      </c>
      <c r="C542" s="32">
        <v>40925</v>
      </c>
      <c r="D542" s="32">
        <v>40925</v>
      </c>
      <c r="E542" s="32">
        <v>40925</v>
      </c>
      <c r="F542" s="24" t="s">
        <v>393</v>
      </c>
      <c r="G542" s="24">
        <v>40928</v>
      </c>
      <c r="H542" s="35">
        <v>402</v>
      </c>
      <c r="I542" s="23">
        <v>40909</v>
      </c>
      <c r="J542" s="37">
        <v>35</v>
      </c>
      <c r="K542" s="24" t="s">
        <v>410</v>
      </c>
      <c r="L542" s="24">
        <v>0</v>
      </c>
      <c r="M542" s="32">
        <v>40801</v>
      </c>
      <c r="N542" s="22" t="s">
        <v>1109</v>
      </c>
      <c r="O542" s="4">
        <v>9120482</v>
      </c>
      <c r="P542" s="22">
        <v>1020</v>
      </c>
      <c r="Q542" s="22">
        <v>50</v>
      </c>
      <c r="R542" s="22" t="s">
        <v>1575</v>
      </c>
      <c r="T542" s="4" t="s">
        <v>404</v>
      </c>
      <c r="U542" s="164">
        <v>41067</v>
      </c>
      <c r="V542" s="4" t="s">
        <v>404</v>
      </c>
      <c r="W542" s="62">
        <v>41068</v>
      </c>
      <c r="Y542" s="28" t="e">
        <v>#REF!</v>
      </c>
      <c r="AA542" s="24" t="s">
        <v>393</v>
      </c>
      <c r="AB542" s="28">
        <v>40928</v>
      </c>
    </row>
    <row r="543" spans="1:28" ht="14.25" customHeight="1" x14ac:dyDescent="0.4">
      <c r="A543">
        <v>508</v>
      </c>
      <c r="B543" s="32">
        <v>40925</v>
      </c>
      <c r="C543" s="32">
        <v>40925</v>
      </c>
      <c r="D543" s="32">
        <v>40925</v>
      </c>
      <c r="E543" s="32">
        <v>40925</v>
      </c>
      <c r="F543" s="24" t="s">
        <v>393</v>
      </c>
      <c r="G543" s="24">
        <v>40928</v>
      </c>
      <c r="H543" s="35">
        <v>403</v>
      </c>
      <c r="I543" s="23">
        <v>40909</v>
      </c>
      <c r="J543" s="37">
        <v>36</v>
      </c>
      <c r="K543" s="24" t="s">
        <v>410</v>
      </c>
      <c r="L543" s="24">
        <v>0</v>
      </c>
      <c r="M543" s="32">
        <v>40801</v>
      </c>
      <c r="N543" s="22" t="s">
        <v>1109</v>
      </c>
      <c r="O543" s="4">
        <v>9120483</v>
      </c>
      <c r="P543" s="22">
        <v>1020</v>
      </c>
      <c r="Q543" s="22">
        <v>50</v>
      </c>
      <c r="R543" s="22" t="s">
        <v>810</v>
      </c>
      <c r="T543" s="4"/>
      <c r="U543" s="164"/>
      <c r="V543" s="4"/>
      <c r="Y543" s="28" t="e">
        <v>#REF!</v>
      </c>
      <c r="AA543" s="24" t="s">
        <v>393</v>
      </c>
      <c r="AB543" s="28">
        <v>40928</v>
      </c>
    </row>
    <row r="544" spans="1:28" ht="14.25" customHeight="1" x14ac:dyDescent="0.4">
      <c r="A544">
        <v>509</v>
      </c>
      <c r="B544" s="32">
        <v>40813</v>
      </c>
      <c r="C544" s="32">
        <v>40813</v>
      </c>
      <c r="D544" s="32">
        <v>40813</v>
      </c>
      <c r="E544" s="32">
        <v>40813</v>
      </c>
      <c r="F544" s="24" t="s">
        <v>393</v>
      </c>
      <c r="G544" s="24">
        <v>40814</v>
      </c>
      <c r="H544" s="134">
        <v>174</v>
      </c>
      <c r="I544" s="23">
        <v>40787</v>
      </c>
      <c r="J544" s="37">
        <v>50</v>
      </c>
      <c r="K544" s="24" t="s">
        <v>410</v>
      </c>
      <c r="L544" s="24">
        <v>0</v>
      </c>
      <c r="M544" s="32">
        <v>40770</v>
      </c>
      <c r="N544" s="22" t="s">
        <v>1397</v>
      </c>
      <c r="O544" s="4">
        <v>9120465</v>
      </c>
      <c r="P544" s="22">
        <v>720</v>
      </c>
      <c r="Q544" s="22">
        <v>42</v>
      </c>
      <c r="R544" s="22">
        <v>0</v>
      </c>
      <c r="T544" s="4"/>
      <c r="U544" s="164"/>
      <c r="V544" s="4"/>
      <c r="Y544" s="28" t="e">
        <v>#REF!</v>
      </c>
      <c r="AA544" s="24" t="s">
        <v>393</v>
      </c>
      <c r="AB544" s="28">
        <v>40814</v>
      </c>
    </row>
    <row r="545" spans="1:28" ht="14.25" customHeight="1" x14ac:dyDescent="0.4">
      <c r="A545">
        <v>510</v>
      </c>
      <c r="B545" s="32">
        <v>40820</v>
      </c>
      <c r="C545" s="32">
        <v>40820</v>
      </c>
      <c r="D545" s="32">
        <v>40820</v>
      </c>
      <c r="E545" s="32">
        <v>40820</v>
      </c>
      <c r="F545" s="24" t="s">
        <v>393</v>
      </c>
      <c r="G545" s="24">
        <v>40829</v>
      </c>
      <c r="H545" s="134">
        <v>189</v>
      </c>
      <c r="I545" s="23">
        <v>40817</v>
      </c>
      <c r="J545" s="37">
        <v>2</v>
      </c>
      <c r="K545" s="24" t="s">
        <v>410</v>
      </c>
      <c r="L545" s="24">
        <v>40909</v>
      </c>
      <c r="M545" s="32">
        <v>40770</v>
      </c>
      <c r="N545" s="22" t="s">
        <v>1397</v>
      </c>
      <c r="O545" s="4">
        <v>9120466</v>
      </c>
      <c r="P545" s="22">
        <v>1020</v>
      </c>
      <c r="Q545" s="22">
        <v>42</v>
      </c>
      <c r="R545" s="22">
        <v>0</v>
      </c>
      <c r="T545" s="4" t="s">
        <v>404</v>
      </c>
      <c r="U545" s="164">
        <v>40998</v>
      </c>
      <c r="V545" s="4" t="s">
        <v>404</v>
      </c>
      <c r="W545" s="62">
        <v>41026</v>
      </c>
      <c r="Y545" s="28" t="e">
        <v>#REF!</v>
      </c>
      <c r="AA545" s="24" t="s">
        <v>393</v>
      </c>
      <c r="AB545" s="28">
        <v>40829</v>
      </c>
    </row>
    <row r="546" spans="1:28" ht="14.25" customHeight="1" x14ac:dyDescent="0.4">
      <c r="A546">
        <v>511</v>
      </c>
      <c r="B546" s="32">
        <v>40921</v>
      </c>
      <c r="C546" s="32">
        <v>40921</v>
      </c>
      <c r="D546" s="32">
        <v>40921</v>
      </c>
      <c r="E546" s="32">
        <v>40921</v>
      </c>
      <c r="F546" s="24" t="s">
        <v>393</v>
      </c>
      <c r="G546" s="24">
        <v>40927</v>
      </c>
      <c r="H546" s="35">
        <v>395</v>
      </c>
      <c r="I546" s="23">
        <v>40909</v>
      </c>
      <c r="J546" s="37">
        <v>28</v>
      </c>
      <c r="K546" s="24" t="s">
        <v>410</v>
      </c>
      <c r="L546" s="24">
        <v>40909</v>
      </c>
      <c r="M546" s="32">
        <v>40862</v>
      </c>
      <c r="N546" s="22" t="s">
        <v>1397</v>
      </c>
      <c r="O546" s="4">
        <v>9120484</v>
      </c>
      <c r="P546" s="22">
        <v>720</v>
      </c>
      <c r="Q546" s="22">
        <v>42</v>
      </c>
      <c r="R546" s="22" t="s">
        <v>2773</v>
      </c>
      <c r="T546" s="4"/>
      <c r="U546" s="164"/>
      <c r="V546" s="4"/>
      <c r="Y546" s="28" t="e">
        <v>#REF!</v>
      </c>
      <c r="AA546" s="24" t="s">
        <v>393</v>
      </c>
      <c r="AB546" s="28">
        <v>40927</v>
      </c>
    </row>
    <row r="547" spans="1:28" ht="14.25" customHeight="1" x14ac:dyDescent="0.4">
      <c r="A547">
        <v>512</v>
      </c>
      <c r="B547" s="32">
        <v>40924</v>
      </c>
      <c r="C547" s="32">
        <v>40924</v>
      </c>
      <c r="D547" s="32">
        <v>40924</v>
      </c>
      <c r="E547" s="32">
        <v>40924</v>
      </c>
      <c r="F547" s="24" t="s">
        <v>393</v>
      </c>
      <c r="G547" s="24">
        <v>40932</v>
      </c>
      <c r="H547" s="35">
        <v>398</v>
      </c>
      <c r="I547" s="23">
        <v>40909</v>
      </c>
      <c r="J547" s="37">
        <v>31</v>
      </c>
      <c r="K547" s="24" t="s">
        <v>410</v>
      </c>
      <c r="L547" s="24">
        <v>40909</v>
      </c>
      <c r="M547" s="32">
        <v>40862</v>
      </c>
      <c r="N547" s="22" t="s">
        <v>1397</v>
      </c>
      <c r="O547" s="4">
        <v>9120509</v>
      </c>
      <c r="P547" s="22">
        <v>720</v>
      </c>
      <c r="Q547" s="22">
        <v>42</v>
      </c>
      <c r="R547" s="22" t="s">
        <v>2774</v>
      </c>
      <c r="T547" s="4"/>
      <c r="U547" s="164"/>
      <c r="V547" s="4"/>
      <c r="Y547" s="28" t="e">
        <v>#REF!</v>
      </c>
      <c r="AA547" s="24" t="s">
        <v>393</v>
      </c>
      <c r="AB547" s="28">
        <v>40932</v>
      </c>
    </row>
    <row r="548" spans="1:28" ht="14.25" customHeight="1" x14ac:dyDescent="0.4">
      <c r="A548">
        <v>513</v>
      </c>
      <c r="B548" s="32">
        <v>40921</v>
      </c>
      <c r="C548" s="32">
        <v>40921</v>
      </c>
      <c r="D548" s="32">
        <v>40921</v>
      </c>
      <c r="E548" s="32">
        <v>40921</v>
      </c>
      <c r="F548" s="24" t="s">
        <v>393</v>
      </c>
      <c r="G548" s="24">
        <v>40931</v>
      </c>
      <c r="H548" s="35">
        <v>396</v>
      </c>
      <c r="I548" s="23">
        <v>40909</v>
      </c>
      <c r="J548" s="37">
        <v>29</v>
      </c>
      <c r="K548" s="24" t="s">
        <v>410</v>
      </c>
      <c r="L548" s="24">
        <v>40909</v>
      </c>
      <c r="M548" s="32">
        <v>40862</v>
      </c>
      <c r="N548" s="22" t="s">
        <v>1397</v>
      </c>
      <c r="O548" s="4">
        <v>9120510</v>
      </c>
      <c r="P548" s="22">
        <v>1020</v>
      </c>
      <c r="Q548" s="22">
        <v>42</v>
      </c>
      <c r="R548" s="22" t="s">
        <v>2774</v>
      </c>
      <c r="T548" s="4" t="s">
        <v>404</v>
      </c>
      <c r="U548" s="164">
        <v>41060</v>
      </c>
      <c r="V548" s="4" t="s">
        <v>404</v>
      </c>
      <c r="W548" s="62">
        <v>41060</v>
      </c>
      <c r="Y548" s="28" t="e">
        <v>#REF!</v>
      </c>
      <c r="AA548" s="24" t="s">
        <v>393</v>
      </c>
      <c r="AB548" s="28">
        <v>40931</v>
      </c>
    </row>
    <row r="549" spans="1:28" ht="14.25" customHeight="1" x14ac:dyDescent="0.4">
      <c r="A549">
        <v>514</v>
      </c>
      <c r="B549" s="32">
        <v>40921</v>
      </c>
      <c r="C549" s="32">
        <v>40921</v>
      </c>
      <c r="D549" s="32">
        <v>40921</v>
      </c>
      <c r="E549" s="32">
        <v>40921</v>
      </c>
      <c r="F549" s="24" t="s">
        <v>393</v>
      </c>
      <c r="G549" s="24">
        <v>40926</v>
      </c>
      <c r="H549" s="35">
        <v>397</v>
      </c>
      <c r="I549" s="23">
        <v>40909</v>
      </c>
      <c r="J549" s="37">
        <v>30</v>
      </c>
      <c r="K549" s="24" t="s">
        <v>410</v>
      </c>
      <c r="L549" s="24">
        <v>40909</v>
      </c>
      <c r="M549" s="32">
        <v>40862</v>
      </c>
      <c r="N549" s="22" t="s">
        <v>1397</v>
      </c>
      <c r="O549" s="4">
        <v>9120511</v>
      </c>
      <c r="P549" s="22">
        <v>1020</v>
      </c>
      <c r="Q549" s="22">
        <v>42</v>
      </c>
      <c r="R549" s="22" t="s">
        <v>2774</v>
      </c>
      <c r="T549" s="4" t="s">
        <v>404</v>
      </c>
      <c r="U549" s="164">
        <v>41005</v>
      </c>
      <c r="V549" s="4" t="s">
        <v>404</v>
      </c>
      <c r="W549" s="62">
        <v>41012</v>
      </c>
      <c r="Y549" s="28" t="e">
        <v>#REF!</v>
      </c>
      <c r="AA549" s="24" t="s">
        <v>393</v>
      </c>
      <c r="AB549" s="28">
        <v>40926</v>
      </c>
    </row>
    <row r="550" spans="1:28" ht="14.25" customHeight="1" x14ac:dyDescent="0.4">
      <c r="A550">
        <v>515</v>
      </c>
      <c r="B550" s="32">
        <v>40912</v>
      </c>
      <c r="C550" s="32">
        <v>40912</v>
      </c>
      <c r="D550" s="32">
        <v>40912</v>
      </c>
      <c r="E550" s="32">
        <v>40912</v>
      </c>
      <c r="F550" s="24" t="s">
        <v>393</v>
      </c>
      <c r="G550" s="24">
        <v>40918</v>
      </c>
      <c r="H550" s="35">
        <v>374</v>
      </c>
      <c r="I550" s="23">
        <v>40909</v>
      </c>
      <c r="J550" s="37">
        <v>7</v>
      </c>
      <c r="K550" s="24" t="s">
        <v>410</v>
      </c>
      <c r="L550" s="24">
        <v>40909</v>
      </c>
      <c r="M550" s="32">
        <v>40862</v>
      </c>
      <c r="N550" s="22" t="s">
        <v>1397</v>
      </c>
      <c r="O550" s="4">
        <v>9120512</v>
      </c>
      <c r="P550" s="22">
        <v>1020</v>
      </c>
      <c r="Q550" s="22">
        <v>42</v>
      </c>
      <c r="R550" s="22" t="s">
        <v>2774</v>
      </c>
      <c r="T550" s="4" t="s">
        <v>404</v>
      </c>
      <c r="U550" s="164">
        <v>41005</v>
      </c>
      <c r="V550" s="4" t="s">
        <v>404</v>
      </c>
      <c r="W550" s="62">
        <v>41011</v>
      </c>
      <c r="Y550" s="28" t="e">
        <v>#REF!</v>
      </c>
      <c r="AA550" s="24" t="s">
        <v>393</v>
      </c>
      <c r="AB550" s="28">
        <v>40918</v>
      </c>
    </row>
    <row r="551" spans="1:28" ht="14.25" customHeight="1" x14ac:dyDescent="0.4">
      <c r="A551">
        <v>604</v>
      </c>
      <c r="B551" s="34">
        <v>0</v>
      </c>
      <c r="C551" s="34">
        <v>0</v>
      </c>
      <c r="D551" s="34">
        <v>0</v>
      </c>
      <c r="E551" s="32">
        <v>41080</v>
      </c>
      <c r="F551" s="24" t="s">
        <v>393</v>
      </c>
      <c r="G551" s="24">
        <v>41087</v>
      </c>
      <c r="H551" s="134">
        <v>603</v>
      </c>
      <c r="I551" s="23">
        <v>41061</v>
      </c>
      <c r="J551" s="37">
        <v>13</v>
      </c>
      <c r="K551" s="24" t="s">
        <v>410</v>
      </c>
      <c r="L551" s="24">
        <v>0</v>
      </c>
      <c r="M551" s="32">
        <v>41072</v>
      </c>
      <c r="N551" s="22" t="s">
        <v>610</v>
      </c>
      <c r="O551" s="4">
        <v>9120604</v>
      </c>
      <c r="P551" s="22">
        <v>720</v>
      </c>
      <c r="Q551" s="22">
        <v>50</v>
      </c>
      <c r="R551" s="22">
        <v>1</v>
      </c>
      <c r="T551" s="4" t="s">
        <v>404</v>
      </c>
      <c r="U551" s="164">
        <v>41122</v>
      </c>
      <c r="V551" s="4" t="s">
        <v>404</v>
      </c>
      <c r="W551" s="62">
        <v>41124</v>
      </c>
      <c r="AA551" s="24" t="s">
        <v>393</v>
      </c>
      <c r="AB551" s="28">
        <v>41087</v>
      </c>
    </row>
    <row r="552" spans="1:28" ht="14.25" customHeight="1" x14ac:dyDescent="0.4">
      <c r="A552">
        <v>605</v>
      </c>
      <c r="B552" s="34">
        <v>0</v>
      </c>
      <c r="C552" s="34">
        <v>0</v>
      </c>
      <c r="D552" s="34">
        <v>0</v>
      </c>
      <c r="E552" s="32">
        <v>41080</v>
      </c>
      <c r="F552" s="24" t="s">
        <v>393</v>
      </c>
      <c r="G552" s="24">
        <v>41088</v>
      </c>
      <c r="H552" s="134">
        <v>604</v>
      </c>
      <c r="I552" s="23">
        <v>41061</v>
      </c>
      <c r="J552" s="37">
        <v>14</v>
      </c>
      <c r="K552" s="24" t="s">
        <v>410</v>
      </c>
      <c r="L552" s="24">
        <v>0</v>
      </c>
      <c r="M552" s="32">
        <v>41072</v>
      </c>
      <c r="N552" s="22" t="s">
        <v>610</v>
      </c>
      <c r="O552" s="4">
        <v>9120605</v>
      </c>
      <c r="P552" s="22">
        <v>720</v>
      </c>
      <c r="Q552" s="22">
        <v>42</v>
      </c>
      <c r="R552" s="22">
        <v>2</v>
      </c>
      <c r="U552" s="164"/>
      <c r="AA552" s="24" t="s">
        <v>393</v>
      </c>
      <c r="AB552" s="28">
        <v>41088</v>
      </c>
    </row>
    <row r="553" spans="1:28" ht="14.25" customHeight="1" x14ac:dyDescent="0.4">
      <c r="A553">
        <v>516</v>
      </c>
      <c r="B553" s="32">
        <v>40758</v>
      </c>
      <c r="C553" s="32">
        <v>40758</v>
      </c>
      <c r="D553" s="32">
        <v>40758</v>
      </c>
      <c r="E553" s="32">
        <v>40758</v>
      </c>
      <c r="F553" s="24" t="s">
        <v>393</v>
      </c>
      <c r="G553" s="24">
        <v>40777</v>
      </c>
      <c r="H553" s="134">
        <v>62</v>
      </c>
      <c r="I553" s="23">
        <v>40756</v>
      </c>
      <c r="J553" s="37">
        <v>7</v>
      </c>
      <c r="K553" s="24" t="s">
        <v>410</v>
      </c>
      <c r="L553" s="24">
        <v>40725</v>
      </c>
      <c r="M553" s="32">
        <v>40669</v>
      </c>
      <c r="N553" s="22" t="s">
        <v>558</v>
      </c>
      <c r="O553" s="4">
        <v>9120333</v>
      </c>
      <c r="P553" s="22">
        <v>720</v>
      </c>
      <c r="Q553" s="22">
        <v>50</v>
      </c>
      <c r="R553" s="22">
        <v>0</v>
      </c>
      <c r="S553" s="4"/>
      <c r="T553" s="4"/>
      <c r="U553" s="44"/>
      <c r="V553" s="4"/>
      <c r="W553" s="9"/>
      <c r="X553" s="74">
        <v>0</v>
      </c>
      <c r="Y553" s="28" t="e">
        <v>#REF!</v>
      </c>
      <c r="Z553" s="9"/>
      <c r="AA553" s="24" t="s">
        <v>393</v>
      </c>
      <c r="AB553" s="28">
        <v>40777</v>
      </c>
    </row>
    <row r="554" spans="1:28" ht="14.25" customHeight="1" x14ac:dyDescent="0.4">
      <c r="A554">
        <v>517</v>
      </c>
      <c r="B554" s="34">
        <v>0</v>
      </c>
      <c r="C554" s="34" t="s">
        <v>2165</v>
      </c>
      <c r="D554" s="34">
        <v>0</v>
      </c>
      <c r="E554" s="32">
        <v>40842</v>
      </c>
      <c r="F554" s="24" t="s">
        <v>393</v>
      </c>
      <c r="G554" s="24">
        <v>40849</v>
      </c>
      <c r="H554" s="134">
        <v>243</v>
      </c>
      <c r="I554" s="23">
        <v>40817</v>
      </c>
      <c r="J554" s="37">
        <v>56</v>
      </c>
      <c r="K554" s="24" t="s">
        <v>410</v>
      </c>
      <c r="L554" s="24">
        <v>40817</v>
      </c>
      <c r="M554" s="32">
        <v>40669</v>
      </c>
      <c r="N554" s="22" t="s">
        <v>558</v>
      </c>
      <c r="O554" s="4">
        <v>9120332</v>
      </c>
      <c r="P554" s="22">
        <v>1020</v>
      </c>
      <c r="Q554" s="22">
        <v>50</v>
      </c>
      <c r="R554" s="22">
        <v>0</v>
      </c>
      <c r="S554" s="4"/>
      <c r="T554" s="4" t="s">
        <v>404</v>
      </c>
      <c r="U554" s="44">
        <v>40921</v>
      </c>
      <c r="V554" s="4" t="s">
        <v>404</v>
      </c>
      <c r="W554" s="9">
        <v>40952</v>
      </c>
      <c r="X554" s="74"/>
      <c r="Y554" s="28" t="e">
        <v>#REF!</v>
      </c>
      <c r="Z554" s="9"/>
      <c r="AA554" s="24" t="s">
        <v>393</v>
      </c>
      <c r="AB554" s="28">
        <v>40849</v>
      </c>
    </row>
    <row r="555" spans="1:28" ht="14.25" customHeight="1" x14ac:dyDescent="0.4">
      <c r="A555">
        <v>518</v>
      </c>
      <c r="B555" s="34">
        <v>0</v>
      </c>
      <c r="C555" s="34" t="s">
        <v>2165</v>
      </c>
      <c r="D555" s="34">
        <v>0</v>
      </c>
      <c r="E555" s="32">
        <v>40892</v>
      </c>
      <c r="F555" s="24" t="s">
        <v>393</v>
      </c>
      <c r="G555" s="24">
        <v>40906</v>
      </c>
      <c r="H555" s="134">
        <v>346</v>
      </c>
      <c r="I555" s="23">
        <v>40878</v>
      </c>
      <c r="J555" s="37">
        <v>36</v>
      </c>
      <c r="K555" s="24" t="s">
        <v>410</v>
      </c>
      <c r="L555" s="24">
        <v>40848</v>
      </c>
      <c r="M555" s="32">
        <v>40669</v>
      </c>
      <c r="N555" s="22" t="s">
        <v>558</v>
      </c>
      <c r="O555" s="4">
        <v>9120334</v>
      </c>
      <c r="P555" s="22">
        <v>1020</v>
      </c>
      <c r="Q555" s="22">
        <v>50</v>
      </c>
      <c r="R555" s="22">
        <v>0</v>
      </c>
      <c r="S555" s="4"/>
      <c r="T555" s="4" t="s">
        <v>404</v>
      </c>
      <c r="U555" s="44">
        <v>40913</v>
      </c>
      <c r="V555" s="4" t="s">
        <v>404</v>
      </c>
      <c r="W555" s="127">
        <v>40945</v>
      </c>
      <c r="X555" s="74"/>
      <c r="Y555" s="28" t="e">
        <v>#REF!</v>
      </c>
      <c r="Z555" s="9"/>
      <c r="AA555" s="24" t="s">
        <v>393</v>
      </c>
      <c r="AB555" s="28">
        <v>40906</v>
      </c>
    </row>
    <row r="556" spans="1:28" ht="14.25" customHeight="1" x14ac:dyDescent="0.4">
      <c r="A556">
        <v>519</v>
      </c>
      <c r="B556" s="34">
        <v>0</v>
      </c>
      <c r="C556" s="34" t="s">
        <v>2165</v>
      </c>
      <c r="D556" s="34">
        <v>0</v>
      </c>
      <c r="E556" s="32">
        <v>40725</v>
      </c>
      <c r="F556" s="24" t="s">
        <v>393</v>
      </c>
      <c r="G556" s="24">
        <v>40730</v>
      </c>
      <c r="H556" s="134">
        <v>2</v>
      </c>
      <c r="I556" s="23">
        <v>40725</v>
      </c>
      <c r="J556" s="37">
        <v>2</v>
      </c>
      <c r="K556" s="24" t="s">
        <v>410</v>
      </c>
      <c r="L556" s="24">
        <v>40725</v>
      </c>
      <c r="M556" s="32">
        <v>40666</v>
      </c>
      <c r="N556" s="22" t="s">
        <v>1802</v>
      </c>
      <c r="O556" s="4">
        <v>9120015</v>
      </c>
      <c r="P556" s="22">
        <v>1020</v>
      </c>
      <c r="Q556" s="22">
        <v>42</v>
      </c>
      <c r="R556" s="22">
        <v>0</v>
      </c>
      <c r="S556" s="4"/>
      <c r="T556" s="4" t="s">
        <v>404</v>
      </c>
      <c r="U556" s="44">
        <v>40813</v>
      </c>
      <c r="V556" s="4" t="s">
        <v>404</v>
      </c>
      <c r="W556" s="57">
        <v>40915</v>
      </c>
      <c r="X556" s="74"/>
      <c r="Y556" s="28" t="e">
        <v>#REF!</v>
      </c>
      <c r="Z556" s="28"/>
      <c r="AA556" s="24" t="s">
        <v>393</v>
      </c>
      <c r="AB556" s="28">
        <v>40730</v>
      </c>
    </row>
    <row r="557" spans="1:28" ht="14.25" customHeight="1" x14ac:dyDescent="0.4">
      <c r="A557">
        <v>520</v>
      </c>
      <c r="B557" s="34">
        <v>0</v>
      </c>
      <c r="C557" s="34" t="s">
        <v>2165</v>
      </c>
      <c r="D557" s="34">
        <v>0</v>
      </c>
      <c r="E557" s="32">
        <v>40729</v>
      </c>
      <c r="F557" s="24" t="s">
        <v>393</v>
      </c>
      <c r="G557" s="24">
        <v>40731</v>
      </c>
      <c r="H557" s="134">
        <v>3</v>
      </c>
      <c r="I557" s="23">
        <v>40725</v>
      </c>
      <c r="J557" s="37">
        <v>3</v>
      </c>
      <c r="K557" s="24" t="s">
        <v>410</v>
      </c>
      <c r="L557" s="24">
        <v>40725</v>
      </c>
      <c r="M557" s="32">
        <v>40666</v>
      </c>
      <c r="N557" s="22" t="s">
        <v>1802</v>
      </c>
      <c r="O557" s="4">
        <v>9120016</v>
      </c>
      <c r="P557" s="22">
        <v>720</v>
      </c>
      <c r="Q557" s="22">
        <v>42</v>
      </c>
      <c r="R557" s="22">
        <v>0</v>
      </c>
      <c r="S557" s="4" t="s">
        <v>179</v>
      </c>
      <c r="T557" s="4" t="s">
        <v>404</v>
      </c>
      <c r="U557" s="44">
        <v>40767</v>
      </c>
      <c r="V557" s="4" t="s">
        <v>404</v>
      </c>
      <c r="W557" s="44">
        <v>40809</v>
      </c>
      <c r="X557" s="74"/>
      <c r="Y557" s="28" t="e">
        <v>#REF!</v>
      </c>
      <c r="Z557" s="9"/>
      <c r="AA557" s="24" t="s">
        <v>393</v>
      </c>
      <c r="AB557" s="28">
        <v>40731</v>
      </c>
    </row>
    <row r="558" spans="1:28" ht="14.25" customHeight="1" x14ac:dyDescent="0.4">
      <c r="A558">
        <v>521</v>
      </c>
      <c r="B558" s="32">
        <v>40766</v>
      </c>
      <c r="C558" s="32">
        <v>40766</v>
      </c>
      <c r="D558" s="32">
        <v>40766</v>
      </c>
      <c r="E558" s="32">
        <v>40766</v>
      </c>
      <c r="F558" s="24" t="s">
        <v>393</v>
      </c>
      <c r="G558" s="24">
        <v>40778</v>
      </c>
      <c r="H558" s="134">
        <v>80</v>
      </c>
      <c r="I558" s="23">
        <v>40756</v>
      </c>
      <c r="J558" s="37">
        <v>25</v>
      </c>
      <c r="K558" s="24" t="s">
        <v>410</v>
      </c>
      <c r="L558" s="24">
        <v>40756</v>
      </c>
      <c r="M558" s="32">
        <v>40666</v>
      </c>
      <c r="N558" s="22" t="s">
        <v>1802</v>
      </c>
      <c r="O558" s="4">
        <v>9120017</v>
      </c>
      <c r="P558" s="22">
        <v>1020</v>
      </c>
      <c r="Q558" s="22">
        <v>42</v>
      </c>
      <c r="R558" s="22">
        <v>0</v>
      </c>
      <c r="S558" s="4" t="s">
        <v>181</v>
      </c>
      <c r="T558" s="4" t="s">
        <v>404</v>
      </c>
      <c r="U558" s="44">
        <v>40792</v>
      </c>
      <c r="V558" s="4" t="s">
        <v>404</v>
      </c>
      <c r="W558" s="9">
        <v>40803</v>
      </c>
      <c r="X558" s="74">
        <v>0</v>
      </c>
      <c r="Y558" s="28" t="e">
        <v>#REF!</v>
      </c>
      <c r="Z558" s="9"/>
      <c r="AA558" s="24" t="s">
        <v>393</v>
      </c>
      <c r="AB558" s="28">
        <v>40778</v>
      </c>
    </row>
    <row r="559" spans="1:28" ht="14.25" customHeight="1" x14ac:dyDescent="0.4">
      <c r="A559">
        <v>522</v>
      </c>
      <c r="B559" s="32">
        <v>40766</v>
      </c>
      <c r="C559" s="32">
        <v>40766</v>
      </c>
      <c r="D559" s="32">
        <v>40766</v>
      </c>
      <c r="E559" s="32">
        <v>40766</v>
      </c>
      <c r="F559" s="24" t="s">
        <v>393</v>
      </c>
      <c r="G559" s="24">
        <v>40779</v>
      </c>
      <c r="H559" s="134">
        <v>81</v>
      </c>
      <c r="I559" s="23">
        <v>40756</v>
      </c>
      <c r="J559" s="37">
        <v>26</v>
      </c>
      <c r="K559" s="24" t="s">
        <v>410</v>
      </c>
      <c r="L559" s="24">
        <v>40756</v>
      </c>
      <c r="M559" s="32">
        <v>40666</v>
      </c>
      <c r="N559" s="22" t="s">
        <v>1802</v>
      </c>
      <c r="O559" s="4">
        <v>9120018</v>
      </c>
      <c r="P559" s="22">
        <v>1020</v>
      </c>
      <c r="Q559" s="22">
        <v>50</v>
      </c>
      <c r="R559" s="22">
        <v>0</v>
      </c>
      <c r="S559" s="4" t="s">
        <v>1855</v>
      </c>
      <c r="T559" s="4" t="s">
        <v>404</v>
      </c>
      <c r="U559" s="44">
        <v>40822</v>
      </c>
      <c r="V559" s="4" t="s">
        <v>404</v>
      </c>
      <c r="W559" s="9">
        <v>40865</v>
      </c>
      <c r="X559" s="74">
        <v>0</v>
      </c>
      <c r="Y559" s="28" t="e">
        <v>#REF!</v>
      </c>
      <c r="Z559" s="9"/>
      <c r="AA559" s="24" t="s">
        <v>393</v>
      </c>
      <c r="AB559" s="28">
        <v>40779</v>
      </c>
    </row>
    <row r="560" spans="1:28" ht="14.25" customHeight="1" x14ac:dyDescent="0.4">
      <c r="A560">
        <v>523</v>
      </c>
      <c r="B560" s="34">
        <v>0</v>
      </c>
      <c r="C560" s="34" t="s">
        <v>2165</v>
      </c>
      <c r="D560" s="34">
        <v>0</v>
      </c>
      <c r="E560" s="32">
        <v>40788</v>
      </c>
      <c r="F560" s="24" t="s">
        <v>393</v>
      </c>
      <c r="G560" s="24">
        <v>40801</v>
      </c>
      <c r="H560" s="134">
        <v>127</v>
      </c>
      <c r="I560" s="23">
        <v>40787</v>
      </c>
      <c r="J560" s="37">
        <v>3</v>
      </c>
      <c r="K560" s="24" t="s">
        <v>410</v>
      </c>
      <c r="L560" s="24">
        <v>40787</v>
      </c>
      <c r="M560" s="32">
        <v>40666</v>
      </c>
      <c r="N560" s="22" t="s">
        <v>1802</v>
      </c>
      <c r="O560" s="4">
        <v>9120019</v>
      </c>
      <c r="P560" s="22">
        <v>720</v>
      </c>
      <c r="Q560" s="22">
        <v>50</v>
      </c>
      <c r="R560" s="22">
        <v>0</v>
      </c>
      <c r="S560" s="102" t="s">
        <v>180</v>
      </c>
      <c r="T560" s="4" t="s">
        <v>404</v>
      </c>
      <c r="U560" s="44">
        <v>40760</v>
      </c>
      <c r="V560" s="4" t="s">
        <v>404</v>
      </c>
      <c r="W560" s="92">
        <v>40802</v>
      </c>
      <c r="X560" s="74"/>
      <c r="Y560" s="28" t="e">
        <v>#REF!</v>
      </c>
      <c r="Z560" s="28"/>
      <c r="AA560" s="24" t="s">
        <v>393</v>
      </c>
      <c r="AB560" s="28">
        <v>40801</v>
      </c>
    </row>
    <row r="561" spans="1:28" ht="14.25" customHeight="1" x14ac:dyDescent="0.4">
      <c r="A561">
        <v>524</v>
      </c>
      <c r="B561" s="34">
        <v>0</v>
      </c>
      <c r="C561" s="34">
        <v>0</v>
      </c>
      <c r="D561" s="34">
        <v>0</v>
      </c>
      <c r="E561" s="32">
        <v>40792</v>
      </c>
      <c r="F561" s="24" t="s">
        <v>393</v>
      </c>
      <c r="G561" s="24">
        <v>40793</v>
      </c>
      <c r="H561" s="134">
        <v>128</v>
      </c>
      <c r="I561" s="23">
        <v>40787</v>
      </c>
      <c r="J561" s="37">
        <v>4</v>
      </c>
      <c r="K561" s="24" t="s">
        <v>410</v>
      </c>
      <c r="L561" s="24">
        <v>40787</v>
      </c>
      <c r="M561" s="32">
        <v>40666</v>
      </c>
      <c r="N561" s="22" t="s">
        <v>1802</v>
      </c>
      <c r="O561" s="4">
        <v>9120020</v>
      </c>
      <c r="P561" s="22">
        <v>1020</v>
      </c>
      <c r="Q561" s="22">
        <v>50</v>
      </c>
      <c r="R561" s="22">
        <v>0</v>
      </c>
      <c r="S561" s="4"/>
      <c r="T561" s="4" t="s">
        <v>404</v>
      </c>
      <c r="U561" s="42">
        <v>40767</v>
      </c>
      <c r="V561" s="4" t="s">
        <v>404</v>
      </c>
      <c r="W561" s="28">
        <v>40868</v>
      </c>
      <c r="X561" s="74"/>
      <c r="Y561" s="28" t="e">
        <v>#REF!</v>
      </c>
      <c r="Z561" s="28"/>
      <c r="AA561" s="24" t="s">
        <v>393</v>
      </c>
      <c r="AB561" s="28">
        <v>40793</v>
      </c>
    </row>
    <row r="562" spans="1:28" ht="14.25" customHeight="1" x14ac:dyDescent="0.4">
      <c r="A562">
        <v>525</v>
      </c>
      <c r="B562" s="32">
        <v>40821</v>
      </c>
      <c r="C562" s="32">
        <v>40821</v>
      </c>
      <c r="D562" s="32">
        <v>40821</v>
      </c>
      <c r="E562" s="32">
        <v>40821</v>
      </c>
      <c r="F562" s="24" t="s">
        <v>393</v>
      </c>
      <c r="G562" s="24">
        <v>40829</v>
      </c>
      <c r="H562" s="134">
        <v>192</v>
      </c>
      <c r="I562" s="23">
        <v>40817</v>
      </c>
      <c r="J562" s="37">
        <v>5</v>
      </c>
      <c r="K562" s="24" t="s">
        <v>410</v>
      </c>
      <c r="L562" s="24">
        <v>40817</v>
      </c>
      <c r="M562" s="32">
        <v>40666</v>
      </c>
      <c r="N562" s="22" t="s">
        <v>1802</v>
      </c>
      <c r="O562" s="4">
        <v>9120021</v>
      </c>
      <c r="P562" s="22">
        <v>1020</v>
      </c>
      <c r="Q562" s="22">
        <v>42</v>
      </c>
      <c r="R562" s="22">
        <v>0</v>
      </c>
      <c r="S562" s="55"/>
      <c r="T562" s="4" t="s">
        <v>404</v>
      </c>
      <c r="U562" s="94">
        <v>40976</v>
      </c>
      <c r="V562" s="4" t="s">
        <v>404</v>
      </c>
      <c r="W562" s="136">
        <v>40989</v>
      </c>
      <c r="X562" s="74"/>
      <c r="Y562" s="28" t="e">
        <v>#REF!</v>
      </c>
      <c r="Z562" s="9"/>
      <c r="AA562" s="24" t="s">
        <v>393</v>
      </c>
      <c r="AB562" s="28">
        <v>40829</v>
      </c>
    </row>
    <row r="563" spans="1:28" ht="14.25" customHeight="1" x14ac:dyDescent="0.4">
      <c r="A563">
        <v>526</v>
      </c>
      <c r="B563" s="32">
        <v>40821</v>
      </c>
      <c r="C563" s="32">
        <v>40821</v>
      </c>
      <c r="D563" s="32">
        <v>40821</v>
      </c>
      <c r="E563" s="32">
        <v>40821</v>
      </c>
      <c r="F563" s="24" t="s">
        <v>393</v>
      </c>
      <c r="G563" s="24">
        <v>40826</v>
      </c>
      <c r="H563" s="134">
        <v>193</v>
      </c>
      <c r="I563" s="23">
        <v>40817</v>
      </c>
      <c r="J563" s="37">
        <v>6</v>
      </c>
      <c r="K563" s="24" t="s">
        <v>410</v>
      </c>
      <c r="L563" s="24">
        <v>40817</v>
      </c>
      <c r="M563" s="32">
        <v>40666</v>
      </c>
      <c r="N563" s="22" t="s">
        <v>1802</v>
      </c>
      <c r="O563" s="4">
        <v>9120022</v>
      </c>
      <c r="P563" s="22">
        <v>1020</v>
      </c>
      <c r="Q563" s="22">
        <v>50</v>
      </c>
      <c r="R563" s="22">
        <v>0</v>
      </c>
      <c r="S563" s="55"/>
      <c r="T563" s="4" t="s">
        <v>404</v>
      </c>
      <c r="U563" s="42">
        <v>40836</v>
      </c>
      <c r="V563" s="4" t="s">
        <v>404</v>
      </c>
      <c r="W563" s="28">
        <v>40868</v>
      </c>
      <c r="X563" s="74"/>
      <c r="Y563" s="28" t="e">
        <v>#REF!</v>
      </c>
      <c r="Z563" s="9"/>
      <c r="AA563" s="24" t="s">
        <v>393</v>
      </c>
      <c r="AB563" s="28">
        <v>40826</v>
      </c>
    </row>
    <row r="564" spans="1:28" ht="14.25" customHeight="1" x14ac:dyDescent="0.4">
      <c r="A564">
        <v>527</v>
      </c>
      <c r="B564" s="34">
        <v>0</v>
      </c>
      <c r="C564" s="34">
        <v>0</v>
      </c>
      <c r="D564" s="34">
        <v>0</v>
      </c>
      <c r="E564" s="32">
        <v>40889</v>
      </c>
      <c r="F564" s="24" t="s">
        <v>393</v>
      </c>
      <c r="G564" s="24">
        <v>40899</v>
      </c>
      <c r="H564" s="134">
        <v>337</v>
      </c>
      <c r="I564" s="23">
        <v>40878</v>
      </c>
      <c r="J564" s="37">
        <v>27</v>
      </c>
      <c r="K564" s="24" t="s">
        <v>410</v>
      </c>
      <c r="L564" s="24">
        <v>40848</v>
      </c>
      <c r="M564" s="32">
        <v>40666</v>
      </c>
      <c r="N564" s="22" t="s">
        <v>1802</v>
      </c>
      <c r="O564" s="4">
        <v>9120023</v>
      </c>
      <c r="P564" s="22">
        <v>1020</v>
      </c>
      <c r="Q564" s="22">
        <v>50</v>
      </c>
      <c r="R564" s="22">
        <v>0</v>
      </c>
      <c r="S564" s="4"/>
      <c r="T564" s="4" t="s">
        <v>404</v>
      </c>
      <c r="U564" s="44">
        <v>40813</v>
      </c>
      <c r="V564" s="4" t="s">
        <v>404</v>
      </c>
      <c r="W564" s="28">
        <v>40919</v>
      </c>
      <c r="X564" s="74"/>
      <c r="Y564" s="28" t="e">
        <v>#REF!</v>
      </c>
      <c r="Z564" s="28"/>
      <c r="AA564" s="24" t="s">
        <v>393</v>
      </c>
      <c r="AB564" s="28">
        <v>40899</v>
      </c>
    </row>
    <row r="565" spans="1:28" ht="14.25" customHeight="1" x14ac:dyDescent="0.4">
      <c r="A565">
        <v>528</v>
      </c>
      <c r="B565" s="34">
        <v>0</v>
      </c>
      <c r="C565" s="34" t="s">
        <v>2102</v>
      </c>
      <c r="D565" s="34">
        <v>0</v>
      </c>
      <c r="E565" s="32">
        <v>40877</v>
      </c>
      <c r="F565" s="24" t="s">
        <v>393</v>
      </c>
      <c r="G565" s="24">
        <v>40918</v>
      </c>
      <c r="H565" s="134">
        <v>312</v>
      </c>
      <c r="I565" s="23">
        <v>40878</v>
      </c>
      <c r="J565" s="37">
        <v>2</v>
      </c>
      <c r="K565" s="24" t="s">
        <v>410</v>
      </c>
      <c r="L565" s="24">
        <v>40848</v>
      </c>
      <c r="M565" s="32">
        <v>40666</v>
      </c>
      <c r="N565" s="22" t="s">
        <v>1802</v>
      </c>
      <c r="O565" s="4">
        <v>9120024</v>
      </c>
      <c r="P565" s="22">
        <v>1020</v>
      </c>
      <c r="Q565" s="22">
        <v>42</v>
      </c>
      <c r="R565" s="22">
        <v>0</v>
      </c>
      <c r="S565" s="4"/>
      <c r="T565" s="4" t="s">
        <v>404</v>
      </c>
      <c r="U565" s="44">
        <v>40898</v>
      </c>
      <c r="V565" s="4" t="s">
        <v>404</v>
      </c>
      <c r="W565" s="28">
        <v>40939</v>
      </c>
      <c r="X565" s="74"/>
      <c r="Y565" s="28" t="e">
        <v>#REF!</v>
      </c>
      <c r="Z565" s="28"/>
      <c r="AA565" s="24" t="s">
        <v>393</v>
      </c>
      <c r="AB565" s="28">
        <v>40918</v>
      </c>
    </row>
    <row r="566" spans="1:28" ht="14.25" customHeight="1" x14ac:dyDescent="0.4">
      <c r="A566">
        <v>529</v>
      </c>
      <c r="B566" s="34">
        <v>0</v>
      </c>
      <c r="C566" s="34">
        <v>0</v>
      </c>
      <c r="D566" s="34">
        <v>0</v>
      </c>
      <c r="E566" s="32">
        <v>40896</v>
      </c>
      <c r="F566" s="24" t="s">
        <v>393</v>
      </c>
      <c r="G566" s="24">
        <v>40904</v>
      </c>
      <c r="H566" s="134">
        <v>350</v>
      </c>
      <c r="I566" s="23">
        <v>40878</v>
      </c>
      <c r="J566" s="37">
        <v>40</v>
      </c>
      <c r="K566" s="24" t="s">
        <v>410</v>
      </c>
      <c r="L566" s="24">
        <v>40878</v>
      </c>
      <c r="M566" s="32">
        <v>40666</v>
      </c>
      <c r="N566" s="22" t="s">
        <v>1802</v>
      </c>
      <c r="O566" s="4">
        <v>9120025</v>
      </c>
      <c r="P566" s="22">
        <v>1020</v>
      </c>
      <c r="Q566" s="22">
        <v>50</v>
      </c>
      <c r="R566" s="22">
        <v>0</v>
      </c>
      <c r="S566" s="4"/>
      <c r="T566" s="4" t="s">
        <v>404</v>
      </c>
      <c r="U566" s="42">
        <v>40900</v>
      </c>
      <c r="V566" s="4" t="s">
        <v>404</v>
      </c>
      <c r="W566" s="28">
        <v>40939</v>
      </c>
      <c r="X566" s="74"/>
      <c r="Y566" s="28" t="e">
        <v>#REF!</v>
      </c>
      <c r="Z566" s="28"/>
      <c r="AA566" s="24" t="s">
        <v>393</v>
      </c>
      <c r="AB566" s="28">
        <v>40904</v>
      </c>
    </row>
    <row r="567" spans="1:28" ht="14.25" customHeight="1" x14ac:dyDescent="0.4">
      <c r="A567">
        <v>530</v>
      </c>
      <c r="B567" s="34">
        <v>0</v>
      </c>
      <c r="C567" s="34">
        <v>0</v>
      </c>
      <c r="D567" s="34">
        <v>0</v>
      </c>
      <c r="E567" s="32">
        <v>40896</v>
      </c>
      <c r="F567" s="24" t="s">
        <v>393</v>
      </c>
      <c r="G567" s="24">
        <v>40906</v>
      </c>
      <c r="H567" s="134">
        <v>351</v>
      </c>
      <c r="I567" s="23">
        <v>40878</v>
      </c>
      <c r="J567" s="37">
        <v>41</v>
      </c>
      <c r="K567" s="24" t="s">
        <v>410</v>
      </c>
      <c r="L567" s="24">
        <v>40878</v>
      </c>
      <c r="M567" s="32">
        <v>40666</v>
      </c>
      <c r="N567" s="22" t="s">
        <v>1802</v>
      </c>
      <c r="O567" s="4">
        <v>9120026</v>
      </c>
      <c r="P567" s="22">
        <v>1020</v>
      </c>
      <c r="Q567" s="22">
        <v>50</v>
      </c>
      <c r="R567" s="22">
        <v>0</v>
      </c>
      <c r="S567" s="4"/>
      <c r="T567" s="4"/>
      <c r="U567" s="44"/>
      <c r="V567" s="4"/>
      <c r="W567" s="28"/>
      <c r="X567" s="74"/>
      <c r="Y567" s="28" t="e">
        <v>#REF!</v>
      </c>
      <c r="Z567" s="30"/>
      <c r="AA567" s="24" t="s">
        <v>393</v>
      </c>
      <c r="AB567" s="28">
        <v>40906</v>
      </c>
    </row>
    <row r="568" spans="1:28" ht="14.25" customHeight="1" x14ac:dyDescent="0.4">
      <c r="A568">
        <v>531</v>
      </c>
      <c r="B568" s="34">
        <v>0</v>
      </c>
      <c r="C568" s="34" t="s">
        <v>2165</v>
      </c>
      <c r="D568" s="34">
        <v>0</v>
      </c>
      <c r="E568" s="32">
        <v>40911</v>
      </c>
      <c r="F568" s="24" t="s">
        <v>393</v>
      </c>
      <c r="G568" s="24">
        <v>40918</v>
      </c>
      <c r="H568" s="134">
        <v>372</v>
      </c>
      <c r="I568" s="23">
        <v>40909</v>
      </c>
      <c r="J568" s="37">
        <v>5</v>
      </c>
      <c r="K568" s="24" t="s">
        <v>410</v>
      </c>
      <c r="L568" s="24">
        <v>40909</v>
      </c>
      <c r="M568" s="32">
        <v>40666</v>
      </c>
      <c r="N568" s="22" t="s">
        <v>1802</v>
      </c>
      <c r="O568" s="4">
        <v>9120027</v>
      </c>
      <c r="P568" s="22">
        <v>720</v>
      </c>
      <c r="Q568" s="22">
        <v>42</v>
      </c>
      <c r="R568" s="22">
        <v>0</v>
      </c>
      <c r="S568" s="4"/>
      <c r="T568" s="4" t="s">
        <v>404</v>
      </c>
      <c r="U568" s="44">
        <v>40880</v>
      </c>
      <c r="V568" s="4" t="s">
        <v>404</v>
      </c>
      <c r="W568" s="28">
        <v>40939</v>
      </c>
      <c r="X568" s="74"/>
      <c r="Y568" s="28" t="e">
        <v>#REF!</v>
      </c>
      <c r="Z568" s="28"/>
      <c r="AA568" s="24" t="s">
        <v>393</v>
      </c>
      <c r="AB568" s="28">
        <v>40918</v>
      </c>
    </row>
    <row r="569" spans="1:28" ht="14.25" customHeight="1" x14ac:dyDescent="0.4">
      <c r="A569">
        <v>532</v>
      </c>
      <c r="B569" s="34">
        <v>0</v>
      </c>
      <c r="C569" s="34" t="s">
        <v>2165</v>
      </c>
      <c r="D569" s="34">
        <v>0</v>
      </c>
      <c r="E569" s="32">
        <v>40911</v>
      </c>
      <c r="F569" s="24" t="s">
        <v>393</v>
      </c>
      <c r="G569" s="24">
        <v>40918</v>
      </c>
      <c r="H569" s="134">
        <v>373</v>
      </c>
      <c r="I569" s="23">
        <v>40909</v>
      </c>
      <c r="J569" s="37">
        <v>6</v>
      </c>
      <c r="K569" s="24" t="s">
        <v>410</v>
      </c>
      <c r="L569" s="24">
        <v>40909</v>
      </c>
      <c r="M569" s="32">
        <v>40666</v>
      </c>
      <c r="N569" s="22" t="s">
        <v>1802</v>
      </c>
      <c r="O569" s="4">
        <v>9120028</v>
      </c>
      <c r="P569" s="22">
        <v>720</v>
      </c>
      <c r="Q569" s="22">
        <v>42</v>
      </c>
      <c r="R569" s="22">
        <v>0</v>
      </c>
      <c r="S569" s="4"/>
      <c r="T569" s="4" t="s">
        <v>404</v>
      </c>
      <c r="U569" s="44">
        <v>40970</v>
      </c>
      <c r="V569" s="4" t="s">
        <v>404</v>
      </c>
      <c r="W569" s="28">
        <v>40976</v>
      </c>
      <c r="X569" s="74"/>
      <c r="Y569" s="28" t="e">
        <v>#REF!</v>
      </c>
      <c r="Z569" s="28"/>
      <c r="AA569" s="24" t="s">
        <v>393</v>
      </c>
      <c r="AB569" s="28">
        <v>40918</v>
      </c>
    </row>
    <row r="570" spans="1:28" ht="14.25" customHeight="1" x14ac:dyDescent="0.4">
      <c r="A570">
        <v>533</v>
      </c>
      <c r="B570" s="32">
        <v>40961</v>
      </c>
      <c r="C570" s="32">
        <v>40961</v>
      </c>
      <c r="D570" s="32">
        <v>40961</v>
      </c>
      <c r="E570" s="32">
        <v>40961</v>
      </c>
      <c r="F570" s="24" t="s">
        <v>393</v>
      </c>
      <c r="G570" s="24">
        <v>40962</v>
      </c>
      <c r="H570" s="134">
        <v>475</v>
      </c>
      <c r="I570" s="23">
        <v>40940</v>
      </c>
      <c r="J570" s="37">
        <v>45</v>
      </c>
      <c r="K570" s="24" t="s">
        <v>410</v>
      </c>
      <c r="L570" s="24">
        <v>40940</v>
      </c>
      <c r="M570" s="32">
        <v>40666</v>
      </c>
      <c r="N570" s="22" t="s">
        <v>1802</v>
      </c>
      <c r="O570" s="4">
        <v>9120029</v>
      </c>
      <c r="P570" s="22">
        <v>720</v>
      </c>
      <c r="Q570" s="22">
        <v>50</v>
      </c>
      <c r="R570" s="22">
        <v>0</v>
      </c>
      <c r="S570" s="4"/>
      <c r="T570" s="4" t="s">
        <v>404</v>
      </c>
      <c r="U570" s="44">
        <v>41145</v>
      </c>
      <c r="V570" s="4"/>
      <c r="W570" s="28"/>
      <c r="X570" s="74">
        <v>0</v>
      </c>
      <c r="Y570" s="28" t="e">
        <v>#REF!</v>
      </c>
      <c r="Z570" s="9"/>
      <c r="AA570" s="24" t="s">
        <v>393</v>
      </c>
      <c r="AB570" s="28">
        <v>40962</v>
      </c>
    </row>
    <row r="571" spans="1:28" ht="14.25" customHeight="1" x14ac:dyDescent="0.4">
      <c r="A571">
        <v>534</v>
      </c>
      <c r="B571" s="32">
        <v>40963</v>
      </c>
      <c r="C571" s="32">
        <v>40963</v>
      </c>
      <c r="D571" s="32">
        <v>40963</v>
      </c>
      <c r="E571" s="32">
        <v>40963</v>
      </c>
      <c r="F571" s="24" t="s">
        <v>393</v>
      </c>
      <c r="G571" s="24">
        <v>40968</v>
      </c>
      <c r="H571" s="134">
        <v>481</v>
      </c>
      <c r="I571" s="23">
        <v>40940</v>
      </c>
      <c r="J571" s="37">
        <v>51</v>
      </c>
      <c r="K571" s="24" t="s">
        <v>410</v>
      </c>
      <c r="L571" s="24">
        <v>40940</v>
      </c>
      <c r="M571" s="32">
        <v>40666</v>
      </c>
      <c r="N571" s="22" t="s">
        <v>1802</v>
      </c>
      <c r="O571" s="4">
        <v>9120030</v>
      </c>
      <c r="P571" s="22">
        <v>720</v>
      </c>
      <c r="Q571" s="22">
        <v>50</v>
      </c>
      <c r="R571" s="22">
        <v>0</v>
      </c>
      <c r="S571" s="11"/>
      <c r="T571" s="4"/>
      <c r="U571" s="122"/>
      <c r="V571" s="4"/>
      <c r="W571" s="28"/>
      <c r="X571" s="74">
        <v>0</v>
      </c>
      <c r="Y571" s="28" t="e">
        <v>#REF!</v>
      </c>
      <c r="Z571" s="9"/>
      <c r="AA571" s="24" t="s">
        <v>393</v>
      </c>
      <c r="AB571" s="28">
        <v>40968</v>
      </c>
    </row>
    <row r="572" spans="1:28" ht="14.25" customHeight="1" x14ac:dyDescent="0.4">
      <c r="A572">
        <v>535</v>
      </c>
      <c r="B572" s="32">
        <v>40960</v>
      </c>
      <c r="C572" s="32">
        <v>40960</v>
      </c>
      <c r="D572" s="32">
        <v>40960</v>
      </c>
      <c r="E572" s="32">
        <v>40960</v>
      </c>
      <c r="F572" s="24" t="s">
        <v>393</v>
      </c>
      <c r="G572" s="24">
        <v>40973</v>
      </c>
      <c r="H572" s="134">
        <v>472</v>
      </c>
      <c r="I572" s="23">
        <v>40940</v>
      </c>
      <c r="J572" s="37">
        <v>42</v>
      </c>
      <c r="K572" s="24" t="s">
        <v>410</v>
      </c>
      <c r="L572" s="24">
        <v>40969</v>
      </c>
      <c r="M572" s="32">
        <v>40666</v>
      </c>
      <c r="N572" s="22" t="s">
        <v>1802</v>
      </c>
      <c r="O572" s="4">
        <v>9120031</v>
      </c>
      <c r="P572" s="22">
        <v>720</v>
      </c>
      <c r="Q572" s="22">
        <v>42</v>
      </c>
      <c r="R572" s="22">
        <v>0</v>
      </c>
      <c r="S572" s="4"/>
      <c r="T572" s="4" t="s">
        <v>404</v>
      </c>
      <c r="U572" s="44">
        <v>40934</v>
      </c>
      <c r="V572" s="4" t="s">
        <v>404</v>
      </c>
      <c r="W572" s="9">
        <v>40989</v>
      </c>
      <c r="X572" s="74"/>
      <c r="Y572" s="28" t="e">
        <v>#REF!</v>
      </c>
      <c r="Z572" s="9"/>
      <c r="AA572" s="24" t="s">
        <v>393</v>
      </c>
      <c r="AB572" s="28">
        <v>40973</v>
      </c>
    </row>
    <row r="573" spans="1:28" ht="14.25" customHeight="1" x14ac:dyDescent="0.4">
      <c r="A573">
        <v>536</v>
      </c>
      <c r="B573" s="32">
        <v>40963</v>
      </c>
      <c r="C573" s="32">
        <v>40963</v>
      </c>
      <c r="D573" s="32">
        <v>40963</v>
      </c>
      <c r="E573" s="32">
        <v>40963</v>
      </c>
      <c r="F573" s="24" t="s">
        <v>393</v>
      </c>
      <c r="G573" s="24">
        <v>40967</v>
      </c>
      <c r="H573" s="134">
        <v>482</v>
      </c>
      <c r="I573" s="23">
        <v>40940</v>
      </c>
      <c r="J573" s="37">
        <v>52</v>
      </c>
      <c r="K573" s="24" t="s">
        <v>410</v>
      </c>
      <c r="L573" s="24">
        <v>40969</v>
      </c>
      <c r="M573" s="32">
        <v>40666</v>
      </c>
      <c r="N573" s="22" t="s">
        <v>1802</v>
      </c>
      <c r="O573" s="4">
        <v>9120032</v>
      </c>
      <c r="P573" s="22">
        <v>720</v>
      </c>
      <c r="Q573" s="22">
        <v>42</v>
      </c>
      <c r="R573" s="22">
        <v>0</v>
      </c>
      <c r="S573" s="4"/>
      <c r="T573" s="4" t="s">
        <v>404</v>
      </c>
      <c r="U573" s="42">
        <v>40961</v>
      </c>
      <c r="V573" s="4" t="s">
        <v>404</v>
      </c>
      <c r="W573" s="9">
        <v>40989</v>
      </c>
      <c r="X573" s="74"/>
      <c r="Y573" s="28" t="e">
        <v>#REF!</v>
      </c>
      <c r="Z573" s="9"/>
      <c r="AA573" s="24" t="s">
        <v>393</v>
      </c>
      <c r="AB573" s="28">
        <v>40967</v>
      </c>
    </row>
    <row r="574" spans="1:28" ht="14.25" customHeight="1" x14ac:dyDescent="0.4">
      <c r="A574">
        <v>537</v>
      </c>
      <c r="B574" s="32">
        <v>40980</v>
      </c>
      <c r="C574" s="32">
        <v>40980</v>
      </c>
      <c r="D574" s="32">
        <v>40980</v>
      </c>
      <c r="E574" s="32">
        <v>40980</v>
      </c>
      <c r="F574" s="24" t="s">
        <v>393</v>
      </c>
      <c r="G574" s="24">
        <v>40984</v>
      </c>
      <c r="H574" s="134">
        <v>513</v>
      </c>
      <c r="I574" s="23">
        <v>40969</v>
      </c>
      <c r="J574" s="37">
        <v>20</v>
      </c>
      <c r="K574" s="24" t="s">
        <v>410</v>
      </c>
      <c r="L574" s="24">
        <v>41000</v>
      </c>
      <c r="M574" s="32">
        <v>40666</v>
      </c>
      <c r="N574" s="22" t="s">
        <v>1802</v>
      </c>
      <c r="O574" s="4">
        <v>9120034</v>
      </c>
      <c r="P574" s="22">
        <v>1220</v>
      </c>
      <c r="Q574" s="22">
        <v>50</v>
      </c>
      <c r="R574" s="22">
        <v>0</v>
      </c>
      <c r="T574" s="4" t="s">
        <v>404</v>
      </c>
      <c r="U574" s="164">
        <v>40961</v>
      </c>
      <c r="V574" s="4" t="s">
        <v>404</v>
      </c>
      <c r="W574" s="62">
        <v>41037</v>
      </c>
      <c r="Y574" s="28" t="e">
        <v>#REF!</v>
      </c>
      <c r="AA574" s="24" t="s">
        <v>393</v>
      </c>
      <c r="AB574" s="28">
        <v>40984</v>
      </c>
    </row>
    <row r="575" spans="1:28" ht="14.25" customHeight="1" x14ac:dyDescent="0.4">
      <c r="A575">
        <v>538</v>
      </c>
      <c r="B575" s="32">
        <v>40877</v>
      </c>
      <c r="C575" s="32">
        <v>40877</v>
      </c>
      <c r="D575" s="32">
        <v>40877</v>
      </c>
      <c r="E575" s="32">
        <v>40877</v>
      </c>
      <c r="F575" s="24" t="s">
        <v>393</v>
      </c>
      <c r="G575" s="24">
        <v>40897</v>
      </c>
      <c r="H575" s="134">
        <v>313</v>
      </c>
      <c r="I575" s="23">
        <v>40878</v>
      </c>
      <c r="J575" s="37">
        <v>3</v>
      </c>
      <c r="K575" s="24" t="s">
        <v>410</v>
      </c>
      <c r="L575" s="24">
        <v>40878</v>
      </c>
      <c r="M575" s="32">
        <v>40764</v>
      </c>
      <c r="N575" s="22" t="s">
        <v>1802</v>
      </c>
      <c r="O575" s="4">
        <v>9120451</v>
      </c>
      <c r="P575" s="22">
        <v>1020</v>
      </c>
      <c r="Q575" s="22">
        <v>42</v>
      </c>
      <c r="R575" s="22">
        <v>0</v>
      </c>
      <c r="T575" s="4" t="s">
        <v>404</v>
      </c>
      <c r="U575" s="164">
        <v>41029</v>
      </c>
      <c r="V575" s="4"/>
      <c r="W575" s="62">
        <v>41037</v>
      </c>
      <c r="Y575" s="28" t="e">
        <v>#REF!</v>
      </c>
      <c r="AA575" s="24" t="s">
        <v>393</v>
      </c>
      <c r="AB575" s="28">
        <v>40897</v>
      </c>
    </row>
    <row r="576" spans="1:28" ht="14.25" customHeight="1" x14ac:dyDescent="0.4">
      <c r="A576">
        <v>539</v>
      </c>
      <c r="B576" s="32">
        <v>40893</v>
      </c>
      <c r="C576" s="32">
        <v>40893</v>
      </c>
      <c r="D576" s="32">
        <v>40893</v>
      </c>
      <c r="E576" s="32">
        <v>40893</v>
      </c>
      <c r="F576" s="24" t="s">
        <v>393</v>
      </c>
      <c r="G576" s="24">
        <v>40924</v>
      </c>
      <c r="H576" s="134">
        <v>347</v>
      </c>
      <c r="I576" s="23">
        <v>40878</v>
      </c>
      <c r="J576" s="37">
        <v>37</v>
      </c>
      <c r="K576" s="24" t="s">
        <v>410</v>
      </c>
      <c r="L576" s="24">
        <v>40878</v>
      </c>
      <c r="M576" s="32">
        <v>40764</v>
      </c>
      <c r="N576" s="22" t="s">
        <v>1802</v>
      </c>
      <c r="O576" s="4">
        <v>9120452</v>
      </c>
      <c r="P576" s="22">
        <v>1020</v>
      </c>
      <c r="Q576" s="22">
        <v>50</v>
      </c>
      <c r="R576" s="22">
        <v>0</v>
      </c>
      <c r="T576" s="4"/>
      <c r="U576" s="164"/>
      <c r="V576" s="4"/>
      <c r="Y576" s="28" t="e">
        <v>#REF!</v>
      </c>
      <c r="AA576" s="24" t="s">
        <v>393</v>
      </c>
      <c r="AB576" s="28">
        <v>40924</v>
      </c>
    </row>
    <row r="577" spans="1:28" ht="14.25" customHeight="1" x14ac:dyDescent="0.4">
      <c r="A577">
        <v>540</v>
      </c>
      <c r="B577" s="32">
        <v>40912</v>
      </c>
      <c r="C577" s="32">
        <v>40912</v>
      </c>
      <c r="D577" s="32">
        <v>40912</v>
      </c>
      <c r="E577" s="32">
        <v>40912</v>
      </c>
      <c r="F577" s="24" t="s">
        <v>393</v>
      </c>
      <c r="G577" s="24">
        <v>40921</v>
      </c>
      <c r="H577" s="35">
        <v>376</v>
      </c>
      <c r="I577" s="23">
        <v>40909</v>
      </c>
      <c r="J577" s="37">
        <v>9</v>
      </c>
      <c r="K577" s="24" t="s">
        <v>410</v>
      </c>
      <c r="L577" s="24">
        <v>0</v>
      </c>
      <c r="M577" s="32">
        <v>40799</v>
      </c>
      <c r="N577" s="22" t="s">
        <v>1802</v>
      </c>
      <c r="O577" s="4">
        <v>9120476</v>
      </c>
      <c r="P577" s="22">
        <v>1020</v>
      </c>
      <c r="Q577" s="22">
        <v>42</v>
      </c>
      <c r="R577" s="22">
        <v>0</v>
      </c>
      <c r="T577" s="4" t="s">
        <v>404</v>
      </c>
      <c r="U577" s="44">
        <v>40929</v>
      </c>
      <c r="V577" s="4" t="s">
        <v>404</v>
      </c>
      <c r="W577" s="62">
        <v>40949</v>
      </c>
      <c r="Y577" s="28" t="e">
        <v>#REF!</v>
      </c>
      <c r="AA577" s="24" t="s">
        <v>393</v>
      </c>
      <c r="AB577" s="28">
        <v>40921</v>
      </c>
    </row>
    <row r="578" spans="1:28" ht="14.25" customHeight="1" x14ac:dyDescent="0.4">
      <c r="A578">
        <v>541</v>
      </c>
      <c r="B578" s="32">
        <v>40946</v>
      </c>
      <c r="C578" s="32">
        <v>40946</v>
      </c>
      <c r="D578" s="32">
        <v>40946</v>
      </c>
      <c r="E578" s="32">
        <v>40946</v>
      </c>
      <c r="F578" s="24" t="s">
        <v>393</v>
      </c>
      <c r="G578" s="24">
        <v>40955</v>
      </c>
      <c r="H578" s="35">
        <v>446</v>
      </c>
      <c r="I578" s="23">
        <v>40940</v>
      </c>
      <c r="J578" s="37">
        <v>16</v>
      </c>
      <c r="K578" s="24" t="s">
        <v>410</v>
      </c>
      <c r="L578" s="24">
        <v>0</v>
      </c>
      <c r="M578" s="32">
        <v>40799</v>
      </c>
      <c r="N578" s="22" t="s">
        <v>1802</v>
      </c>
      <c r="O578" s="4">
        <v>9120477</v>
      </c>
      <c r="P578" s="22">
        <v>1020</v>
      </c>
      <c r="Q578" s="22">
        <v>50</v>
      </c>
      <c r="R578" s="22">
        <v>0</v>
      </c>
      <c r="T578" s="4" t="s">
        <v>404</v>
      </c>
      <c r="U578" s="44">
        <v>40896</v>
      </c>
      <c r="V578" s="4" t="s">
        <v>404</v>
      </c>
      <c r="W578" s="9">
        <v>40989</v>
      </c>
      <c r="Y578" s="28" t="e">
        <v>#REF!</v>
      </c>
      <c r="AA578" s="24" t="s">
        <v>393</v>
      </c>
      <c r="AB578" s="28">
        <v>40955</v>
      </c>
    </row>
    <row r="579" spans="1:28" ht="14.25" customHeight="1" x14ac:dyDescent="0.4">
      <c r="A579">
        <v>542</v>
      </c>
      <c r="B579" s="32">
        <v>40948</v>
      </c>
      <c r="C579" s="32">
        <v>40948</v>
      </c>
      <c r="D579" s="32">
        <v>40948</v>
      </c>
      <c r="E579" s="32">
        <v>40948</v>
      </c>
      <c r="F579" s="24" t="s">
        <v>393</v>
      </c>
      <c r="G579" s="24">
        <v>40954</v>
      </c>
      <c r="H579" s="35">
        <v>453</v>
      </c>
      <c r="I579" s="23">
        <v>40940</v>
      </c>
      <c r="J579" s="37">
        <v>23</v>
      </c>
      <c r="K579" s="24" t="s">
        <v>410</v>
      </c>
      <c r="L579" s="24">
        <v>0</v>
      </c>
      <c r="M579" s="32">
        <v>40865</v>
      </c>
      <c r="N579" s="22" t="s">
        <v>1802</v>
      </c>
      <c r="O579" s="4">
        <v>9120525</v>
      </c>
      <c r="P579" s="22">
        <v>1020</v>
      </c>
      <c r="Q579" s="22">
        <v>42</v>
      </c>
      <c r="R579" s="22">
        <v>714548</v>
      </c>
      <c r="T579" s="4" t="s">
        <v>404</v>
      </c>
      <c r="U579" s="44">
        <v>40940</v>
      </c>
      <c r="V579" s="4" t="s">
        <v>404</v>
      </c>
      <c r="W579" s="62">
        <v>40979</v>
      </c>
      <c r="Y579" s="28" t="e">
        <v>#REF!</v>
      </c>
      <c r="AA579" s="24" t="s">
        <v>393</v>
      </c>
      <c r="AB579" s="28">
        <v>40954</v>
      </c>
    </row>
    <row r="580" spans="1:28" ht="14.25" customHeight="1" x14ac:dyDescent="0.4">
      <c r="A580">
        <v>543</v>
      </c>
      <c r="B580" s="34">
        <v>0</v>
      </c>
      <c r="C580" s="34">
        <v>0</v>
      </c>
      <c r="D580" s="34">
        <v>0</v>
      </c>
      <c r="E580" s="32">
        <v>41029</v>
      </c>
      <c r="F580" s="24" t="s">
        <v>393</v>
      </c>
      <c r="G580" s="24">
        <v>41031</v>
      </c>
      <c r="H580" s="134">
        <v>567</v>
      </c>
      <c r="I580" s="23">
        <v>41000</v>
      </c>
      <c r="J580" s="37">
        <v>26</v>
      </c>
      <c r="K580" s="24" t="s">
        <v>410</v>
      </c>
      <c r="L580" s="24">
        <v>41061</v>
      </c>
      <c r="M580" s="32">
        <v>40969</v>
      </c>
      <c r="N580" s="22" t="s">
        <v>1802</v>
      </c>
      <c r="O580" s="4">
        <v>9120567</v>
      </c>
      <c r="P580" s="22">
        <v>1020</v>
      </c>
      <c r="Q580" s="22">
        <v>50</v>
      </c>
      <c r="R580" s="22">
        <v>0</v>
      </c>
      <c r="T580" s="4" t="s">
        <v>404</v>
      </c>
      <c r="U580" s="164">
        <v>41003</v>
      </c>
      <c r="V580" s="4" t="s">
        <v>404</v>
      </c>
      <c r="W580" s="62">
        <v>41039</v>
      </c>
      <c r="Y580" s="28" t="e">
        <v>#REF!</v>
      </c>
      <c r="AA580" s="24" t="s">
        <v>393</v>
      </c>
      <c r="AB580" s="28">
        <v>41031</v>
      </c>
    </row>
    <row r="581" spans="1:28" ht="14.25" customHeight="1" x14ac:dyDescent="0.4">
      <c r="A581">
        <v>544</v>
      </c>
      <c r="B581" s="34">
        <v>0</v>
      </c>
      <c r="C581" s="34">
        <v>0</v>
      </c>
      <c r="D581" s="34">
        <v>0</v>
      </c>
      <c r="E581" s="32">
        <v>40988</v>
      </c>
      <c r="F581" s="24" t="s">
        <v>393</v>
      </c>
      <c r="G581" s="24">
        <v>40996</v>
      </c>
      <c r="H581" s="134">
        <v>519</v>
      </c>
      <c r="I581" s="23">
        <v>40969</v>
      </c>
      <c r="J581" s="37">
        <v>26</v>
      </c>
      <c r="K581" s="24" t="s">
        <v>410</v>
      </c>
      <c r="L581" s="24">
        <v>41061</v>
      </c>
      <c r="M581" s="32">
        <v>40969</v>
      </c>
      <c r="N581" s="22" t="s">
        <v>1802</v>
      </c>
      <c r="O581" s="4">
        <v>9120568</v>
      </c>
      <c r="P581" s="22">
        <v>1020</v>
      </c>
      <c r="Q581" s="22">
        <v>42</v>
      </c>
      <c r="R581" s="22">
        <v>0</v>
      </c>
      <c r="T581" s="4" t="s">
        <v>404</v>
      </c>
      <c r="U581" s="164">
        <v>40976</v>
      </c>
      <c r="V581" s="1" t="s">
        <v>404</v>
      </c>
      <c r="W581" s="62">
        <v>41016</v>
      </c>
      <c r="Y581" s="28" t="e">
        <v>#REF!</v>
      </c>
      <c r="AA581" s="24" t="s">
        <v>393</v>
      </c>
      <c r="AB581" s="28">
        <v>40996</v>
      </c>
    </row>
    <row r="582" spans="1:28" ht="14.25" customHeight="1" x14ac:dyDescent="0.4">
      <c r="A582">
        <v>545</v>
      </c>
      <c r="B582" s="32">
        <v>41023</v>
      </c>
      <c r="C582" s="32">
        <v>41023</v>
      </c>
      <c r="D582" s="32">
        <v>41023</v>
      </c>
      <c r="E582" s="32">
        <v>41023</v>
      </c>
      <c r="F582" s="24" t="s">
        <v>393</v>
      </c>
      <c r="G582" s="24">
        <v>41053</v>
      </c>
      <c r="H582" s="134">
        <v>563</v>
      </c>
      <c r="I582" s="23">
        <v>41000</v>
      </c>
      <c r="J582" s="37">
        <v>22</v>
      </c>
      <c r="K582" s="24" t="s">
        <v>410</v>
      </c>
      <c r="L582" s="24">
        <v>41000</v>
      </c>
      <c r="M582" s="32">
        <v>40666</v>
      </c>
      <c r="N582" s="22" t="s">
        <v>1925</v>
      </c>
      <c r="O582" s="4">
        <v>9120033</v>
      </c>
      <c r="P582" s="22">
        <v>720</v>
      </c>
      <c r="Q582" s="22">
        <v>50</v>
      </c>
      <c r="R582" s="22">
        <v>0</v>
      </c>
      <c r="S582" s="4"/>
      <c r="T582" s="4"/>
      <c r="U582" s="44"/>
      <c r="V582" s="4"/>
      <c r="W582" s="9"/>
      <c r="X582" s="74"/>
      <c r="Y582" s="28" t="e">
        <v>#REF!</v>
      </c>
      <c r="Z582" s="9"/>
      <c r="AA582" s="24" t="s">
        <v>393</v>
      </c>
      <c r="AB582" s="28">
        <v>41053</v>
      </c>
    </row>
    <row r="583" spans="1:28" ht="14.25" customHeight="1" x14ac:dyDescent="0.4">
      <c r="A583">
        <v>546</v>
      </c>
      <c r="B583" s="34">
        <v>0</v>
      </c>
      <c r="C583" s="34" t="s">
        <v>2165</v>
      </c>
      <c r="D583" s="34">
        <v>0</v>
      </c>
      <c r="E583" s="32">
        <v>40751</v>
      </c>
      <c r="F583" s="24" t="s">
        <v>393</v>
      </c>
      <c r="G583" s="24">
        <v>40757</v>
      </c>
      <c r="H583" s="134">
        <v>47</v>
      </c>
      <c r="I583" s="23">
        <v>40725</v>
      </c>
      <c r="J583" s="37">
        <v>47</v>
      </c>
      <c r="K583" s="24" t="s">
        <v>410</v>
      </c>
      <c r="L583" s="24">
        <v>40909</v>
      </c>
      <c r="M583" s="32">
        <v>40668</v>
      </c>
      <c r="N583" s="22" t="s">
        <v>1925</v>
      </c>
      <c r="O583" s="4">
        <v>9120287</v>
      </c>
      <c r="P583" s="22">
        <v>720</v>
      </c>
      <c r="Q583" s="22">
        <v>50</v>
      </c>
      <c r="R583" s="22">
        <v>548063</v>
      </c>
      <c r="S583" s="1"/>
      <c r="T583" s="4" t="s">
        <v>404</v>
      </c>
      <c r="U583" s="42">
        <v>40961</v>
      </c>
      <c r="V583" s="4" t="s">
        <v>404</v>
      </c>
      <c r="W583" s="28">
        <v>40994</v>
      </c>
      <c r="X583" s="74"/>
      <c r="Y583" s="28" t="e">
        <v>#REF!</v>
      </c>
      <c r="Z583" s="28"/>
      <c r="AA583" s="24" t="s">
        <v>393</v>
      </c>
      <c r="AB583" s="28">
        <v>40757</v>
      </c>
    </row>
    <row r="584" spans="1:28" ht="14.25" customHeight="1" x14ac:dyDescent="0.4">
      <c r="A584">
        <v>547</v>
      </c>
      <c r="B584" s="34">
        <v>0</v>
      </c>
      <c r="C584" s="34" t="s">
        <v>2165</v>
      </c>
      <c r="D584" s="34">
        <v>0</v>
      </c>
      <c r="E584" s="32">
        <v>40751</v>
      </c>
      <c r="F584" s="24" t="s">
        <v>393</v>
      </c>
      <c r="G584" s="24">
        <v>40766</v>
      </c>
      <c r="H584" s="134">
        <v>48</v>
      </c>
      <c r="I584" s="23">
        <v>40725</v>
      </c>
      <c r="J584" s="37">
        <v>48</v>
      </c>
      <c r="K584" s="24" t="s">
        <v>410</v>
      </c>
      <c r="L584" s="24">
        <v>40909</v>
      </c>
      <c r="M584" s="32">
        <v>40668</v>
      </c>
      <c r="N584" s="22" t="s">
        <v>1925</v>
      </c>
      <c r="O584" s="4">
        <v>9120288</v>
      </c>
      <c r="P584" s="22">
        <v>1020</v>
      </c>
      <c r="Q584" s="22">
        <v>50</v>
      </c>
      <c r="R584" s="22">
        <v>548062</v>
      </c>
      <c r="S584" s="4"/>
      <c r="T584" s="4"/>
      <c r="U584" s="44"/>
      <c r="V584" s="4"/>
      <c r="W584" s="9"/>
      <c r="X584" s="74"/>
      <c r="Y584" s="28" t="e">
        <v>#REF!</v>
      </c>
      <c r="Z584" s="9"/>
      <c r="AA584" s="24" t="s">
        <v>393</v>
      </c>
      <c r="AB584" s="28">
        <v>40766</v>
      </c>
    </row>
    <row r="585" spans="1:28" ht="14.25" customHeight="1" x14ac:dyDescent="0.4">
      <c r="A585">
        <v>548</v>
      </c>
      <c r="B585" s="34">
        <v>0</v>
      </c>
      <c r="C585" s="34" t="s">
        <v>2165</v>
      </c>
      <c r="D585" s="34">
        <v>0</v>
      </c>
      <c r="E585" s="32">
        <v>40785</v>
      </c>
      <c r="F585" s="24" t="s">
        <v>393</v>
      </c>
      <c r="G585" s="24">
        <v>40786</v>
      </c>
      <c r="H585" s="134">
        <v>117</v>
      </c>
      <c r="I585" s="23">
        <v>40756</v>
      </c>
      <c r="J585" s="37">
        <v>62</v>
      </c>
      <c r="K585" s="24" t="s">
        <v>410</v>
      </c>
      <c r="L585" s="24">
        <v>40909</v>
      </c>
      <c r="M585" s="32">
        <v>40668</v>
      </c>
      <c r="N585" s="22" t="s">
        <v>1925</v>
      </c>
      <c r="O585" s="4">
        <v>9120289</v>
      </c>
      <c r="P585" s="22">
        <v>1020</v>
      </c>
      <c r="Q585" s="22">
        <v>50</v>
      </c>
      <c r="R585" s="22">
        <v>548061</v>
      </c>
      <c r="S585" s="4"/>
      <c r="T585" s="4"/>
      <c r="U585" s="44"/>
      <c r="V585" s="4"/>
      <c r="W585" s="57"/>
      <c r="X585" s="74"/>
      <c r="Y585" s="28" t="e">
        <v>#REF!</v>
      </c>
      <c r="Z585" s="28"/>
      <c r="AA585" s="24" t="s">
        <v>393</v>
      </c>
      <c r="AB585" s="28">
        <v>40786</v>
      </c>
    </row>
    <row r="586" spans="1:28" ht="14.25" customHeight="1" x14ac:dyDescent="0.4">
      <c r="A586">
        <v>549</v>
      </c>
      <c r="B586" s="34">
        <v>0</v>
      </c>
      <c r="C586" s="34">
        <v>0</v>
      </c>
      <c r="D586" s="34">
        <v>0</v>
      </c>
      <c r="E586" s="32">
        <v>40785</v>
      </c>
      <c r="F586" s="24" t="s">
        <v>393</v>
      </c>
      <c r="G586" s="24">
        <v>40786</v>
      </c>
      <c r="H586" s="134">
        <v>118</v>
      </c>
      <c r="I586" s="23">
        <v>40756</v>
      </c>
      <c r="J586" s="37">
        <v>63</v>
      </c>
      <c r="K586" s="24" t="s">
        <v>410</v>
      </c>
      <c r="L586" s="24">
        <v>40909</v>
      </c>
      <c r="M586" s="32">
        <v>40668</v>
      </c>
      <c r="N586" s="22" t="s">
        <v>1925</v>
      </c>
      <c r="O586" s="4">
        <v>9120290</v>
      </c>
      <c r="P586" s="22">
        <v>1020</v>
      </c>
      <c r="Q586" s="22">
        <v>50</v>
      </c>
      <c r="R586" s="22">
        <v>548060</v>
      </c>
      <c r="S586" s="4"/>
      <c r="T586" s="4"/>
      <c r="U586" s="94"/>
      <c r="V586" s="4"/>
      <c r="W586" s="92"/>
      <c r="X586" s="74"/>
      <c r="Y586" s="28" t="e">
        <v>#REF!</v>
      </c>
      <c r="Z586" s="9"/>
      <c r="AA586" s="24" t="s">
        <v>393</v>
      </c>
      <c r="AB586" s="28">
        <v>40786</v>
      </c>
    </row>
    <row r="587" spans="1:28" ht="14.25" customHeight="1" x14ac:dyDescent="0.4">
      <c r="A587">
        <v>550</v>
      </c>
      <c r="B587" s="34">
        <v>0</v>
      </c>
      <c r="C587" s="34">
        <v>0</v>
      </c>
      <c r="D587" s="34">
        <v>0</v>
      </c>
      <c r="E587" s="32">
        <v>40918</v>
      </c>
      <c r="F587" s="24" t="s">
        <v>393</v>
      </c>
      <c r="G587" s="24">
        <v>40921</v>
      </c>
      <c r="H587" s="134">
        <v>388</v>
      </c>
      <c r="I587" s="23">
        <v>40909</v>
      </c>
      <c r="J587" s="37">
        <v>21</v>
      </c>
      <c r="K587" s="24" t="s">
        <v>410</v>
      </c>
      <c r="L587" s="24">
        <v>40909</v>
      </c>
      <c r="M587" s="32">
        <v>40668</v>
      </c>
      <c r="N587" s="22" t="s">
        <v>1925</v>
      </c>
      <c r="O587" s="4">
        <v>9120291</v>
      </c>
      <c r="P587" s="22">
        <v>720</v>
      </c>
      <c r="Q587" s="22">
        <v>42</v>
      </c>
      <c r="R587" s="22" t="s">
        <v>2775</v>
      </c>
      <c r="S587" s="4"/>
      <c r="T587" s="4" t="s">
        <v>404</v>
      </c>
      <c r="U587" s="44">
        <v>40865</v>
      </c>
      <c r="V587" s="4" t="s">
        <v>404</v>
      </c>
      <c r="W587" s="9">
        <v>40950</v>
      </c>
      <c r="Y587" s="28" t="e">
        <v>#REF!</v>
      </c>
      <c r="Z587" s="9"/>
      <c r="AA587" s="24" t="s">
        <v>393</v>
      </c>
      <c r="AB587" s="28">
        <v>40921</v>
      </c>
    </row>
    <row r="588" spans="1:28" ht="14.25" customHeight="1" x14ac:dyDescent="0.4">
      <c r="A588">
        <v>551</v>
      </c>
      <c r="B588" s="34">
        <v>0</v>
      </c>
      <c r="C588" s="34">
        <v>0</v>
      </c>
      <c r="D588" s="34">
        <v>0</v>
      </c>
      <c r="E588" s="32">
        <v>40960</v>
      </c>
      <c r="F588" s="24" t="s">
        <v>393</v>
      </c>
      <c r="G588" s="24">
        <v>40962</v>
      </c>
      <c r="H588" s="134">
        <v>473</v>
      </c>
      <c r="I588" s="23">
        <v>40940</v>
      </c>
      <c r="J588" s="37">
        <v>43</v>
      </c>
      <c r="K588" s="24" t="s">
        <v>410</v>
      </c>
      <c r="L588" s="24">
        <v>40909</v>
      </c>
      <c r="M588" s="32">
        <v>40668</v>
      </c>
      <c r="N588" s="22" t="s">
        <v>1925</v>
      </c>
      <c r="O588" s="4">
        <v>9120292</v>
      </c>
      <c r="P588" s="22">
        <v>720</v>
      </c>
      <c r="Q588" s="22">
        <v>50</v>
      </c>
      <c r="R588" s="22">
        <v>548058</v>
      </c>
      <c r="S588" s="4"/>
      <c r="T588" s="4" t="s">
        <v>404</v>
      </c>
      <c r="U588" s="44">
        <v>41013</v>
      </c>
      <c r="V588" s="4"/>
      <c r="W588" s="28"/>
      <c r="X588" s="74"/>
      <c r="Y588" s="28" t="e">
        <v>#REF!</v>
      </c>
      <c r="Z588" s="28"/>
      <c r="AA588" s="24" t="s">
        <v>393</v>
      </c>
      <c r="AB588" s="28">
        <v>40962</v>
      </c>
    </row>
    <row r="589" spans="1:28" ht="14.25" customHeight="1" x14ac:dyDescent="0.4">
      <c r="A589">
        <v>582</v>
      </c>
      <c r="B589" s="34">
        <v>0</v>
      </c>
      <c r="C589" s="34" t="s">
        <v>2165</v>
      </c>
      <c r="D589" s="34">
        <v>0</v>
      </c>
      <c r="E589" s="32">
        <v>41029</v>
      </c>
      <c r="F589" s="24" t="s">
        <v>393</v>
      </c>
      <c r="G589" s="24">
        <v>41036</v>
      </c>
      <c r="H589" s="134">
        <v>566</v>
      </c>
      <c r="I589" s="23">
        <v>41000</v>
      </c>
      <c r="J589" s="37">
        <v>25</v>
      </c>
      <c r="K589" s="24" t="s">
        <v>410</v>
      </c>
      <c r="L589" s="24">
        <v>0</v>
      </c>
      <c r="M589" s="32">
        <v>41017</v>
      </c>
      <c r="N589" s="22" t="s">
        <v>1925</v>
      </c>
      <c r="O589" s="4">
        <v>9120582</v>
      </c>
      <c r="P589" s="22">
        <v>1220</v>
      </c>
      <c r="Q589" s="22">
        <v>50</v>
      </c>
      <c r="R589" s="22" t="s">
        <v>2776</v>
      </c>
      <c r="T589" s="4" t="s">
        <v>404</v>
      </c>
      <c r="U589" s="44">
        <v>41015</v>
      </c>
      <c r="AA589" s="24" t="s">
        <v>393</v>
      </c>
      <c r="AB589" s="28">
        <v>41036</v>
      </c>
    </row>
    <row r="590" spans="1:28" ht="14.25" customHeight="1" x14ac:dyDescent="0.4">
      <c r="A590">
        <v>597</v>
      </c>
      <c r="B590" s="34">
        <v>0</v>
      </c>
      <c r="C590" s="34" t="s">
        <v>2165</v>
      </c>
      <c r="D590" s="34">
        <v>0</v>
      </c>
      <c r="E590" s="32">
        <v>41051</v>
      </c>
      <c r="F590" s="24" t="s">
        <v>393</v>
      </c>
      <c r="G590" s="24">
        <v>41058</v>
      </c>
      <c r="H590" s="134">
        <v>590</v>
      </c>
      <c r="I590" s="23">
        <v>41030</v>
      </c>
      <c r="J590" s="37">
        <v>21</v>
      </c>
      <c r="K590" s="24" t="s">
        <v>410</v>
      </c>
      <c r="L590" s="24">
        <v>0</v>
      </c>
      <c r="M590" s="32">
        <v>41037</v>
      </c>
      <c r="N590" s="22" t="s">
        <v>1925</v>
      </c>
      <c r="O590" s="4">
        <v>9120597</v>
      </c>
      <c r="P590" s="22">
        <v>1220</v>
      </c>
      <c r="Q590" s="22">
        <v>50</v>
      </c>
      <c r="R590" s="22" t="s">
        <v>2777</v>
      </c>
      <c r="T590" s="4" t="s">
        <v>404</v>
      </c>
      <c r="U590" s="44">
        <v>41037</v>
      </c>
      <c r="AA590" s="24" t="s">
        <v>393</v>
      </c>
      <c r="AB590" s="28">
        <v>41058</v>
      </c>
    </row>
    <row r="591" spans="1:28" ht="14.25" customHeight="1" x14ac:dyDescent="0.4">
      <c r="A591">
        <v>552</v>
      </c>
      <c r="B591" s="32">
        <v>40770</v>
      </c>
      <c r="C591" s="32">
        <v>40770</v>
      </c>
      <c r="D591" s="32">
        <v>40770</v>
      </c>
      <c r="E591" s="32">
        <v>40770</v>
      </c>
      <c r="F591" s="24" t="s">
        <v>393</v>
      </c>
      <c r="G591" s="24">
        <v>40785</v>
      </c>
      <c r="H591" s="134">
        <v>85</v>
      </c>
      <c r="I591" s="23">
        <v>40756</v>
      </c>
      <c r="J591" s="37">
        <v>30</v>
      </c>
      <c r="K591" s="24" t="s">
        <v>410</v>
      </c>
      <c r="L591" s="24">
        <v>40756</v>
      </c>
      <c r="M591" s="32">
        <v>40656</v>
      </c>
      <c r="N591" s="22" t="s">
        <v>1822</v>
      </c>
      <c r="O591" s="4">
        <v>9120101</v>
      </c>
      <c r="P591" s="22">
        <v>1020</v>
      </c>
      <c r="Q591" s="22">
        <v>42</v>
      </c>
      <c r="R591" s="22">
        <v>0</v>
      </c>
      <c r="S591" s="38"/>
      <c r="T591" s="4"/>
      <c r="U591" s="164"/>
      <c r="V591" s="4"/>
      <c r="Y591" s="28" t="e">
        <v>#REF!</v>
      </c>
      <c r="AA591" s="24" t="s">
        <v>393</v>
      </c>
      <c r="AB591" s="28">
        <v>40785</v>
      </c>
    </row>
    <row r="592" spans="1:28" ht="14.25" customHeight="1" x14ac:dyDescent="0.4">
      <c r="A592">
        <v>553</v>
      </c>
      <c r="B592" s="32">
        <v>40779</v>
      </c>
      <c r="C592" s="32">
        <v>40779</v>
      </c>
      <c r="D592" s="32">
        <v>40779</v>
      </c>
      <c r="E592" s="32">
        <v>40779</v>
      </c>
      <c r="F592" s="24" t="s">
        <v>393</v>
      </c>
      <c r="G592" s="24">
        <v>40781</v>
      </c>
      <c r="H592" s="134">
        <v>106</v>
      </c>
      <c r="I592" s="23">
        <v>40756</v>
      </c>
      <c r="J592" s="37">
        <v>51</v>
      </c>
      <c r="K592" s="24" t="s">
        <v>410</v>
      </c>
      <c r="L592" s="24">
        <v>40756</v>
      </c>
      <c r="M592" s="32">
        <v>40656</v>
      </c>
      <c r="N592" s="22" t="s">
        <v>1822</v>
      </c>
      <c r="O592" s="4">
        <v>9120104</v>
      </c>
      <c r="P592" s="22">
        <v>1020</v>
      </c>
      <c r="Q592" s="22">
        <v>50</v>
      </c>
      <c r="R592" s="22">
        <v>0</v>
      </c>
      <c r="S592" s="38"/>
      <c r="T592" s="4" t="s">
        <v>404</v>
      </c>
      <c r="U592" s="164">
        <v>40890</v>
      </c>
      <c r="V592" s="4"/>
      <c r="Y592" s="28" t="e">
        <v>#REF!</v>
      </c>
      <c r="AA592" s="24" t="s">
        <v>393</v>
      </c>
      <c r="AB592" s="28">
        <v>40781</v>
      </c>
    </row>
    <row r="593" spans="1:34" ht="14.25" customHeight="1" x14ac:dyDescent="0.4">
      <c r="A593">
        <v>554</v>
      </c>
      <c r="B593" s="34">
        <v>0</v>
      </c>
      <c r="C593" s="34" t="s">
        <v>2165</v>
      </c>
      <c r="D593" s="34">
        <v>0</v>
      </c>
      <c r="E593" s="32">
        <v>40794</v>
      </c>
      <c r="F593" s="24" t="s">
        <v>393</v>
      </c>
      <c r="G593" s="24">
        <v>40808</v>
      </c>
      <c r="H593" s="134">
        <v>135</v>
      </c>
      <c r="I593" s="23">
        <v>40787</v>
      </c>
      <c r="J593" s="37">
        <v>11</v>
      </c>
      <c r="K593" s="24" t="s">
        <v>410</v>
      </c>
      <c r="L593" s="24">
        <v>40787</v>
      </c>
      <c r="M593" s="32">
        <v>40656</v>
      </c>
      <c r="N593" s="22" t="s">
        <v>1822</v>
      </c>
      <c r="O593" s="4">
        <v>9120102</v>
      </c>
      <c r="P593" s="22">
        <v>1020</v>
      </c>
      <c r="Q593" s="22">
        <v>42</v>
      </c>
      <c r="R593" s="22">
        <v>0</v>
      </c>
      <c r="S593" s="4"/>
      <c r="T593" s="4" t="s">
        <v>404</v>
      </c>
      <c r="U593" s="44">
        <v>41117</v>
      </c>
      <c r="V593" s="4"/>
      <c r="W593" s="57"/>
      <c r="X593" s="74"/>
      <c r="Y593" s="28" t="e">
        <v>#REF!</v>
      </c>
      <c r="Z593" s="28"/>
      <c r="AA593" s="24" t="s">
        <v>393</v>
      </c>
      <c r="AB593" s="28">
        <v>40808</v>
      </c>
    </row>
    <row r="594" spans="1:34" ht="14.25" customHeight="1" x14ac:dyDescent="0.4">
      <c r="A594">
        <v>555</v>
      </c>
      <c r="B594" s="34">
        <v>0</v>
      </c>
      <c r="C594" s="34" t="s">
        <v>2165</v>
      </c>
      <c r="D594" s="34">
        <v>0</v>
      </c>
      <c r="E594" s="32">
        <v>40794</v>
      </c>
      <c r="F594" s="24" t="s">
        <v>393</v>
      </c>
      <c r="G594" s="24">
        <v>40800</v>
      </c>
      <c r="H594" s="134">
        <v>136</v>
      </c>
      <c r="I594" s="23">
        <v>40787</v>
      </c>
      <c r="J594" s="37">
        <v>12</v>
      </c>
      <c r="K594" s="24" t="s">
        <v>410</v>
      </c>
      <c r="L594" s="24">
        <v>40787</v>
      </c>
      <c r="M594" s="32">
        <v>40656</v>
      </c>
      <c r="N594" s="22" t="s">
        <v>1822</v>
      </c>
      <c r="O594" s="4">
        <v>9120105</v>
      </c>
      <c r="P594" s="22">
        <v>1020</v>
      </c>
      <c r="Q594" s="22">
        <v>50</v>
      </c>
      <c r="R594" s="22">
        <v>0</v>
      </c>
      <c r="S594" s="4"/>
      <c r="T594" s="4"/>
      <c r="U594" s="44"/>
      <c r="V594" s="4"/>
      <c r="W594" s="57"/>
      <c r="X594" s="74"/>
      <c r="Y594" s="28" t="e">
        <v>#REF!</v>
      </c>
      <c r="Z594" s="28"/>
      <c r="AA594" s="24" t="s">
        <v>393</v>
      </c>
      <c r="AB594" s="28">
        <v>40800</v>
      </c>
    </row>
    <row r="595" spans="1:34" ht="14.25" customHeight="1" x14ac:dyDescent="0.4">
      <c r="A595">
        <v>556</v>
      </c>
      <c r="B595" s="32">
        <v>40826</v>
      </c>
      <c r="C595" s="32">
        <v>40826</v>
      </c>
      <c r="D595" s="32">
        <v>40826</v>
      </c>
      <c r="E595" s="32">
        <v>40826</v>
      </c>
      <c r="F595" s="24" t="s">
        <v>393</v>
      </c>
      <c r="G595" s="24">
        <v>40830</v>
      </c>
      <c r="H595" s="134">
        <v>201</v>
      </c>
      <c r="I595" s="23">
        <v>40817</v>
      </c>
      <c r="J595" s="37">
        <v>14</v>
      </c>
      <c r="K595" s="24" t="s">
        <v>410</v>
      </c>
      <c r="L595" s="24">
        <v>40817</v>
      </c>
      <c r="M595" s="32">
        <v>40656</v>
      </c>
      <c r="N595" s="22" t="s">
        <v>1822</v>
      </c>
      <c r="O595" s="4">
        <v>9120103</v>
      </c>
      <c r="P595" s="22">
        <v>1020</v>
      </c>
      <c r="Q595" s="22">
        <v>42</v>
      </c>
      <c r="R595" s="22">
        <v>0</v>
      </c>
      <c r="S595" s="55"/>
      <c r="T595" s="4"/>
      <c r="U595" s="94"/>
      <c r="V595" s="4"/>
      <c r="W595" s="92"/>
      <c r="X595" s="74"/>
      <c r="Y595" s="28" t="e">
        <v>#REF!</v>
      </c>
      <c r="Z595" s="9"/>
      <c r="AA595" s="24" t="s">
        <v>393</v>
      </c>
      <c r="AB595" s="28">
        <v>40830</v>
      </c>
    </row>
    <row r="596" spans="1:34" ht="14.25" customHeight="1" x14ac:dyDescent="0.4">
      <c r="A596">
        <v>557</v>
      </c>
      <c r="B596" s="32">
        <v>40826</v>
      </c>
      <c r="C596" s="32">
        <v>40826</v>
      </c>
      <c r="D596" s="32">
        <v>40826</v>
      </c>
      <c r="E596" s="32">
        <v>40826</v>
      </c>
      <c r="F596" s="24" t="s">
        <v>393</v>
      </c>
      <c r="G596" s="24">
        <v>40830</v>
      </c>
      <c r="H596" s="134">
        <v>202</v>
      </c>
      <c r="I596" s="23">
        <v>40817</v>
      </c>
      <c r="J596" s="37">
        <v>15</v>
      </c>
      <c r="K596" s="24" t="s">
        <v>410</v>
      </c>
      <c r="L596" s="24">
        <v>40817</v>
      </c>
      <c r="M596" s="32">
        <v>40656</v>
      </c>
      <c r="N596" s="22" t="s">
        <v>1822</v>
      </c>
      <c r="O596" s="4">
        <v>9120106</v>
      </c>
      <c r="P596" s="22">
        <v>1020</v>
      </c>
      <c r="Q596" s="22">
        <v>50</v>
      </c>
      <c r="R596" s="22">
        <v>0</v>
      </c>
      <c r="S596" s="55"/>
      <c r="T596" s="4" t="s">
        <v>404</v>
      </c>
      <c r="U596" s="44">
        <v>41117</v>
      </c>
      <c r="V596" s="4"/>
      <c r="W596" s="92"/>
      <c r="X596" s="74"/>
      <c r="Y596" s="28" t="e">
        <v>#REF!</v>
      </c>
      <c r="Z596" s="9"/>
      <c r="AA596" s="24" t="s">
        <v>393</v>
      </c>
      <c r="AB596" s="28">
        <v>40830</v>
      </c>
    </row>
    <row r="597" spans="1:34" ht="14.25" customHeight="1" x14ac:dyDescent="0.4">
      <c r="A597">
        <v>558</v>
      </c>
      <c r="B597" s="32">
        <v>40920</v>
      </c>
      <c r="C597" s="32">
        <v>40920</v>
      </c>
      <c r="D597" s="32">
        <v>40920</v>
      </c>
      <c r="E597" s="32">
        <v>40920</v>
      </c>
      <c r="F597" s="24" t="s">
        <v>393</v>
      </c>
      <c r="G597" s="24">
        <v>40947</v>
      </c>
      <c r="H597" s="35">
        <v>393</v>
      </c>
      <c r="I597" s="23">
        <v>40909</v>
      </c>
      <c r="J597" s="37">
        <v>26</v>
      </c>
      <c r="K597" s="24" t="s">
        <v>410</v>
      </c>
      <c r="L597" s="24">
        <v>40909</v>
      </c>
      <c r="M597" s="32">
        <v>40800</v>
      </c>
      <c r="N597" s="22" t="s">
        <v>1822</v>
      </c>
      <c r="O597" s="4">
        <v>9120473</v>
      </c>
      <c r="P597" s="22">
        <v>1020</v>
      </c>
      <c r="Q597" s="22">
        <v>42</v>
      </c>
      <c r="R597" s="22" t="s">
        <v>2778</v>
      </c>
      <c r="T597" s="4" t="s">
        <v>404</v>
      </c>
      <c r="U597" s="164">
        <v>40879</v>
      </c>
      <c r="V597" s="4"/>
      <c r="Y597" s="28" t="e">
        <v>#REF!</v>
      </c>
      <c r="AA597" s="24" t="s">
        <v>393</v>
      </c>
      <c r="AB597" s="28">
        <v>40947</v>
      </c>
    </row>
    <row r="598" spans="1:34" ht="14.25" customHeight="1" x14ac:dyDescent="0.4">
      <c r="A598">
        <v>559</v>
      </c>
      <c r="B598" s="32">
        <v>40920</v>
      </c>
      <c r="C598" s="32">
        <v>40920</v>
      </c>
      <c r="D598" s="32">
        <v>40920</v>
      </c>
      <c r="E598" s="32">
        <v>40920</v>
      </c>
      <c r="F598" s="24" t="s">
        <v>393</v>
      </c>
      <c r="G598" s="24">
        <v>40926</v>
      </c>
      <c r="H598" s="35">
        <v>394</v>
      </c>
      <c r="I598" s="23">
        <v>40909</v>
      </c>
      <c r="J598" s="37">
        <v>27</v>
      </c>
      <c r="K598" s="24" t="s">
        <v>410</v>
      </c>
      <c r="L598" s="24">
        <v>40940</v>
      </c>
      <c r="M598" s="32">
        <v>40800</v>
      </c>
      <c r="N598" s="22" t="s">
        <v>1822</v>
      </c>
      <c r="O598" s="4">
        <v>9120474</v>
      </c>
      <c r="P598" s="22">
        <v>720</v>
      </c>
      <c r="Q598" s="22">
        <v>42</v>
      </c>
      <c r="R598" s="22">
        <v>0</v>
      </c>
      <c r="T598" s="4" t="s">
        <v>404</v>
      </c>
      <c r="U598" s="164">
        <v>41047</v>
      </c>
      <c r="V598" s="4"/>
      <c r="Y598" s="28" t="e">
        <v>#REF!</v>
      </c>
      <c r="AA598" s="24" t="s">
        <v>393</v>
      </c>
      <c r="AB598" s="28">
        <v>40926</v>
      </c>
    </row>
    <row r="599" spans="1:34" ht="14.25" customHeight="1" x14ac:dyDescent="0.4">
      <c r="A599">
        <v>560</v>
      </c>
      <c r="B599" s="32">
        <v>40952</v>
      </c>
      <c r="C599" s="32">
        <v>40952</v>
      </c>
      <c r="D599" s="32">
        <v>40952</v>
      </c>
      <c r="E599" s="32">
        <v>40952</v>
      </c>
      <c r="F599" s="24" t="s">
        <v>393</v>
      </c>
      <c r="G599" s="24">
        <v>40963</v>
      </c>
      <c r="H599" s="35">
        <v>457</v>
      </c>
      <c r="I599" s="23">
        <v>40940</v>
      </c>
      <c r="J599" s="37">
        <v>27</v>
      </c>
      <c r="K599" s="24" t="s">
        <v>410</v>
      </c>
      <c r="L599" s="24">
        <v>40940</v>
      </c>
      <c r="M599" s="32">
        <v>40800</v>
      </c>
      <c r="N599" s="22" t="s">
        <v>1822</v>
      </c>
      <c r="O599" s="4">
        <v>9120475</v>
      </c>
      <c r="P599" s="22">
        <v>1220</v>
      </c>
      <c r="Q599" s="22">
        <v>50</v>
      </c>
      <c r="R599" s="22">
        <v>0</v>
      </c>
      <c r="T599" s="4"/>
      <c r="U599" s="164"/>
      <c r="V599" s="4"/>
      <c r="Y599" s="28" t="e">
        <v>#REF!</v>
      </c>
      <c r="AA599" s="24" t="s">
        <v>393</v>
      </c>
      <c r="AB599" s="28">
        <v>40963</v>
      </c>
    </row>
    <row r="600" spans="1:34" ht="14.25" customHeight="1" x14ac:dyDescent="0.4">
      <c r="A600">
        <v>561</v>
      </c>
      <c r="B600" s="32">
        <v>40746</v>
      </c>
      <c r="C600" s="32">
        <v>40746</v>
      </c>
      <c r="D600" s="32">
        <v>40746</v>
      </c>
      <c r="E600" s="32">
        <v>40746</v>
      </c>
      <c r="F600" s="24" t="s">
        <v>393</v>
      </c>
      <c r="G600" s="24">
        <v>40753</v>
      </c>
      <c r="H600" s="134">
        <v>36</v>
      </c>
      <c r="I600" s="23">
        <v>40725</v>
      </c>
      <c r="J600" s="37">
        <v>36</v>
      </c>
      <c r="K600" s="24" t="s">
        <v>410</v>
      </c>
      <c r="L600" s="24">
        <v>40756</v>
      </c>
      <c r="M600" s="32">
        <v>40673</v>
      </c>
      <c r="N600" s="22" t="s">
        <v>1746</v>
      </c>
      <c r="O600" s="4">
        <v>9120001</v>
      </c>
      <c r="P600" s="22">
        <v>1020</v>
      </c>
      <c r="Q600" s="22">
        <v>42</v>
      </c>
      <c r="R600" s="22">
        <v>0</v>
      </c>
      <c r="S600" s="4"/>
      <c r="T600" s="4"/>
      <c r="U600" s="44"/>
      <c r="V600" s="4"/>
      <c r="W600" s="9"/>
      <c r="X600" s="74"/>
      <c r="Y600" s="28" t="e">
        <v>#REF!</v>
      </c>
      <c r="Z600" s="9"/>
      <c r="AA600" s="24" t="s">
        <v>393</v>
      </c>
      <c r="AB600" s="28">
        <v>40753</v>
      </c>
    </row>
    <row r="601" spans="1:34" ht="14.25" customHeight="1" x14ac:dyDescent="0.4">
      <c r="A601">
        <v>562</v>
      </c>
      <c r="B601" s="32">
        <v>40763</v>
      </c>
      <c r="C601" s="32">
        <v>40763</v>
      </c>
      <c r="D601" s="32">
        <v>40763</v>
      </c>
      <c r="E601" s="32">
        <v>40763</v>
      </c>
      <c r="F601" s="24" t="s">
        <v>393</v>
      </c>
      <c r="G601" s="24">
        <v>40777</v>
      </c>
      <c r="H601" s="134">
        <v>70</v>
      </c>
      <c r="I601" s="23">
        <v>40756</v>
      </c>
      <c r="J601" s="37">
        <v>15</v>
      </c>
      <c r="K601" s="24" t="s">
        <v>410</v>
      </c>
      <c r="L601" s="24">
        <v>40756</v>
      </c>
      <c r="M601" s="32">
        <v>40673</v>
      </c>
      <c r="N601" s="22" t="s">
        <v>1746</v>
      </c>
      <c r="O601" s="4">
        <v>9120002</v>
      </c>
      <c r="P601" s="22">
        <v>1020</v>
      </c>
      <c r="Q601" s="22">
        <v>42</v>
      </c>
      <c r="R601" s="22">
        <v>0</v>
      </c>
      <c r="S601" s="4"/>
      <c r="T601" s="4" t="s">
        <v>404</v>
      </c>
      <c r="U601" s="44">
        <v>40778</v>
      </c>
      <c r="V601" s="4" t="s">
        <v>404</v>
      </c>
      <c r="W601" s="9">
        <v>40815</v>
      </c>
      <c r="X601" s="74">
        <v>0</v>
      </c>
      <c r="Y601" s="28" t="e">
        <v>#REF!</v>
      </c>
      <c r="Z601" s="28"/>
      <c r="AA601" s="24" t="s">
        <v>393</v>
      </c>
      <c r="AB601" s="28">
        <v>40777</v>
      </c>
    </row>
    <row r="602" spans="1:34" ht="14.25" customHeight="1" x14ac:dyDescent="0.4">
      <c r="A602">
        <v>563</v>
      </c>
      <c r="B602" s="32">
        <v>40763</v>
      </c>
      <c r="C602" s="32">
        <v>40763</v>
      </c>
      <c r="D602" s="32">
        <v>40763</v>
      </c>
      <c r="E602" s="32">
        <v>40763</v>
      </c>
      <c r="F602" s="24" t="s">
        <v>393</v>
      </c>
      <c r="G602" s="24">
        <v>40779</v>
      </c>
      <c r="H602" s="134">
        <v>71</v>
      </c>
      <c r="I602" s="23">
        <v>40756</v>
      </c>
      <c r="J602" s="37">
        <v>16</v>
      </c>
      <c r="K602" s="24" t="s">
        <v>410</v>
      </c>
      <c r="L602" s="24">
        <v>40756</v>
      </c>
      <c r="M602" s="32">
        <v>40673</v>
      </c>
      <c r="N602" s="22" t="s">
        <v>1746</v>
      </c>
      <c r="O602" s="4">
        <v>9120003</v>
      </c>
      <c r="P602" s="22">
        <v>1020</v>
      </c>
      <c r="Q602" s="22">
        <v>50</v>
      </c>
      <c r="R602" s="22">
        <v>0</v>
      </c>
      <c r="S602" s="4"/>
      <c r="T602" s="4" t="s">
        <v>404</v>
      </c>
      <c r="U602" s="44">
        <v>40794</v>
      </c>
      <c r="V602" s="4" t="s">
        <v>404</v>
      </c>
      <c r="W602" s="9">
        <v>40821</v>
      </c>
      <c r="X602" s="74">
        <v>0</v>
      </c>
      <c r="Y602" s="28" t="e">
        <v>#REF!</v>
      </c>
      <c r="Z602" s="9"/>
      <c r="AA602" s="24" t="s">
        <v>393</v>
      </c>
      <c r="AB602" s="28">
        <v>40779</v>
      </c>
    </row>
    <row r="603" spans="1:34" ht="14.25" customHeight="1" x14ac:dyDescent="0.4">
      <c r="A603">
        <v>564</v>
      </c>
      <c r="B603" s="32">
        <v>40763</v>
      </c>
      <c r="C603" s="32">
        <v>40763</v>
      </c>
      <c r="D603" s="32">
        <v>40763</v>
      </c>
      <c r="E603" s="32">
        <v>40763</v>
      </c>
      <c r="F603" s="24" t="s">
        <v>393</v>
      </c>
      <c r="G603" s="24">
        <v>40779</v>
      </c>
      <c r="H603" s="134">
        <v>72</v>
      </c>
      <c r="I603" s="23">
        <v>40756</v>
      </c>
      <c r="J603" s="37">
        <v>17</v>
      </c>
      <c r="K603" s="24" t="s">
        <v>410</v>
      </c>
      <c r="L603" s="24">
        <v>40756</v>
      </c>
      <c r="M603" s="32">
        <v>40673</v>
      </c>
      <c r="N603" s="22" t="s">
        <v>1746</v>
      </c>
      <c r="O603" s="4">
        <v>9120004</v>
      </c>
      <c r="P603" s="22">
        <v>1020</v>
      </c>
      <c r="Q603" s="22">
        <v>50</v>
      </c>
      <c r="R603" s="22">
        <v>0</v>
      </c>
      <c r="S603" s="4"/>
      <c r="T603" s="4" t="s">
        <v>404</v>
      </c>
      <c r="U603" s="44">
        <v>40865</v>
      </c>
      <c r="V603" s="4" t="s">
        <v>404</v>
      </c>
      <c r="W603" s="9">
        <v>40942</v>
      </c>
      <c r="X603" s="74">
        <v>0</v>
      </c>
      <c r="Y603" s="28" t="e">
        <v>#REF!</v>
      </c>
      <c r="Z603" s="9"/>
      <c r="AA603" s="24" t="s">
        <v>393</v>
      </c>
      <c r="AB603" s="28">
        <v>40779</v>
      </c>
    </row>
    <row r="604" spans="1:34" ht="14.25" customHeight="1" x14ac:dyDescent="0.4">
      <c r="A604">
        <v>565</v>
      </c>
      <c r="B604" s="32">
        <v>40764</v>
      </c>
      <c r="C604" s="32">
        <v>40764</v>
      </c>
      <c r="D604" s="32">
        <v>40764</v>
      </c>
      <c r="E604" s="32">
        <v>40764</v>
      </c>
      <c r="F604" s="24" t="s">
        <v>393</v>
      </c>
      <c r="G604" s="24">
        <v>40771</v>
      </c>
      <c r="H604" s="134">
        <v>73</v>
      </c>
      <c r="I604" s="23">
        <v>40756</v>
      </c>
      <c r="J604" s="37">
        <v>18</v>
      </c>
      <c r="K604" s="24" t="s">
        <v>410</v>
      </c>
      <c r="L604" s="24">
        <v>40756</v>
      </c>
      <c r="M604" s="32">
        <v>40673</v>
      </c>
      <c r="N604" s="22" t="s">
        <v>1746</v>
      </c>
      <c r="O604" s="4">
        <v>9120005</v>
      </c>
      <c r="P604" s="22">
        <v>1020</v>
      </c>
      <c r="Q604" s="22">
        <v>42</v>
      </c>
      <c r="R604" s="22">
        <v>0</v>
      </c>
      <c r="S604" s="4"/>
      <c r="T604" s="4"/>
      <c r="U604" s="44"/>
      <c r="V604" s="4"/>
      <c r="W604" s="9"/>
      <c r="X604" s="74">
        <v>0</v>
      </c>
      <c r="Y604" s="28" t="e">
        <v>#REF!</v>
      </c>
      <c r="Z604" s="9"/>
      <c r="AA604" s="24" t="s">
        <v>393</v>
      </c>
      <c r="AB604" s="28">
        <v>40771</v>
      </c>
    </row>
    <row r="605" spans="1:34" ht="14.25" customHeight="1" x14ac:dyDescent="0.4">
      <c r="A605">
        <v>566</v>
      </c>
      <c r="B605" s="32">
        <v>40765</v>
      </c>
      <c r="C605" s="32">
        <v>40765</v>
      </c>
      <c r="D605" s="32">
        <v>40765</v>
      </c>
      <c r="E605" s="32">
        <v>40765</v>
      </c>
      <c r="F605" s="24" t="s">
        <v>393</v>
      </c>
      <c r="G605" s="24">
        <v>40774</v>
      </c>
      <c r="H605" s="134">
        <v>77</v>
      </c>
      <c r="I605" s="23">
        <v>40756</v>
      </c>
      <c r="J605" s="37">
        <v>22</v>
      </c>
      <c r="K605" s="24" t="s">
        <v>410</v>
      </c>
      <c r="L605" s="24">
        <v>40756</v>
      </c>
      <c r="M605" s="32">
        <v>40673</v>
      </c>
      <c r="N605" s="22" t="s">
        <v>1746</v>
      </c>
      <c r="O605" s="4">
        <v>9120006</v>
      </c>
      <c r="P605" s="22">
        <v>1020</v>
      </c>
      <c r="Q605" s="22">
        <v>50</v>
      </c>
      <c r="R605" s="22">
        <v>0</v>
      </c>
      <c r="S605" s="4"/>
      <c r="T605" s="4" t="s">
        <v>404</v>
      </c>
      <c r="U605" s="44">
        <v>40913</v>
      </c>
      <c r="V605" s="4" t="s">
        <v>404</v>
      </c>
      <c r="W605" s="9">
        <v>40976</v>
      </c>
      <c r="X605" s="74">
        <v>0</v>
      </c>
      <c r="Y605" s="28" t="e">
        <v>#REF!</v>
      </c>
      <c r="Z605" s="9"/>
      <c r="AA605" s="24" t="s">
        <v>393</v>
      </c>
      <c r="AB605" s="28">
        <v>40774</v>
      </c>
    </row>
    <row r="606" spans="1:34" s="69" customFormat="1" ht="14.25" customHeight="1" x14ac:dyDescent="0.4">
      <c r="A606">
        <v>567</v>
      </c>
      <c r="B606" s="32">
        <v>40765</v>
      </c>
      <c r="C606" s="32">
        <v>40765</v>
      </c>
      <c r="D606" s="32">
        <v>40765</v>
      </c>
      <c r="E606" s="32">
        <v>40765</v>
      </c>
      <c r="F606" s="24" t="s">
        <v>393</v>
      </c>
      <c r="G606" s="24">
        <v>40771</v>
      </c>
      <c r="H606" s="134">
        <v>78</v>
      </c>
      <c r="I606" s="23">
        <v>40756</v>
      </c>
      <c r="J606" s="37">
        <v>23</v>
      </c>
      <c r="K606" s="24" t="s">
        <v>410</v>
      </c>
      <c r="L606" s="24">
        <v>40756</v>
      </c>
      <c r="M606" s="32">
        <v>40673</v>
      </c>
      <c r="N606" s="22" t="s">
        <v>1746</v>
      </c>
      <c r="O606" s="4">
        <v>9120007</v>
      </c>
      <c r="P606" s="22">
        <v>1020</v>
      </c>
      <c r="Q606" s="22">
        <v>50</v>
      </c>
      <c r="R606" s="22">
        <v>0</v>
      </c>
      <c r="S606" s="4"/>
      <c r="T606" s="4"/>
      <c r="U606" s="44"/>
      <c r="V606" s="4"/>
      <c r="W606" s="9"/>
      <c r="X606" s="74">
        <v>0</v>
      </c>
      <c r="Y606" s="28" t="e">
        <v>#REF!</v>
      </c>
      <c r="Z606" s="9"/>
      <c r="AA606" s="24" t="s">
        <v>393</v>
      </c>
      <c r="AB606" s="28">
        <v>40771</v>
      </c>
      <c r="AH606" s="64"/>
    </row>
    <row r="607" spans="1:34" ht="14.25" customHeight="1" x14ac:dyDescent="0.4">
      <c r="A607">
        <v>568</v>
      </c>
      <c r="B607" s="32">
        <v>40766</v>
      </c>
      <c r="C607" s="32">
        <v>40766</v>
      </c>
      <c r="D607" s="32">
        <v>40766</v>
      </c>
      <c r="E607" s="32">
        <v>40766</v>
      </c>
      <c r="F607" s="24" t="s">
        <v>393</v>
      </c>
      <c r="G607" s="24">
        <v>40778</v>
      </c>
      <c r="H607" s="134">
        <v>79</v>
      </c>
      <c r="I607" s="23">
        <v>40756</v>
      </c>
      <c r="J607" s="37">
        <v>24</v>
      </c>
      <c r="K607" s="24" t="s">
        <v>410</v>
      </c>
      <c r="L607" s="24">
        <v>40756</v>
      </c>
      <c r="M607" s="32">
        <v>40673</v>
      </c>
      <c r="N607" s="22" t="s">
        <v>1746</v>
      </c>
      <c r="O607" s="4">
        <v>9120008</v>
      </c>
      <c r="P607" s="22">
        <v>1020</v>
      </c>
      <c r="Q607" s="22">
        <v>42</v>
      </c>
      <c r="R607" s="22">
        <v>0</v>
      </c>
      <c r="S607" s="4"/>
      <c r="T607" s="4"/>
      <c r="U607" s="44"/>
      <c r="V607" s="4"/>
      <c r="W607" s="9"/>
      <c r="X607" s="74">
        <v>0</v>
      </c>
      <c r="Y607" s="28" t="e">
        <v>#REF!</v>
      </c>
      <c r="Z607" s="9"/>
      <c r="AA607" s="24" t="s">
        <v>393</v>
      </c>
      <c r="AB607" s="28">
        <v>40778</v>
      </c>
    </row>
    <row r="608" spans="1:34" ht="14.25" customHeight="1" x14ac:dyDescent="0.4">
      <c r="A608">
        <v>569</v>
      </c>
      <c r="B608" s="34" t="s">
        <v>1087</v>
      </c>
      <c r="C608" s="34" t="s">
        <v>2165</v>
      </c>
      <c r="D608" s="34">
        <v>0</v>
      </c>
      <c r="E608" s="32">
        <v>40788</v>
      </c>
      <c r="F608" s="24" t="s">
        <v>393</v>
      </c>
      <c r="G608" s="24">
        <v>40793</v>
      </c>
      <c r="H608" s="134">
        <v>125</v>
      </c>
      <c r="I608" s="23">
        <v>40787</v>
      </c>
      <c r="J608" s="37">
        <v>1</v>
      </c>
      <c r="K608" s="24" t="s">
        <v>410</v>
      </c>
      <c r="L608" s="24">
        <v>40787</v>
      </c>
      <c r="M608" s="32">
        <v>40673</v>
      </c>
      <c r="N608" s="22" t="s">
        <v>1746</v>
      </c>
      <c r="O608" s="4">
        <v>9120009</v>
      </c>
      <c r="P608" s="22">
        <v>1020</v>
      </c>
      <c r="Q608" s="22">
        <v>42</v>
      </c>
      <c r="R608" s="22">
        <v>0</v>
      </c>
      <c r="S608" s="4"/>
      <c r="T608" s="4"/>
      <c r="U608" s="44"/>
      <c r="V608" s="4"/>
      <c r="W608" s="92"/>
      <c r="X608" s="74"/>
      <c r="Y608" s="28" t="e">
        <v>#REF!</v>
      </c>
      <c r="Z608" s="28"/>
      <c r="AA608" s="24" t="s">
        <v>393</v>
      </c>
      <c r="AB608" s="28">
        <v>40793</v>
      </c>
    </row>
    <row r="609" spans="1:28" ht="14.25" customHeight="1" x14ac:dyDescent="0.4">
      <c r="A609">
        <v>570</v>
      </c>
      <c r="B609" s="34">
        <v>0</v>
      </c>
      <c r="C609" s="34" t="s">
        <v>2165</v>
      </c>
      <c r="D609" s="34">
        <v>0</v>
      </c>
      <c r="E609" s="32">
        <v>40788</v>
      </c>
      <c r="F609" s="24" t="s">
        <v>393</v>
      </c>
      <c r="G609" s="24">
        <v>40808</v>
      </c>
      <c r="H609" s="134">
        <v>126</v>
      </c>
      <c r="I609" s="23">
        <v>40787</v>
      </c>
      <c r="J609" s="37">
        <v>2</v>
      </c>
      <c r="K609" s="24" t="s">
        <v>410</v>
      </c>
      <c r="L609" s="24">
        <v>40787</v>
      </c>
      <c r="M609" s="32">
        <v>40673</v>
      </c>
      <c r="N609" s="22" t="s">
        <v>1746</v>
      </c>
      <c r="O609" s="4">
        <v>9120010</v>
      </c>
      <c r="P609" s="22">
        <v>1020</v>
      </c>
      <c r="Q609" s="22">
        <v>42</v>
      </c>
      <c r="R609" s="22">
        <v>0</v>
      </c>
      <c r="S609" s="4"/>
      <c r="T609" s="4" t="s">
        <v>404</v>
      </c>
      <c r="U609" s="44">
        <v>40998</v>
      </c>
      <c r="V609" s="4" t="s">
        <v>404</v>
      </c>
      <c r="W609" s="92">
        <v>40998</v>
      </c>
      <c r="X609" s="74"/>
      <c r="Y609" s="28" t="e">
        <v>#REF!</v>
      </c>
      <c r="Z609" s="28"/>
      <c r="AA609" s="24" t="s">
        <v>393</v>
      </c>
      <c r="AB609" s="28">
        <v>40808</v>
      </c>
    </row>
    <row r="610" spans="1:28" ht="14.25" customHeight="1" x14ac:dyDescent="0.4">
      <c r="A610">
        <v>571</v>
      </c>
      <c r="B610" s="32">
        <v>40820</v>
      </c>
      <c r="C610" s="32">
        <v>40820</v>
      </c>
      <c r="D610" s="32">
        <v>40820</v>
      </c>
      <c r="E610" s="32">
        <v>40820</v>
      </c>
      <c r="F610" s="24" t="s">
        <v>393</v>
      </c>
      <c r="G610" s="24">
        <v>40835</v>
      </c>
      <c r="H610" s="134">
        <v>190</v>
      </c>
      <c r="I610" s="23">
        <v>40817</v>
      </c>
      <c r="J610" s="37">
        <v>3</v>
      </c>
      <c r="K610" s="24" t="s">
        <v>410</v>
      </c>
      <c r="L610" s="24">
        <v>40817</v>
      </c>
      <c r="M610" s="32">
        <v>40673</v>
      </c>
      <c r="N610" s="22" t="s">
        <v>1746</v>
      </c>
      <c r="O610" s="4">
        <v>9120011</v>
      </c>
      <c r="P610" s="22">
        <v>1020</v>
      </c>
      <c r="Q610" s="22">
        <v>50</v>
      </c>
      <c r="R610" s="22" t="s">
        <v>2779</v>
      </c>
      <c r="S610" s="55"/>
      <c r="T610" s="4" t="s">
        <v>404</v>
      </c>
      <c r="U610" s="94">
        <v>40787</v>
      </c>
      <c r="V610" s="4" t="s">
        <v>404</v>
      </c>
      <c r="W610" s="136">
        <v>40836</v>
      </c>
      <c r="X610" s="74"/>
      <c r="Y610" s="28" t="e">
        <v>#REF!</v>
      </c>
      <c r="Z610" s="28"/>
      <c r="AA610" s="24" t="s">
        <v>393</v>
      </c>
      <c r="AB610" s="28">
        <v>40835</v>
      </c>
    </row>
    <row r="611" spans="1:28" ht="14.25" customHeight="1" x14ac:dyDescent="0.4">
      <c r="A611">
        <v>572</v>
      </c>
      <c r="B611" s="32">
        <v>40821</v>
      </c>
      <c r="C611" s="32">
        <v>40821</v>
      </c>
      <c r="D611" s="32">
        <v>40821</v>
      </c>
      <c r="E611" s="32">
        <v>40821</v>
      </c>
      <c r="F611" s="24" t="s">
        <v>393</v>
      </c>
      <c r="G611" s="24">
        <v>40829</v>
      </c>
      <c r="H611" s="134">
        <v>191</v>
      </c>
      <c r="I611" s="23">
        <v>40817</v>
      </c>
      <c r="J611" s="37">
        <v>4</v>
      </c>
      <c r="K611" s="24" t="s">
        <v>410</v>
      </c>
      <c r="L611" s="24">
        <v>40817</v>
      </c>
      <c r="M611" s="32">
        <v>40673</v>
      </c>
      <c r="N611" s="22" t="s">
        <v>1746</v>
      </c>
      <c r="O611" s="4">
        <v>9120012</v>
      </c>
      <c r="P611" s="22">
        <v>1020</v>
      </c>
      <c r="Q611" s="22">
        <v>42</v>
      </c>
      <c r="R611" s="22" t="s">
        <v>2780</v>
      </c>
      <c r="S611" s="55"/>
      <c r="T611" s="4" t="s">
        <v>404</v>
      </c>
      <c r="U611" s="94">
        <v>40794</v>
      </c>
      <c r="V611" s="4" t="s">
        <v>404</v>
      </c>
      <c r="W611" s="136">
        <v>40844</v>
      </c>
      <c r="X611" s="74"/>
      <c r="Y611" s="28" t="e">
        <v>#REF!</v>
      </c>
      <c r="Z611" s="28"/>
      <c r="AA611" s="24" t="s">
        <v>393</v>
      </c>
      <c r="AB611" s="28">
        <v>40829</v>
      </c>
    </row>
    <row r="612" spans="1:28" ht="14.25" customHeight="1" x14ac:dyDescent="0.4">
      <c r="A612">
        <v>573</v>
      </c>
      <c r="B612" s="34">
        <v>0</v>
      </c>
      <c r="C612" s="34" t="s">
        <v>2165</v>
      </c>
      <c r="D612" s="34">
        <v>0</v>
      </c>
      <c r="E612" s="32">
        <v>40878</v>
      </c>
      <c r="F612" s="24" t="s">
        <v>393</v>
      </c>
      <c r="G612" s="24">
        <v>40889</v>
      </c>
      <c r="H612" s="134">
        <v>314</v>
      </c>
      <c r="I612" s="23">
        <v>40878</v>
      </c>
      <c r="J612" s="37">
        <v>4</v>
      </c>
      <c r="K612" s="24" t="s">
        <v>410</v>
      </c>
      <c r="L612" s="24">
        <v>40848</v>
      </c>
      <c r="M612" s="32">
        <v>40673</v>
      </c>
      <c r="N612" s="22" t="s">
        <v>1746</v>
      </c>
      <c r="O612" s="4">
        <v>9120013</v>
      </c>
      <c r="P612" s="22">
        <v>1020</v>
      </c>
      <c r="Q612" s="22">
        <v>50</v>
      </c>
      <c r="R612" s="22" t="s">
        <v>2781</v>
      </c>
      <c r="S612" s="4"/>
      <c r="T612" s="4" t="s">
        <v>404</v>
      </c>
      <c r="U612" s="44">
        <v>40787</v>
      </c>
      <c r="V612" s="4" t="s">
        <v>404</v>
      </c>
      <c r="W612" s="57">
        <v>40952</v>
      </c>
      <c r="X612" s="74"/>
      <c r="Y612" s="28" t="e">
        <v>#REF!</v>
      </c>
      <c r="Z612" s="28"/>
      <c r="AA612" s="24" t="s">
        <v>393</v>
      </c>
      <c r="AB612" s="28">
        <v>40889</v>
      </c>
    </row>
    <row r="613" spans="1:28" ht="14.25" customHeight="1" x14ac:dyDescent="0.4">
      <c r="A613">
        <v>574</v>
      </c>
      <c r="B613" s="34">
        <v>0</v>
      </c>
      <c r="C613" s="34" t="s">
        <v>2165</v>
      </c>
      <c r="D613" s="34">
        <v>0</v>
      </c>
      <c r="E613" s="32">
        <v>40878</v>
      </c>
      <c r="F613" s="24" t="s">
        <v>393</v>
      </c>
      <c r="G613" s="24">
        <v>40883</v>
      </c>
      <c r="H613" s="134">
        <v>315</v>
      </c>
      <c r="I613" s="23">
        <v>40878</v>
      </c>
      <c r="J613" s="37">
        <v>5</v>
      </c>
      <c r="K613" s="24" t="s">
        <v>410</v>
      </c>
      <c r="L613" s="24">
        <v>40848</v>
      </c>
      <c r="M613" s="32">
        <v>40673</v>
      </c>
      <c r="N613" s="22" t="s">
        <v>1746</v>
      </c>
      <c r="O613" s="4">
        <v>9120014</v>
      </c>
      <c r="P613" s="22">
        <v>1020</v>
      </c>
      <c r="Q613" s="22">
        <v>50</v>
      </c>
      <c r="R613" s="22" t="s">
        <v>2782</v>
      </c>
      <c r="S613" s="4"/>
      <c r="T613" s="4" t="s">
        <v>404</v>
      </c>
      <c r="U613" s="44">
        <v>40800</v>
      </c>
      <c r="V613" s="4" t="s">
        <v>404</v>
      </c>
      <c r="W613" s="57">
        <v>40953</v>
      </c>
      <c r="X613" s="74"/>
      <c r="Y613" s="28" t="e">
        <v>#REF!</v>
      </c>
      <c r="Z613" s="28"/>
      <c r="AA613" s="24" t="s">
        <v>393</v>
      </c>
      <c r="AB613" s="28">
        <v>40883</v>
      </c>
    </row>
    <row r="614" spans="1:28" ht="14.25" customHeight="1" x14ac:dyDescent="0.4">
      <c r="A614">
        <v>606</v>
      </c>
      <c r="B614" s="34">
        <v>0</v>
      </c>
      <c r="C614" s="34">
        <v>0</v>
      </c>
      <c r="D614" s="34">
        <v>0</v>
      </c>
      <c r="E614" s="32">
        <v>41085</v>
      </c>
      <c r="F614" s="24" t="s">
        <v>393</v>
      </c>
      <c r="G614" s="24">
        <v>41094</v>
      </c>
      <c r="H614" s="134">
        <v>605</v>
      </c>
      <c r="I614" s="23">
        <v>41061</v>
      </c>
      <c r="J614" s="37">
        <v>15</v>
      </c>
      <c r="K614" s="24" t="s">
        <v>410</v>
      </c>
      <c r="L614" s="24">
        <v>0</v>
      </c>
      <c r="M614" s="32">
        <v>41072</v>
      </c>
      <c r="N614" s="22" t="s">
        <v>611</v>
      </c>
      <c r="O614" s="4">
        <v>9120606</v>
      </c>
      <c r="P614" s="22">
        <v>1020</v>
      </c>
      <c r="Q614" s="22">
        <v>50</v>
      </c>
      <c r="R614" s="22" t="s">
        <v>2783</v>
      </c>
      <c r="T614" s="4" t="s">
        <v>404</v>
      </c>
      <c r="U614" s="164">
        <v>41159</v>
      </c>
      <c r="V614" s="1" t="s">
        <v>404</v>
      </c>
      <c r="W614" s="164">
        <v>41166</v>
      </c>
      <c r="AA614" s="24" t="s">
        <v>393</v>
      </c>
      <c r="AB614" s="28">
        <v>41094</v>
      </c>
    </row>
    <row r="615" spans="1:28" ht="14.25" customHeight="1" x14ac:dyDescent="0.4">
      <c r="A615">
        <v>607</v>
      </c>
      <c r="B615" s="34">
        <v>0</v>
      </c>
      <c r="C615" s="34" t="s">
        <v>2165</v>
      </c>
      <c r="D615" s="34">
        <v>0</v>
      </c>
      <c r="E615" s="32">
        <v>41085</v>
      </c>
      <c r="F615" s="24" t="s">
        <v>393</v>
      </c>
      <c r="G615" s="24">
        <v>41094</v>
      </c>
      <c r="H615" s="134">
        <v>606</v>
      </c>
      <c r="I615" s="23">
        <v>41061</v>
      </c>
      <c r="J615" s="37">
        <v>16</v>
      </c>
      <c r="K615" s="24" t="s">
        <v>410</v>
      </c>
      <c r="L615" s="24">
        <v>0</v>
      </c>
      <c r="M615" s="32">
        <v>41072</v>
      </c>
      <c r="N615" s="22" t="s">
        <v>611</v>
      </c>
      <c r="O615" s="4">
        <v>9120607</v>
      </c>
      <c r="P615" s="22">
        <v>720</v>
      </c>
      <c r="Q615" s="22">
        <v>50</v>
      </c>
      <c r="R615" s="22" t="s">
        <v>2784</v>
      </c>
      <c r="U615" s="164"/>
      <c r="AA615" s="24" t="s">
        <v>393</v>
      </c>
      <c r="AB615" s="28">
        <v>41094</v>
      </c>
    </row>
    <row r="616" spans="1:28" ht="14.25" customHeight="1" x14ac:dyDescent="0.4">
      <c r="A616">
        <v>610</v>
      </c>
      <c r="O616" s="4"/>
      <c r="T616"/>
      <c r="U616"/>
      <c r="AA616" s="24"/>
      <c r="AB616" s="28"/>
    </row>
    <row r="617" spans="1:28" ht="14.25" customHeight="1" x14ac:dyDescent="0.4">
      <c r="A617">
        <v>611</v>
      </c>
      <c r="O617" s="4"/>
      <c r="T617"/>
      <c r="U617"/>
    </row>
    <row r="618" spans="1:28" ht="14.25" customHeight="1" x14ac:dyDescent="0.4">
      <c r="A618">
        <v>612</v>
      </c>
      <c r="O618" s="4"/>
      <c r="T618"/>
      <c r="U618"/>
    </row>
    <row r="619" spans="1:28" ht="14.25" customHeight="1" x14ac:dyDescent="0.4">
      <c r="A619">
        <v>613</v>
      </c>
      <c r="O619" s="4"/>
      <c r="T619"/>
      <c r="U619"/>
    </row>
    <row r="620" spans="1:28" ht="14.25" customHeight="1" x14ac:dyDescent="0.4">
      <c r="A620">
        <v>614</v>
      </c>
      <c r="O620" s="4"/>
      <c r="T620"/>
      <c r="U620"/>
    </row>
    <row r="621" spans="1:28" ht="14.25" customHeight="1" x14ac:dyDescent="0.4">
      <c r="A621">
        <v>615</v>
      </c>
      <c r="O621" s="4"/>
      <c r="T621"/>
      <c r="U621"/>
    </row>
    <row r="622" spans="1:28" ht="14.25" customHeight="1" x14ac:dyDescent="0.4">
      <c r="A622">
        <v>616</v>
      </c>
      <c r="O622" s="4"/>
      <c r="T622"/>
      <c r="U622"/>
    </row>
    <row r="623" spans="1:28" ht="14.25" customHeight="1" x14ac:dyDescent="0.4">
      <c r="A623">
        <v>617</v>
      </c>
      <c r="O623" s="4"/>
      <c r="T623"/>
      <c r="U623"/>
    </row>
    <row r="624" spans="1:28" ht="14.25" customHeight="1" x14ac:dyDescent="0.4">
      <c r="A624">
        <v>618</v>
      </c>
      <c r="O624" s="4"/>
      <c r="T624"/>
      <c r="U624"/>
    </row>
    <row r="625" spans="1:21" ht="14.25" customHeight="1" x14ac:dyDescent="0.4">
      <c r="A625">
        <v>619</v>
      </c>
      <c r="O625" s="4"/>
      <c r="T625"/>
      <c r="U625"/>
    </row>
    <row r="626" spans="1:21" ht="14.25" customHeight="1" x14ac:dyDescent="0.4">
      <c r="A626">
        <v>620</v>
      </c>
      <c r="O626" s="4"/>
      <c r="T626"/>
      <c r="U626"/>
    </row>
    <row r="627" spans="1:21" ht="14.25" customHeight="1" x14ac:dyDescent="0.4">
      <c r="A627">
        <v>621</v>
      </c>
      <c r="O627" s="4"/>
      <c r="T627"/>
      <c r="U627"/>
    </row>
    <row r="628" spans="1:21" ht="14.25" customHeight="1" x14ac:dyDescent="0.4">
      <c r="A628">
        <v>622</v>
      </c>
      <c r="O628" s="4"/>
      <c r="T628"/>
      <c r="U628"/>
    </row>
    <row r="629" spans="1:21" ht="14.25" customHeight="1" x14ac:dyDescent="0.4">
      <c r="A629">
        <v>623</v>
      </c>
      <c r="O629" s="4"/>
      <c r="T629"/>
      <c r="U629"/>
    </row>
    <row r="630" spans="1:21" ht="14.25" customHeight="1" x14ac:dyDescent="0.4">
      <c r="A630">
        <v>624</v>
      </c>
      <c r="O630" s="4"/>
      <c r="T630"/>
      <c r="U630"/>
    </row>
    <row r="631" spans="1:21" ht="14.25" customHeight="1" x14ac:dyDescent="0.4">
      <c r="A631">
        <v>625</v>
      </c>
      <c r="O631" s="4"/>
      <c r="T631"/>
      <c r="U631"/>
    </row>
    <row r="632" spans="1:21" ht="14.25" customHeight="1" x14ac:dyDescent="0.4">
      <c r="A632">
        <v>626</v>
      </c>
      <c r="O632" s="4"/>
      <c r="T632"/>
      <c r="U632"/>
    </row>
    <row r="633" spans="1:21" ht="14.25" customHeight="1" x14ac:dyDescent="0.4">
      <c r="A633">
        <v>627</v>
      </c>
      <c r="O633" s="4"/>
      <c r="T633"/>
      <c r="U633"/>
    </row>
    <row r="634" spans="1:21" ht="14.25" customHeight="1" x14ac:dyDescent="0.4">
      <c r="A634">
        <v>628</v>
      </c>
      <c r="O634" s="4"/>
      <c r="T634"/>
      <c r="U634"/>
    </row>
    <row r="635" spans="1:21" ht="14.25" customHeight="1" x14ac:dyDescent="0.4">
      <c r="A635">
        <v>629</v>
      </c>
      <c r="O635" s="4"/>
      <c r="T635"/>
      <c r="U635"/>
    </row>
    <row r="636" spans="1:21" ht="14.25" customHeight="1" x14ac:dyDescent="0.4">
      <c r="A636">
        <v>630</v>
      </c>
      <c r="O636" s="4"/>
      <c r="T636"/>
      <c r="U636"/>
    </row>
    <row r="637" spans="1:21" ht="14.25" customHeight="1" x14ac:dyDescent="0.4">
      <c r="A637">
        <v>631</v>
      </c>
      <c r="O637" s="4"/>
      <c r="T637"/>
      <c r="U637"/>
    </row>
    <row r="638" spans="1:21" ht="14.25" customHeight="1" x14ac:dyDescent="0.4">
      <c r="A638">
        <v>632</v>
      </c>
      <c r="O638" s="4"/>
      <c r="T638"/>
      <c r="U638"/>
    </row>
    <row r="639" spans="1:21" ht="14.25" customHeight="1" x14ac:dyDescent="0.4">
      <c r="A639">
        <v>633</v>
      </c>
      <c r="O639" s="4"/>
      <c r="T639"/>
      <c r="U639"/>
    </row>
    <row r="640" spans="1:21" ht="14.25" customHeight="1" x14ac:dyDescent="0.4">
      <c r="A640">
        <v>634</v>
      </c>
      <c r="O640" s="4"/>
      <c r="T640"/>
      <c r="U640"/>
    </row>
    <row r="641" spans="1:21" ht="14.25" customHeight="1" x14ac:dyDescent="0.4">
      <c r="A641">
        <v>635</v>
      </c>
      <c r="O641" s="4"/>
      <c r="T641"/>
      <c r="U641"/>
    </row>
    <row r="642" spans="1:21" ht="14.25" customHeight="1" x14ac:dyDescent="0.4">
      <c r="A642">
        <v>636</v>
      </c>
      <c r="O642" s="4"/>
      <c r="T642"/>
      <c r="U642"/>
    </row>
    <row r="643" spans="1:21" ht="14.25" customHeight="1" x14ac:dyDescent="0.4">
      <c r="A643">
        <v>637</v>
      </c>
      <c r="O643" s="4"/>
      <c r="T643"/>
      <c r="U643"/>
    </row>
    <row r="644" spans="1:21" ht="14.25" customHeight="1" x14ac:dyDescent="0.4">
      <c r="A644">
        <v>638</v>
      </c>
      <c r="O644" s="4"/>
      <c r="T644"/>
      <c r="U644"/>
    </row>
    <row r="645" spans="1:21" ht="14.25" customHeight="1" x14ac:dyDescent="0.4">
      <c r="A645">
        <v>639</v>
      </c>
      <c r="O645" s="4"/>
      <c r="T645"/>
      <c r="U645"/>
    </row>
    <row r="646" spans="1:21" ht="14.25" customHeight="1" x14ac:dyDescent="0.4">
      <c r="A646">
        <v>640</v>
      </c>
      <c r="O646" s="4"/>
      <c r="T646"/>
      <c r="U646"/>
    </row>
    <row r="647" spans="1:21" ht="14.25" customHeight="1" x14ac:dyDescent="0.4">
      <c r="A647">
        <v>641</v>
      </c>
      <c r="O647" s="4"/>
      <c r="T647"/>
      <c r="U647"/>
    </row>
    <row r="648" spans="1:21" ht="14.25" customHeight="1" x14ac:dyDescent="0.4">
      <c r="A648">
        <v>642</v>
      </c>
      <c r="O648" s="4"/>
      <c r="T648"/>
      <c r="U648"/>
    </row>
    <row r="649" spans="1:21" ht="14.25" customHeight="1" x14ac:dyDescent="0.4">
      <c r="A649">
        <v>643</v>
      </c>
      <c r="O649" s="4"/>
      <c r="T649"/>
      <c r="U649"/>
    </row>
    <row r="650" spans="1:21" ht="14.25" customHeight="1" x14ac:dyDescent="0.4">
      <c r="A650">
        <v>644</v>
      </c>
      <c r="O650" s="4"/>
      <c r="T650"/>
      <c r="U650"/>
    </row>
    <row r="651" spans="1:21" ht="14.25" customHeight="1" x14ac:dyDescent="0.4">
      <c r="A651">
        <v>645</v>
      </c>
      <c r="O651" s="4"/>
    </row>
    <row r="652" spans="1:21" ht="14.25" customHeight="1" x14ac:dyDescent="0.4">
      <c r="A652">
        <v>646</v>
      </c>
      <c r="O652" s="4"/>
    </row>
    <row r="653" spans="1:21" ht="14.25" customHeight="1" x14ac:dyDescent="0.4">
      <c r="A653">
        <v>647</v>
      </c>
      <c r="O653" s="4"/>
    </row>
    <row r="654" spans="1:21" ht="14.25" customHeight="1" x14ac:dyDescent="0.4">
      <c r="A654">
        <v>648</v>
      </c>
      <c r="O654" s="4"/>
    </row>
    <row r="655" spans="1:21" ht="14.25" customHeight="1" x14ac:dyDescent="0.4">
      <c r="A655">
        <v>649</v>
      </c>
      <c r="O655" s="4"/>
    </row>
    <row r="656" spans="1:21" ht="14.25" customHeight="1" x14ac:dyDescent="0.4">
      <c r="A656">
        <v>650</v>
      </c>
      <c r="O656" s="4"/>
    </row>
    <row r="657" spans="1:15" ht="14.25" customHeight="1" x14ac:dyDescent="0.4">
      <c r="A657">
        <v>651</v>
      </c>
      <c r="O657" s="4"/>
    </row>
    <row r="658" spans="1:15" ht="14.25" customHeight="1" x14ac:dyDescent="0.4">
      <c r="A658">
        <v>652</v>
      </c>
      <c r="O658" s="4"/>
    </row>
    <row r="659" spans="1:15" ht="14.25" customHeight="1" x14ac:dyDescent="0.4">
      <c r="A659">
        <v>653</v>
      </c>
      <c r="O659" s="4"/>
    </row>
    <row r="660" spans="1:15" ht="14.25" customHeight="1" x14ac:dyDescent="0.4">
      <c r="A660">
        <v>654</v>
      </c>
      <c r="O660" s="4"/>
    </row>
    <row r="661" spans="1:15" ht="14.25" customHeight="1" x14ac:dyDescent="0.4">
      <c r="A661">
        <v>655</v>
      </c>
      <c r="O661" s="4"/>
    </row>
    <row r="662" spans="1:15" ht="14.25" customHeight="1" x14ac:dyDescent="0.4">
      <c r="A662">
        <v>656</v>
      </c>
      <c r="O662" s="4"/>
    </row>
    <row r="663" spans="1:15" ht="14.25" customHeight="1" x14ac:dyDescent="0.4">
      <c r="A663">
        <v>657</v>
      </c>
      <c r="O663" s="4"/>
    </row>
    <row r="664" spans="1:15" ht="14.25" customHeight="1" x14ac:dyDescent="0.4">
      <c r="A664">
        <v>658</v>
      </c>
      <c r="O664" s="4"/>
    </row>
    <row r="665" spans="1:15" ht="14.25" customHeight="1" x14ac:dyDescent="0.4">
      <c r="A665">
        <v>659</v>
      </c>
      <c r="O665" s="4"/>
    </row>
    <row r="666" spans="1:15" ht="14.25" customHeight="1" x14ac:dyDescent="0.4">
      <c r="A666">
        <v>660</v>
      </c>
      <c r="O666" s="4"/>
    </row>
    <row r="667" spans="1:15" ht="14.25" customHeight="1" x14ac:dyDescent="0.4">
      <c r="A667">
        <v>661</v>
      </c>
      <c r="O667" s="4"/>
    </row>
    <row r="668" spans="1:15" ht="14.25" customHeight="1" x14ac:dyDescent="0.4">
      <c r="A668">
        <v>662</v>
      </c>
      <c r="O668" s="4"/>
    </row>
    <row r="669" spans="1:15" ht="14.25" customHeight="1" x14ac:dyDescent="0.4">
      <c r="A669">
        <v>663</v>
      </c>
      <c r="O669" s="4"/>
    </row>
    <row r="670" spans="1:15" ht="14.25" customHeight="1" x14ac:dyDescent="0.4">
      <c r="A670">
        <v>664</v>
      </c>
      <c r="O670" s="4"/>
    </row>
    <row r="671" spans="1:15" ht="14.25" customHeight="1" x14ac:dyDescent="0.4">
      <c r="A671">
        <v>665</v>
      </c>
      <c r="O671" s="4"/>
    </row>
    <row r="672" spans="1:15" ht="14.25" customHeight="1" x14ac:dyDescent="0.4">
      <c r="A672">
        <v>666</v>
      </c>
      <c r="O672" s="4"/>
    </row>
    <row r="673" spans="1:15" ht="14.25" customHeight="1" x14ac:dyDescent="0.4">
      <c r="A673">
        <v>667</v>
      </c>
      <c r="O673" s="4"/>
    </row>
    <row r="674" spans="1:15" ht="14.25" customHeight="1" x14ac:dyDescent="0.4">
      <c r="A674">
        <v>668</v>
      </c>
      <c r="O674" s="4"/>
    </row>
    <row r="675" spans="1:15" ht="14.25" customHeight="1" x14ac:dyDescent="0.4">
      <c r="A675">
        <v>669</v>
      </c>
      <c r="O675" s="4"/>
    </row>
    <row r="676" spans="1:15" ht="14.25" customHeight="1" x14ac:dyDescent="0.4">
      <c r="A676">
        <v>670</v>
      </c>
      <c r="O676" s="4"/>
    </row>
    <row r="677" spans="1:15" ht="14.25" customHeight="1" x14ac:dyDescent="0.4">
      <c r="A677">
        <v>671</v>
      </c>
      <c r="O677" s="4"/>
    </row>
    <row r="678" spans="1:15" ht="14.25" customHeight="1" x14ac:dyDescent="0.4">
      <c r="A678">
        <v>672</v>
      </c>
      <c r="O678" s="4"/>
    </row>
    <row r="679" spans="1:15" ht="14.25" customHeight="1" x14ac:dyDescent="0.4">
      <c r="A679">
        <v>673</v>
      </c>
      <c r="O679" s="4"/>
    </row>
    <row r="680" spans="1:15" ht="14.25" customHeight="1" x14ac:dyDescent="0.4">
      <c r="A680">
        <v>674</v>
      </c>
      <c r="O680" s="4"/>
    </row>
    <row r="681" spans="1:15" ht="14.25" customHeight="1" x14ac:dyDescent="0.4">
      <c r="A681">
        <v>675</v>
      </c>
      <c r="O681" s="4"/>
    </row>
    <row r="682" spans="1:15" ht="14.25" customHeight="1" x14ac:dyDescent="0.4">
      <c r="A682">
        <v>676</v>
      </c>
      <c r="O682" s="4"/>
    </row>
    <row r="683" spans="1:15" ht="14.25" customHeight="1" x14ac:dyDescent="0.4">
      <c r="A683">
        <v>677</v>
      </c>
      <c r="O683" s="4"/>
    </row>
    <row r="684" spans="1:15" ht="14.25" customHeight="1" x14ac:dyDescent="0.4">
      <c r="A684">
        <v>678</v>
      </c>
      <c r="O684" s="4"/>
    </row>
    <row r="685" spans="1:15" ht="14.25" customHeight="1" x14ac:dyDescent="0.4">
      <c r="A685">
        <v>679</v>
      </c>
      <c r="O685" s="4"/>
    </row>
    <row r="686" spans="1:15" ht="14.25" customHeight="1" x14ac:dyDescent="0.4">
      <c r="A686">
        <v>680</v>
      </c>
      <c r="O686" s="4"/>
    </row>
    <row r="687" spans="1:15" ht="14.25" customHeight="1" x14ac:dyDescent="0.4">
      <c r="A687">
        <v>681</v>
      </c>
      <c r="O687" s="4"/>
    </row>
    <row r="688" spans="1:15" ht="14.25" customHeight="1" x14ac:dyDescent="0.4">
      <c r="A688">
        <v>682</v>
      </c>
      <c r="O688" s="4"/>
    </row>
    <row r="689" spans="1:15" ht="14.25" customHeight="1" x14ac:dyDescent="0.4">
      <c r="A689">
        <v>683</v>
      </c>
      <c r="O689" s="4"/>
    </row>
    <row r="690" spans="1:15" ht="14.25" customHeight="1" x14ac:dyDescent="0.4">
      <c r="A690">
        <v>684</v>
      </c>
      <c r="O690" s="4"/>
    </row>
    <row r="691" spans="1:15" ht="14.25" customHeight="1" x14ac:dyDescent="0.4">
      <c r="A691">
        <v>685</v>
      </c>
      <c r="O691" s="4"/>
    </row>
    <row r="692" spans="1:15" ht="14.25" customHeight="1" x14ac:dyDescent="0.4">
      <c r="A692">
        <v>686</v>
      </c>
      <c r="O692" s="4"/>
    </row>
    <row r="693" spans="1:15" ht="14.25" customHeight="1" x14ac:dyDescent="0.4">
      <c r="A693">
        <v>687</v>
      </c>
      <c r="O693" s="4"/>
    </row>
    <row r="694" spans="1:15" ht="14.25" customHeight="1" x14ac:dyDescent="0.4">
      <c r="A694">
        <v>688</v>
      </c>
      <c r="O694" s="4"/>
    </row>
    <row r="695" spans="1:15" ht="14.25" customHeight="1" x14ac:dyDescent="0.4">
      <c r="A695">
        <v>689</v>
      </c>
      <c r="O695" s="4"/>
    </row>
    <row r="696" spans="1:15" ht="14.25" customHeight="1" x14ac:dyDescent="0.4">
      <c r="A696">
        <v>690</v>
      </c>
      <c r="O696" s="4"/>
    </row>
    <row r="697" spans="1:15" ht="14.25" customHeight="1" x14ac:dyDescent="0.4">
      <c r="A697">
        <v>691</v>
      </c>
      <c r="O697" s="4"/>
    </row>
    <row r="698" spans="1:15" ht="14.25" customHeight="1" x14ac:dyDescent="0.4">
      <c r="A698">
        <v>692</v>
      </c>
      <c r="O698" s="4"/>
    </row>
    <row r="699" spans="1:15" ht="14.25" customHeight="1" x14ac:dyDescent="0.4">
      <c r="A699">
        <v>693</v>
      </c>
      <c r="O699" s="4"/>
    </row>
    <row r="700" spans="1:15" ht="14.25" customHeight="1" x14ac:dyDescent="0.4">
      <c r="A700">
        <v>694</v>
      </c>
      <c r="O700" s="4"/>
    </row>
    <row r="701" spans="1:15" ht="14.25" customHeight="1" x14ac:dyDescent="0.4">
      <c r="A701">
        <v>695</v>
      </c>
      <c r="O701" s="4"/>
    </row>
    <row r="702" spans="1:15" ht="14.25" customHeight="1" x14ac:dyDescent="0.4">
      <c r="A702">
        <v>696</v>
      </c>
      <c r="O702" s="4"/>
    </row>
    <row r="703" spans="1:15" ht="14.25" customHeight="1" x14ac:dyDescent="0.4">
      <c r="A703">
        <v>697</v>
      </c>
      <c r="O703" s="4"/>
    </row>
    <row r="704" spans="1:15" ht="14.25" customHeight="1" x14ac:dyDescent="0.4">
      <c r="A704">
        <v>698</v>
      </c>
      <c r="O704" s="4"/>
    </row>
    <row r="705" spans="1:15" ht="14.25" customHeight="1" x14ac:dyDescent="0.4">
      <c r="A705">
        <v>699</v>
      </c>
      <c r="O705" s="4"/>
    </row>
    <row r="706" spans="1:15" ht="14.25" customHeight="1" x14ac:dyDescent="0.4">
      <c r="A706">
        <v>700</v>
      </c>
      <c r="O706" s="4"/>
    </row>
    <row r="707" spans="1:15" ht="14.25" customHeight="1" x14ac:dyDescent="0.4">
      <c r="A707">
        <v>701</v>
      </c>
      <c r="O707" s="4"/>
    </row>
    <row r="708" spans="1:15" ht="14.25" customHeight="1" x14ac:dyDescent="0.4">
      <c r="A708">
        <v>702</v>
      </c>
      <c r="O708" s="4"/>
    </row>
    <row r="709" spans="1:15" ht="14.25" customHeight="1" x14ac:dyDescent="0.4">
      <c r="A709">
        <v>703</v>
      </c>
      <c r="O709" s="4"/>
    </row>
    <row r="710" spans="1:15" ht="14.25" customHeight="1" x14ac:dyDescent="0.4">
      <c r="A710">
        <v>704</v>
      </c>
      <c r="O710" s="4"/>
    </row>
    <row r="711" spans="1:15" ht="14.25" customHeight="1" x14ac:dyDescent="0.4">
      <c r="A711">
        <v>705</v>
      </c>
      <c r="O711" s="4"/>
    </row>
    <row r="712" spans="1:15" ht="14.25" customHeight="1" x14ac:dyDescent="0.4">
      <c r="A712">
        <v>706</v>
      </c>
      <c r="O712" s="4"/>
    </row>
    <row r="713" spans="1:15" ht="14.25" customHeight="1" x14ac:dyDescent="0.4">
      <c r="A713">
        <v>707</v>
      </c>
      <c r="O713" s="4"/>
    </row>
    <row r="714" spans="1:15" ht="14.25" customHeight="1" x14ac:dyDescent="0.4">
      <c r="A714">
        <v>708</v>
      </c>
      <c r="O714" s="4"/>
    </row>
    <row r="715" spans="1:15" ht="14.25" customHeight="1" x14ac:dyDescent="0.4">
      <c r="A715">
        <v>709</v>
      </c>
      <c r="O715" s="4"/>
    </row>
    <row r="716" spans="1:15" ht="14.25" customHeight="1" x14ac:dyDescent="0.4">
      <c r="A716">
        <v>710</v>
      </c>
      <c r="O716" s="4"/>
    </row>
    <row r="717" spans="1:15" ht="14.25" customHeight="1" x14ac:dyDescent="0.4">
      <c r="A717">
        <v>711</v>
      </c>
      <c r="O717" s="4"/>
    </row>
    <row r="718" spans="1:15" ht="14.25" customHeight="1" x14ac:dyDescent="0.4">
      <c r="A718">
        <v>712</v>
      </c>
      <c r="O718" s="4"/>
    </row>
    <row r="719" spans="1:15" ht="14.25" customHeight="1" x14ac:dyDescent="0.4">
      <c r="A719">
        <v>713</v>
      </c>
      <c r="O719" s="4"/>
    </row>
    <row r="720" spans="1:15" ht="14.25" customHeight="1" x14ac:dyDescent="0.4">
      <c r="A720">
        <v>714</v>
      </c>
      <c r="O720" s="4"/>
    </row>
    <row r="721" spans="1:15" ht="14.25" customHeight="1" x14ac:dyDescent="0.4">
      <c r="A721">
        <v>715</v>
      </c>
      <c r="O721" s="4"/>
    </row>
    <row r="722" spans="1:15" ht="14.25" customHeight="1" x14ac:dyDescent="0.4">
      <c r="A722">
        <v>716</v>
      </c>
      <c r="O722" s="4"/>
    </row>
    <row r="723" spans="1:15" ht="14.25" customHeight="1" x14ac:dyDescent="0.4">
      <c r="A723">
        <v>717</v>
      </c>
      <c r="O723" s="4"/>
    </row>
    <row r="724" spans="1:15" ht="14.25" customHeight="1" x14ac:dyDescent="0.4">
      <c r="A724">
        <v>718</v>
      </c>
      <c r="O724" s="4"/>
    </row>
    <row r="725" spans="1:15" ht="14.25" customHeight="1" x14ac:dyDescent="0.4">
      <c r="A725">
        <v>719</v>
      </c>
      <c r="O725" s="4"/>
    </row>
    <row r="726" spans="1:15" ht="14.25" customHeight="1" x14ac:dyDescent="0.4">
      <c r="A726">
        <v>720</v>
      </c>
      <c r="O726" s="4"/>
    </row>
    <row r="727" spans="1:15" ht="14.25" customHeight="1" x14ac:dyDescent="0.4">
      <c r="A727">
        <v>721</v>
      </c>
      <c r="O727" s="4"/>
    </row>
    <row r="728" spans="1:15" ht="14.25" customHeight="1" x14ac:dyDescent="0.4">
      <c r="A728">
        <v>722</v>
      </c>
      <c r="O728" s="4"/>
    </row>
    <row r="729" spans="1:15" ht="14.25" customHeight="1" x14ac:dyDescent="0.4">
      <c r="A729">
        <v>723</v>
      </c>
      <c r="O729" s="4"/>
    </row>
    <row r="730" spans="1:15" ht="14.25" customHeight="1" x14ac:dyDescent="0.4">
      <c r="A730">
        <v>724</v>
      </c>
      <c r="O730" s="4"/>
    </row>
    <row r="731" spans="1:15" ht="14.25" customHeight="1" x14ac:dyDescent="0.4">
      <c r="A731">
        <v>725</v>
      </c>
      <c r="O731" s="4"/>
    </row>
    <row r="732" spans="1:15" ht="14.25" customHeight="1" x14ac:dyDescent="0.4">
      <c r="A732">
        <v>726</v>
      </c>
      <c r="O732" s="4"/>
    </row>
    <row r="733" spans="1:15" ht="14.25" customHeight="1" x14ac:dyDescent="0.4">
      <c r="A733">
        <v>727</v>
      </c>
      <c r="O733" s="4"/>
    </row>
    <row r="734" spans="1:15" ht="14.25" customHeight="1" x14ac:dyDescent="0.4">
      <c r="A734">
        <v>728</v>
      </c>
      <c r="O734" s="4"/>
    </row>
    <row r="735" spans="1:15" ht="14.25" customHeight="1" x14ac:dyDescent="0.4">
      <c r="A735">
        <v>729</v>
      </c>
      <c r="O735" s="4"/>
    </row>
    <row r="736" spans="1:15" ht="14.25" customHeight="1" x14ac:dyDescent="0.4">
      <c r="A736">
        <v>730</v>
      </c>
      <c r="O736" s="4"/>
    </row>
    <row r="737" spans="1:15" ht="14.25" customHeight="1" x14ac:dyDescent="0.4">
      <c r="A737">
        <v>731</v>
      </c>
      <c r="O737" s="4"/>
    </row>
    <row r="738" spans="1:15" ht="14.25" customHeight="1" x14ac:dyDescent="0.4">
      <c r="A738">
        <v>732</v>
      </c>
      <c r="O738" s="4"/>
    </row>
    <row r="739" spans="1:15" ht="14.25" customHeight="1" x14ac:dyDescent="0.4">
      <c r="A739">
        <v>733</v>
      </c>
      <c r="O739" s="4"/>
    </row>
    <row r="740" spans="1:15" ht="14.25" customHeight="1" x14ac:dyDescent="0.4">
      <c r="A740">
        <v>734</v>
      </c>
      <c r="O740" s="4"/>
    </row>
    <row r="741" spans="1:15" ht="14.25" customHeight="1" x14ac:dyDescent="0.4">
      <c r="A741">
        <v>735</v>
      </c>
      <c r="O741" s="4"/>
    </row>
    <row r="742" spans="1:15" ht="14.25" customHeight="1" x14ac:dyDescent="0.4">
      <c r="A742">
        <v>736</v>
      </c>
      <c r="O742" s="4"/>
    </row>
    <row r="743" spans="1:15" ht="14.25" customHeight="1" x14ac:dyDescent="0.4">
      <c r="A743">
        <v>737</v>
      </c>
      <c r="O743" s="4"/>
    </row>
    <row r="744" spans="1:15" ht="14.25" customHeight="1" x14ac:dyDescent="0.4">
      <c r="A744">
        <v>738</v>
      </c>
      <c r="O744" s="4"/>
    </row>
    <row r="745" spans="1:15" ht="14.25" customHeight="1" x14ac:dyDescent="0.4">
      <c r="A745">
        <v>739</v>
      </c>
      <c r="O745" s="4"/>
    </row>
    <row r="746" spans="1:15" ht="14.25" customHeight="1" x14ac:dyDescent="0.4">
      <c r="A746">
        <v>740</v>
      </c>
      <c r="O746" s="4"/>
    </row>
    <row r="747" spans="1:15" ht="14.25" customHeight="1" x14ac:dyDescent="0.4">
      <c r="A747">
        <v>741</v>
      </c>
      <c r="O747" s="4"/>
    </row>
    <row r="748" spans="1:15" ht="14.25" customHeight="1" x14ac:dyDescent="0.4">
      <c r="A748">
        <v>742</v>
      </c>
      <c r="O748" s="4"/>
    </row>
    <row r="749" spans="1:15" ht="14.25" customHeight="1" x14ac:dyDescent="0.4">
      <c r="A749">
        <v>743</v>
      </c>
      <c r="O749" s="4"/>
    </row>
    <row r="750" spans="1:15" ht="14.25" customHeight="1" x14ac:dyDescent="0.4">
      <c r="A750">
        <v>744</v>
      </c>
      <c r="O750" s="4"/>
    </row>
    <row r="751" spans="1:15" ht="14.25" customHeight="1" x14ac:dyDescent="0.4">
      <c r="A751">
        <v>745</v>
      </c>
      <c r="O751" s="4"/>
    </row>
    <row r="752" spans="1:15" ht="14.25" customHeight="1" x14ac:dyDescent="0.4">
      <c r="A752">
        <v>746</v>
      </c>
      <c r="O752" s="4"/>
    </row>
    <row r="753" spans="1:15" ht="14.25" customHeight="1" x14ac:dyDescent="0.4">
      <c r="A753">
        <v>747</v>
      </c>
      <c r="O753" s="4"/>
    </row>
    <row r="754" spans="1:15" ht="14.25" customHeight="1" x14ac:dyDescent="0.4">
      <c r="A754">
        <v>748</v>
      </c>
      <c r="O754" s="4"/>
    </row>
    <row r="755" spans="1:15" ht="14.25" customHeight="1" x14ac:dyDescent="0.4">
      <c r="A755">
        <v>749</v>
      </c>
      <c r="O755" s="4"/>
    </row>
    <row r="756" spans="1:15" ht="14.25" customHeight="1" x14ac:dyDescent="0.4">
      <c r="A756">
        <v>750</v>
      </c>
      <c r="O756" s="4"/>
    </row>
    <row r="757" spans="1:15" ht="14.25" customHeight="1" x14ac:dyDescent="0.4">
      <c r="A757">
        <v>751</v>
      </c>
      <c r="O757" s="4"/>
    </row>
    <row r="758" spans="1:15" ht="14.25" customHeight="1" x14ac:dyDescent="0.4">
      <c r="A758">
        <v>752</v>
      </c>
      <c r="O758" s="4"/>
    </row>
    <row r="759" spans="1:15" ht="14.25" customHeight="1" x14ac:dyDescent="0.4">
      <c r="A759">
        <v>753</v>
      </c>
      <c r="O759" s="4"/>
    </row>
    <row r="760" spans="1:15" ht="14.25" customHeight="1" x14ac:dyDescent="0.4">
      <c r="A760">
        <v>754</v>
      </c>
      <c r="O760" s="4"/>
    </row>
    <row r="761" spans="1:15" ht="14.25" customHeight="1" x14ac:dyDescent="0.4">
      <c r="A761">
        <v>755</v>
      </c>
      <c r="O761" s="4"/>
    </row>
    <row r="762" spans="1:15" ht="14.25" customHeight="1" x14ac:dyDescent="0.4">
      <c r="A762">
        <v>756</v>
      </c>
      <c r="O762" s="4"/>
    </row>
    <row r="763" spans="1:15" ht="14.25" customHeight="1" x14ac:dyDescent="0.4">
      <c r="A763">
        <v>757</v>
      </c>
      <c r="O763" s="4"/>
    </row>
    <row r="764" spans="1:15" ht="14.25" customHeight="1" x14ac:dyDescent="0.4">
      <c r="A764">
        <v>758</v>
      </c>
      <c r="O764" s="4"/>
    </row>
    <row r="765" spans="1:15" ht="14.25" customHeight="1" x14ac:dyDescent="0.4">
      <c r="A765">
        <v>759</v>
      </c>
      <c r="O765" s="4"/>
    </row>
    <row r="766" spans="1:15" ht="14.25" customHeight="1" x14ac:dyDescent="0.4">
      <c r="A766">
        <v>760</v>
      </c>
      <c r="O766" s="4"/>
    </row>
    <row r="767" spans="1:15" ht="14.25" customHeight="1" x14ac:dyDescent="0.4">
      <c r="A767">
        <v>761</v>
      </c>
      <c r="O767" s="4"/>
    </row>
  </sheetData>
  <sheetProtection autoFilter="0"/>
  <phoneticPr fontId="0" type="noConversion"/>
  <conditionalFormatting sqref="X473:X525">
    <cfRule type="expression" dxfId="9" priority="28" stopIfTrue="1">
      <formula>SEARCH("demo",R473,1)&gt;0</formula>
    </cfRule>
  </conditionalFormatting>
  <conditionalFormatting sqref="X460:X472">
    <cfRule type="expression" dxfId="8" priority="29" stopIfTrue="1">
      <formula>SEARCH("demo",R460,1)&gt;0</formula>
    </cfRule>
  </conditionalFormatting>
  <conditionalFormatting sqref="X155:X190 X283:X459 X153 X7:X70 X83:X96">
    <cfRule type="expression" dxfId="7" priority="30" stopIfTrue="1">
      <formula>SEARCH("demo",R7,1)&gt;0</formula>
    </cfRule>
  </conditionalFormatting>
  <conditionalFormatting sqref="J1 B6:W6 AX6 AA7:AA582 AC6:AU6 AB6:AB582 Y7:Y580 Z6:AA6 Y583 S7:T11 M7:M604 S29:S61 S126:S150 AC50 V550:V551 N7:N615 S12:S27 AA583:AB616 B7:L615 S182 S195 S308:T390 T609:T614 S171:S180 AC61:AC63 S188 S184 S192 S251:S257 V7:V306 S97:T125 S299:S306 T293:T307 S296:S297 S293 S235 S237:S241 S258:T292 S248:S249 S244:S246 S200:S233 S63:S96 T12:T96 S154:S159 T126:T159 T171:T257 S160:T170 V308:V545 T391:T545">
    <cfRule type="cellIs" dxfId="6" priority="31" stopIfTrue="1" operator="equal">
      <formula>0</formula>
    </cfRule>
  </conditionalFormatting>
  <conditionalFormatting sqref="X137:X152 X154 X71:X82 X97:X135">
    <cfRule type="expression" dxfId="5" priority="32" stopIfTrue="1">
      <formula>SEARCH("demo",#REF!,1)&gt;0</formula>
    </cfRule>
  </conditionalFormatting>
  <dataValidations count="2">
    <dataValidation type="list" allowBlank="1" showInputMessage="1" showErrorMessage="1" sqref="T390:T391 V550:V551 T7:T306 V7:V306 T308:T388 V308:V545 T393:T545" xr:uid="{00000000-0002-0000-0400-000000000000}">
      <formula1>Yes_No</formula1>
    </dataValidation>
    <dataValidation type="list" allowBlank="1" showInputMessage="1" showErrorMessage="1" sqref="J2" xr:uid="{00000000-0002-0000-0400-000001000000}">
      <formula1>SalesRep</formula1>
    </dataValidation>
  </dataValidations>
  <printOptions horizontalCentered="1" gridLines="1"/>
  <pageMargins left="0" right="0" top="0" bottom="0" header="0" footer="0"/>
  <pageSetup paperSize="3" scale="14" pageOrder="overThenDown" orientation="landscape" r:id="rId1"/>
  <headerFooter alignWithMargins="0"/>
  <colBreaks count="1" manualBreakCount="1">
    <brk id="2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5" r:id="rId4" name="Button 5">
              <controlPr defaultSize="0" print="0" autoFill="0" autoPict="0" macro="[0]!Filter2012">
                <anchor moveWithCells="1" sizeWithCells="1">
                  <from>
                    <xdr:col>6</xdr:col>
                    <xdr:colOff>163830</xdr:colOff>
                    <xdr:row>0</xdr:row>
                    <xdr:rowOff>87630</xdr:rowOff>
                  </from>
                  <to>
                    <xdr:col>8</xdr:col>
                    <xdr:colOff>419100</xdr:colOff>
                    <xdr:row>3</xdr:row>
                    <xdr:rowOff>49530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5" name="Button 6">
              <controlPr defaultSize="0" print="0" autoFill="0" autoPict="0" macro="[0]!LogSort2012">
                <anchor moveWithCells="1" sizeWithCells="1">
                  <from>
                    <xdr:col>1</xdr:col>
                    <xdr:colOff>419100</xdr:colOff>
                    <xdr:row>1</xdr:row>
                    <xdr:rowOff>0</xdr:rowOff>
                  </from>
                  <to>
                    <xdr:col>4</xdr:col>
                    <xdr:colOff>259080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>
    <tabColor indexed="57"/>
    <pageSetUpPr fitToPage="1"/>
  </sheetPr>
  <dimension ref="A1:AX767"/>
  <sheetViews>
    <sheetView tabSelected="1" topLeftCell="B1" zoomScaleNormal="100" zoomScaleSheetLayoutView="75" workbookViewId="0">
      <pane ySplit="6" topLeftCell="A7" activePane="bottomLeft" state="frozen"/>
      <selection activeCell="L64" sqref="L64"/>
      <selection pane="bottomLeft" activeCell="M21" sqref="M21"/>
    </sheetView>
  </sheetViews>
  <sheetFormatPr defaultColWidth="9.1640625" defaultRowHeight="14.25" customHeight="1" x14ac:dyDescent="0.4"/>
  <cols>
    <col min="1" max="1" width="12.83203125" customWidth="1"/>
    <col min="2" max="2" width="12.1640625" style="1" customWidth="1"/>
    <col min="3" max="3" width="3" style="1" hidden="1" customWidth="1"/>
    <col min="4" max="4" width="8.1640625" style="1" bestFit="1" customWidth="1"/>
    <col min="5" max="5" width="14.5546875" style="1" bestFit="1" customWidth="1"/>
    <col min="6" max="6" width="11.5546875" style="1" customWidth="1"/>
    <col min="7" max="7" width="8.5546875" style="1" customWidth="1"/>
    <col min="8" max="8" width="8.5546875" style="1" bestFit="1" customWidth="1"/>
    <col min="9" max="9" width="16" style="1" bestFit="1" customWidth="1"/>
    <col min="10" max="10" width="12.27734375" style="2" bestFit="1" customWidth="1"/>
    <col min="11" max="11" width="14.27734375" style="2" customWidth="1"/>
    <col min="12" max="12" width="12.27734375" style="2" customWidth="1"/>
    <col min="13" max="13" width="26.44140625" style="2" customWidth="1"/>
    <col min="14" max="14" width="18.71875" style="1" bestFit="1" customWidth="1"/>
    <col min="15" max="15" width="11.5546875" style="1" bestFit="1" customWidth="1"/>
    <col min="16" max="17" width="11" style="1" customWidth="1"/>
    <col min="18" max="18" width="22.5546875" style="1" bestFit="1" customWidth="1"/>
    <col min="19" max="19" width="29.44140625" style="3" customWidth="1"/>
    <col min="20" max="21" width="11.71875" customWidth="1"/>
    <col min="22" max="23" width="10.71875" style="1" customWidth="1"/>
    <col min="24" max="24" width="10.71875" style="75" customWidth="1"/>
    <col min="25" max="25" width="13.71875" style="1" bestFit="1" customWidth="1"/>
    <col min="26" max="26" width="14.83203125" style="1" bestFit="1" customWidth="1"/>
    <col min="27" max="27" width="11.27734375" style="1" customWidth="1"/>
    <col min="28" max="28" width="13.1640625" style="1" bestFit="1" customWidth="1"/>
    <col min="29" max="33" width="9.1640625" style="1"/>
    <col min="34" max="34" width="8.83203125" customWidth="1"/>
    <col min="35" max="36" width="9.1640625" style="1"/>
    <col min="37" max="37" width="10" style="1" bestFit="1" customWidth="1"/>
    <col min="38" max="16384" width="9.1640625" style="1"/>
  </cols>
  <sheetData>
    <row r="1" spans="1:50" ht="39" customHeight="1" thickBot="1" x14ac:dyDescent="0.45">
      <c r="J1" s="10" t="s">
        <v>1</v>
      </c>
      <c r="S1" s="26"/>
      <c r="T1" s="26" t="s">
        <v>551</v>
      </c>
      <c r="U1" s="26"/>
      <c r="V1" s="26" t="s">
        <v>547</v>
      </c>
      <c r="W1" s="26"/>
      <c r="X1" s="26"/>
    </row>
    <row r="2" spans="1:50" ht="14.25" customHeight="1" thickBot="1" x14ac:dyDescent="0.45">
      <c r="J2" s="25" t="s">
        <v>1367</v>
      </c>
      <c r="O2" s="4"/>
      <c r="X2" s="1"/>
      <c r="AA2" s="1" t="s">
        <v>778</v>
      </c>
    </row>
    <row r="3" spans="1:50" ht="14.25" customHeight="1" x14ac:dyDescent="0.4">
      <c r="O3" s="4"/>
      <c r="X3" s="1"/>
      <c r="AA3" s="1">
        <v>411</v>
      </c>
    </row>
    <row r="4" spans="1:50" ht="14.25" customHeight="1" x14ac:dyDescent="0.4">
      <c r="K4" s="2" t="s">
        <v>1318</v>
      </c>
      <c r="M4" s="2">
        <v>40185</v>
      </c>
      <c r="O4" s="1">
        <v>9130901</v>
      </c>
      <c r="X4" s="1"/>
    </row>
    <row r="5" spans="1:50" ht="14.25" customHeight="1" thickBot="1" x14ac:dyDescent="0.45">
      <c r="T5" s="31" t="s">
        <v>544</v>
      </c>
      <c r="U5" s="31"/>
      <c r="V5" s="31" t="s">
        <v>544</v>
      </c>
      <c r="X5" s="1"/>
      <c r="Y5" s="1">
        <v>0</v>
      </c>
    </row>
    <row r="6" spans="1:50" s="10" customFormat="1" ht="41.25" customHeight="1" thickBot="1" x14ac:dyDescent="0.45">
      <c r="A6" s="10" t="s">
        <v>598</v>
      </c>
      <c r="B6" s="39" t="s">
        <v>2166</v>
      </c>
      <c r="C6" s="19" t="s">
        <v>2167</v>
      </c>
      <c r="D6" s="19" t="s">
        <v>2168</v>
      </c>
      <c r="E6" s="19" t="s">
        <v>2172</v>
      </c>
      <c r="F6" s="19" t="s">
        <v>2173</v>
      </c>
      <c r="G6" s="19" t="s">
        <v>2174</v>
      </c>
      <c r="H6" s="137" t="s">
        <v>2175</v>
      </c>
      <c r="I6" s="137" t="s">
        <v>2176</v>
      </c>
      <c r="J6" s="107" t="s">
        <v>0</v>
      </c>
      <c r="K6" s="10" t="s">
        <v>1</v>
      </c>
      <c r="L6" s="10" t="s">
        <v>2</v>
      </c>
      <c r="M6" s="10" t="s">
        <v>3</v>
      </c>
      <c r="N6" s="10" t="s">
        <v>4</v>
      </c>
      <c r="O6" s="10" t="s">
        <v>5</v>
      </c>
      <c r="P6" s="10" t="s">
        <v>6</v>
      </c>
      <c r="Q6" s="10" t="s">
        <v>7</v>
      </c>
      <c r="R6" s="10" t="s">
        <v>8</v>
      </c>
      <c r="S6" s="10" t="s">
        <v>9</v>
      </c>
      <c r="T6" s="41" t="s">
        <v>10</v>
      </c>
      <c r="U6" s="10" t="s">
        <v>11</v>
      </c>
      <c r="V6" s="41" t="s">
        <v>12</v>
      </c>
      <c r="W6" s="73" t="s">
        <v>13</v>
      </c>
      <c r="X6" s="10" t="s">
        <v>14</v>
      </c>
      <c r="Y6" s="10" t="s">
        <v>15</v>
      </c>
      <c r="Z6" s="19" t="s">
        <v>16</v>
      </c>
      <c r="AA6" s="39" t="s">
        <v>17</v>
      </c>
      <c r="AB6" s="19" t="s">
        <v>2174</v>
      </c>
      <c r="AC6" s="19" t="s">
        <v>1879</v>
      </c>
      <c r="AD6" s="19" t="s">
        <v>1880</v>
      </c>
      <c r="AE6" s="19" t="s">
        <v>1881</v>
      </c>
      <c r="AF6" s="19"/>
      <c r="AG6" s="137"/>
      <c r="AH6" s="137"/>
      <c r="AR6" s="41"/>
      <c r="AT6" s="41"/>
      <c r="AU6" s="73"/>
      <c r="AX6" s="19"/>
    </row>
    <row r="7" spans="1:50" s="16" customFormat="1" ht="14.25" customHeight="1" thickTop="1" x14ac:dyDescent="0.4">
      <c r="A7">
        <v>525</v>
      </c>
      <c r="B7" s="24">
        <v>0</v>
      </c>
      <c r="C7" s="24">
        <v>0</v>
      </c>
      <c r="D7" s="24">
        <v>0</v>
      </c>
      <c r="E7" s="24">
        <v>0</v>
      </c>
      <c r="F7" s="24">
        <v>0</v>
      </c>
      <c r="G7" s="24">
        <v>0</v>
      </c>
      <c r="H7" s="37">
        <v>204</v>
      </c>
      <c r="I7" s="23">
        <v>41183</v>
      </c>
      <c r="J7" s="37">
        <v>52</v>
      </c>
      <c r="K7" s="24" t="s">
        <v>1367</v>
      </c>
      <c r="L7" s="24">
        <v>41183</v>
      </c>
      <c r="M7" s="24">
        <v>41176</v>
      </c>
      <c r="N7" s="22" t="s">
        <v>671</v>
      </c>
      <c r="O7">
        <v>9130877</v>
      </c>
      <c r="P7" s="22">
        <v>1220</v>
      </c>
      <c r="Q7" s="22">
        <v>50</v>
      </c>
      <c r="R7" s="22" t="s">
        <v>2177</v>
      </c>
      <c r="S7" s="55"/>
      <c r="T7" s="4" t="s">
        <v>404</v>
      </c>
      <c r="U7" s="94">
        <v>41183</v>
      </c>
      <c r="V7" s="4"/>
      <c r="W7" s="136"/>
      <c r="X7" s="74"/>
      <c r="Y7" s="28"/>
      <c r="Z7" s="9"/>
      <c r="AA7" s="24">
        <v>0</v>
      </c>
      <c r="AB7" s="28">
        <v>0</v>
      </c>
      <c r="AE7" s="145">
        <v>41228</v>
      </c>
    </row>
    <row r="8" spans="1:50" s="16" customFormat="1" ht="14.25" customHeight="1" x14ac:dyDescent="0.4">
      <c r="A8">
        <v>526</v>
      </c>
      <c r="B8" s="24">
        <v>0</v>
      </c>
      <c r="C8" s="24">
        <v>0</v>
      </c>
      <c r="D8" s="24">
        <v>0</v>
      </c>
      <c r="E8" s="24">
        <v>0</v>
      </c>
      <c r="F8" s="24">
        <v>0</v>
      </c>
      <c r="G8" s="24">
        <v>0</v>
      </c>
      <c r="H8" s="37">
        <v>205</v>
      </c>
      <c r="I8" s="23">
        <v>41183</v>
      </c>
      <c r="J8" s="37">
        <v>53</v>
      </c>
      <c r="K8" s="24" t="s">
        <v>1367</v>
      </c>
      <c r="L8" s="24">
        <v>41183</v>
      </c>
      <c r="M8" s="24">
        <v>41176</v>
      </c>
      <c r="N8" s="22" t="s">
        <v>671</v>
      </c>
      <c r="O8">
        <v>9130879</v>
      </c>
      <c r="P8" s="22">
        <v>1025</v>
      </c>
      <c r="Q8" s="22">
        <v>42</v>
      </c>
      <c r="R8" s="22">
        <v>0</v>
      </c>
      <c r="S8" s="55"/>
      <c r="T8" s="4"/>
      <c r="U8" s="42"/>
      <c r="V8" s="4"/>
      <c r="W8" s="28"/>
      <c r="X8" s="74"/>
      <c r="Y8" s="28"/>
      <c r="Z8" s="9"/>
      <c r="AA8" s="24">
        <v>0</v>
      </c>
      <c r="AB8" s="28">
        <v>0</v>
      </c>
      <c r="AC8" s="16" t="s">
        <v>894</v>
      </c>
      <c r="AE8" s="145">
        <v>41228</v>
      </c>
      <c r="AI8" s="13"/>
      <c r="AJ8" s="10" t="s">
        <v>1456</v>
      </c>
      <c r="AK8" s="10" t="s">
        <v>1451</v>
      </c>
    </row>
    <row r="9" spans="1:50" ht="14.25" customHeight="1" x14ac:dyDescent="0.4">
      <c r="A9">
        <v>1</v>
      </c>
      <c r="B9" s="24">
        <v>41096</v>
      </c>
      <c r="C9" s="24">
        <v>41096</v>
      </c>
      <c r="D9" s="24">
        <v>41096</v>
      </c>
      <c r="E9" s="24">
        <v>41096</v>
      </c>
      <c r="F9" s="24" t="s">
        <v>393</v>
      </c>
      <c r="G9" s="24">
        <v>41100</v>
      </c>
      <c r="H9" s="37">
        <v>1</v>
      </c>
      <c r="I9" s="23">
        <v>41091</v>
      </c>
      <c r="J9" s="37">
        <v>1</v>
      </c>
      <c r="K9" s="24" t="s">
        <v>1367</v>
      </c>
      <c r="L9" s="24">
        <v>41091</v>
      </c>
      <c r="M9" s="24">
        <v>41061</v>
      </c>
      <c r="N9" s="22" t="s">
        <v>585</v>
      </c>
      <c r="O9" s="133">
        <v>9130001</v>
      </c>
      <c r="P9" s="22">
        <v>1025</v>
      </c>
      <c r="Q9" s="22">
        <v>50</v>
      </c>
      <c r="R9" s="22" t="s">
        <v>2178</v>
      </c>
      <c r="T9" s="4"/>
      <c r="U9" s="164"/>
      <c r="V9" s="4"/>
      <c r="W9" s="43"/>
      <c r="Y9" s="28"/>
      <c r="AA9" s="24" t="s">
        <v>393</v>
      </c>
      <c r="AB9" s="28">
        <v>41100</v>
      </c>
      <c r="AE9" s="145">
        <v>41136</v>
      </c>
      <c r="AI9" s="13">
        <v>40634</v>
      </c>
      <c r="AJ9" s="16">
        <v>0</v>
      </c>
      <c r="AK9" s="16">
        <v>0</v>
      </c>
    </row>
    <row r="10" spans="1:50" ht="14.25" customHeight="1" x14ac:dyDescent="0.4">
      <c r="A10">
        <v>2</v>
      </c>
      <c r="B10" s="24">
        <v>41099</v>
      </c>
      <c r="C10" s="24">
        <v>41099</v>
      </c>
      <c r="D10" s="24">
        <v>41099</v>
      </c>
      <c r="E10" s="24">
        <v>41099</v>
      </c>
      <c r="F10" s="24" t="s">
        <v>393</v>
      </c>
      <c r="G10" s="24">
        <v>41116</v>
      </c>
      <c r="H10" s="37">
        <v>3</v>
      </c>
      <c r="I10" s="23">
        <v>41091</v>
      </c>
      <c r="J10" s="37">
        <v>3</v>
      </c>
      <c r="K10" s="24" t="s">
        <v>1367</v>
      </c>
      <c r="L10" s="24">
        <v>41091</v>
      </c>
      <c r="M10" s="24">
        <v>41061</v>
      </c>
      <c r="N10" s="22" t="s">
        <v>585</v>
      </c>
      <c r="O10" s="133">
        <v>9130002</v>
      </c>
      <c r="P10" s="22">
        <v>1025</v>
      </c>
      <c r="Q10" s="22">
        <v>42</v>
      </c>
      <c r="R10" s="22" t="s">
        <v>2179</v>
      </c>
      <c r="T10" s="4" t="s">
        <v>404</v>
      </c>
      <c r="U10" s="164">
        <v>41102</v>
      </c>
      <c r="V10" s="4" t="s">
        <v>404</v>
      </c>
      <c r="W10" s="43">
        <v>41065</v>
      </c>
      <c r="Y10" s="28"/>
      <c r="AA10" s="24" t="s">
        <v>393</v>
      </c>
      <c r="AB10" s="28">
        <v>41116</v>
      </c>
      <c r="AE10" s="145">
        <v>41136</v>
      </c>
      <c r="AI10" s="13">
        <v>40664</v>
      </c>
      <c r="AJ10" s="16">
        <v>7</v>
      </c>
      <c r="AK10" s="16">
        <v>0</v>
      </c>
    </row>
    <row r="11" spans="1:50" ht="14.25" customHeight="1" x14ac:dyDescent="0.4">
      <c r="A11">
        <v>3</v>
      </c>
      <c r="B11" s="24">
        <v>41099</v>
      </c>
      <c r="C11" s="24">
        <v>41099</v>
      </c>
      <c r="D11" s="24">
        <v>41099</v>
      </c>
      <c r="E11" s="24">
        <v>41099</v>
      </c>
      <c r="F11" s="24" t="s">
        <v>393</v>
      </c>
      <c r="G11" s="24">
        <v>41116</v>
      </c>
      <c r="H11" s="37">
        <v>2</v>
      </c>
      <c r="I11" s="23">
        <v>41091</v>
      </c>
      <c r="J11" s="37">
        <v>2</v>
      </c>
      <c r="K11" s="24" t="s">
        <v>1367</v>
      </c>
      <c r="L11" s="24">
        <v>41122</v>
      </c>
      <c r="M11" s="24">
        <v>41061</v>
      </c>
      <c r="N11" s="22" t="s">
        <v>585</v>
      </c>
      <c r="O11">
        <v>9130007</v>
      </c>
      <c r="P11" s="22">
        <v>1025</v>
      </c>
      <c r="Q11" s="22">
        <v>42</v>
      </c>
      <c r="R11" s="22" t="s">
        <v>2180</v>
      </c>
      <c r="S11"/>
      <c r="T11" s="4"/>
      <c r="U11" s="164"/>
      <c r="V11" s="4"/>
      <c r="Y11" s="28"/>
      <c r="AA11" s="24" t="s">
        <v>393</v>
      </c>
      <c r="AB11" s="28">
        <v>41116</v>
      </c>
      <c r="AE11" s="145">
        <v>41136</v>
      </c>
      <c r="AI11" s="13">
        <v>40695</v>
      </c>
      <c r="AJ11" s="16">
        <v>0</v>
      </c>
      <c r="AK11" s="16">
        <v>0</v>
      </c>
    </row>
    <row r="12" spans="1:50" ht="14.25" customHeight="1" x14ac:dyDescent="0.4">
      <c r="A12">
        <v>4</v>
      </c>
      <c r="B12" s="24">
        <v>41129</v>
      </c>
      <c r="C12" s="24">
        <v>41129</v>
      </c>
      <c r="D12" s="24">
        <v>41129</v>
      </c>
      <c r="E12" s="24">
        <v>41129</v>
      </c>
      <c r="F12" s="24" t="s">
        <v>393</v>
      </c>
      <c r="G12" s="24">
        <v>41148</v>
      </c>
      <c r="H12" s="37">
        <v>46</v>
      </c>
      <c r="I12" s="23">
        <v>41122</v>
      </c>
      <c r="J12" s="37">
        <v>14</v>
      </c>
      <c r="K12" s="24" t="s">
        <v>1367</v>
      </c>
      <c r="L12" s="24">
        <v>41122</v>
      </c>
      <c r="M12" s="24">
        <v>41061</v>
      </c>
      <c r="N12" s="22" t="s">
        <v>585</v>
      </c>
      <c r="O12">
        <v>9130010</v>
      </c>
      <c r="P12" s="22">
        <v>1025</v>
      </c>
      <c r="Q12" s="22">
        <v>42</v>
      </c>
      <c r="R12" s="22" t="s">
        <v>2181</v>
      </c>
      <c r="S12"/>
      <c r="T12" s="4" t="s">
        <v>404</v>
      </c>
      <c r="U12" s="164">
        <v>41161</v>
      </c>
      <c r="V12" s="4" t="s">
        <v>404</v>
      </c>
      <c r="W12" s="62">
        <v>41160</v>
      </c>
      <c r="Y12" s="28"/>
      <c r="AA12" s="24" t="s">
        <v>393</v>
      </c>
      <c r="AB12" s="28">
        <v>41148</v>
      </c>
      <c r="AE12" s="145">
        <v>41167</v>
      </c>
      <c r="AI12" s="13">
        <v>40725</v>
      </c>
      <c r="AJ12" s="16">
        <v>1</v>
      </c>
      <c r="AK12" s="16">
        <v>0</v>
      </c>
    </row>
    <row r="13" spans="1:50" ht="14.25" customHeight="1" x14ac:dyDescent="0.4">
      <c r="A13">
        <v>6</v>
      </c>
      <c r="B13" s="22">
        <v>0</v>
      </c>
      <c r="C13" s="22" t="s">
        <v>2165</v>
      </c>
      <c r="D13" s="22">
        <v>0</v>
      </c>
      <c r="E13" s="24">
        <v>41134</v>
      </c>
      <c r="F13" s="24" t="s">
        <v>393</v>
      </c>
      <c r="G13" s="24">
        <v>41135</v>
      </c>
      <c r="H13" s="37">
        <v>54</v>
      </c>
      <c r="I13" s="23">
        <v>41122</v>
      </c>
      <c r="J13" s="37">
        <v>22</v>
      </c>
      <c r="K13" s="24" t="s">
        <v>1367</v>
      </c>
      <c r="L13" s="24">
        <v>41122</v>
      </c>
      <c r="M13" s="24">
        <v>41061</v>
      </c>
      <c r="N13" s="22" t="s">
        <v>585</v>
      </c>
      <c r="O13">
        <v>9130012</v>
      </c>
      <c r="P13" s="22">
        <v>720</v>
      </c>
      <c r="Q13" s="22">
        <v>42</v>
      </c>
      <c r="R13" s="22" t="s">
        <v>2182</v>
      </c>
      <c r="S13" s="4"/>
      <c r="T13" s="4"/>
      <c r="U13" s="42"/>
      <c r="V13" s="4"/>
      <c r="W13" s="59"/>
      <c r="X13" s="74"/>
      <c r="Y13" s="28"/>
      <c r="Z13" s="28"/>
      <c r="AA13" s="24" t="s">
        <v>393</v>
      </c>
      <c r="AB13" s="28">
        <v>41135</v>
      </c>
      <c r="AC13" s="1" t="s">
        <v>911</v>
      </c>
      <c r="AE13" s="145">
        <v>41167</v>
      </c>
      <c r="AI13" s="13">
        <v>40756</v>
      </c>
      <c r="AJ13" s="16">
        <v>0</v>
      </c>
      <c r="AK13" s="16">
        <v>0</v>
      </c>
    </row>
    <row r="14" spans="1:50" ht="14.25" customHeight="1" x14ac:dyDescent="0.4">
      <c r="A14">
        <v>7</v>
      </c>
      <c r="B14" s="22">
        <v>0</v>
      </c>
      <c r="C14" s="22" t="s">
        <v>2165</v>
      </c>
      <c r="D14" s="22">
        <v>0</v>
      </c>
      <c r="E14" s="24">
        <v>41134</v>
      </c>
      <c r="F14" s="24" t="s">
        <v>393</v>
      </c>
      <c r="G14" s="24">
        <v>41137</v>
      </c>
      <c r="H14" s="37">
        <v>55</v>
      </c>
      <c r="I14" s="23">
        <v>41122</v>
      </c>
      <c r="J14" s="37">
        <v>23</v>
      </c>
      <c r="K14" s="24" t="s">
        <v>1367</v>
      </c>
      <c r="L14" s="24">
        <v>41122</v>
      </c>
      <c r="M14" s="24">
        <v>41061</v>
      </c>
      <c r="N14" s="22" t="s">
        <v>585</v>
      </c>
      <c r="O14">
        <v>9130013</v>
      </c>
      <c r="P14" s="22">
        <v>720</v>
      </c>
      <c r="Q14" s="22">
        <v>42</v>
      </c>
      <c r="R14" s="22" t="s">
        <v>2183</v>
      </c>
      <c r="S14" s="4"/>
      <c r="T14" s="4"/>
      <c r="U14" s="44"/>
      <c r="V14" s="4"/>
      <c r="W14" s="9"/>
      <c r="Y14" s="28"/>
      <c r="Z14" s="9"/>
      <c r="AA14" s="24" t="s">
        <v>393</v>
      </c>
      <c r="AB14" s="28">
        <v>41137</v>
      </c>
      <c r="AC14" s="1" t="s">
        <v>912</v>
      </c>
      <c r="AE14" s="145">
        <v>41167</v>
      </c>
      <c r="AI14" s="13">
        <v>40787</v>
      </c>
      <c r="AJ14" s="16">
        <v>0</v>
      </c>
      <c r="AK14" s="16">
        <v>0</v>
      </c>
    </row>
    <row r="15" spans="1:50" ht="14.25" customHeight="1" x14ac:dyDescent="0.4">
      <c r="A15">
        <v>8</v>
      </c>
      <c r="B15" s="22">
        <v>0</v>
      </c>
      <c r="C15" s="22" t="s">
        <v>2165</v>
      </c>
      <c r="D15" s="22">
        <v>0</v>
      </c>
      <c r="E15" s="24">
        <v>41144</v>
      </c>
      <c r="F15" s="24" t="s">
        <v>393</v>
      </c>
      <c r="G15" s="24">
        <v>41150</v>
      </c>
      <c r="H15" s="37">
        <v>80</v>
      </c>
      <c r="I15" s="23">
        <v>41122</v>
      </c>
      <c r="J15" s="37">
        <v>48</v>
      </c>
      <c r="K15" s="24" t="s">
        <v>1367</v>
      </c>
      <c r="L15" s="24">
        <v>41153</v>
      </c>
      <c r="M15" s="24">
        <v>41061</v>
      </c>
      <c r="N15" s="22" t="s">
        <v>585</v>
      </c>
      <c r="O15">
        <v>9130014</v>
      </c>
      <c r="P15" s="22">
        <v>1220</v>
      </c>
      <c r="Q15" s="22">
        <v>50</v>
      </c>
      <c r="R15" s="22" t="s">
        <v>2184</v>
      </c>
      <c r="S15" s="4"/>
      <c r="T15" s="4" t="s">
        <v>404</v>
      </c>
      <c r="U15" s="44">
        <v>41117</v>
      </c>
      <c r="V15" s="4" t="s">
        <v>404</v>
      </c>
      <c r="W15" s="9">
        <v>41122</v>
      </c>
      <c r="X15" s="74"/>
      <c r="Y15" s="28"/>
      <c r="Z15" s="9"/>
      <c r="AA15" s="24" t="s">
        <v>393</v>
      </c>
      <c r="AB15" s="28">
        <v>41150</v>
      </c>
      <c r="AC15" s="1" t="s">
        <v>912</v>
      </c>
      <c r="AE15" s="145">
        <v>41167</v>
      </c>
      <c r="AI15" s="13">
        <v>40817</v>
      </c>
      <c r="AJ15" s="16">
        <v>0</v>
      </c>
      <c r="AK15" s="16">
        <v>0</v>
      </c>
    </row>
    <row r="16" spans="1:50" ht="14.25" customHeight="1" x14ac:dyDescent="0.4">
      <c r="A16">
        <v>9</v>
      </c>
      <c r="B16" s="24">
        <v>41164</v>
      </c>
      <c r="C16" s="24">
        <v>41164</v>
      </c>
      <c r="D16" s="24">
        <v>41164</v>
      </c>
      <c r="E16" s="24">
        <v>41164</v>
      </c>
      <c r="F16" s="24" t="s">
        <v>392</v>
      </c>
      <c r="G16" s="24">
        <v>41179</v>
      </c>
      <c r="H16" s="37">
        <v>116</v>
      </c>
      <c r="I16" s="23">
        <v>41153</v>
      </c>
      <c r="J16" s="37">
        <v>21</v>
      </c>
      <c r="K16" s="24" t="s">
        <v>1367</v>
      </c>
      <c r="L16" s="24">
        <v>41153</v>
      </c>
      <c r="M16" s="24">
        <v>41061</v>
      </c>
      <c r="N16" s="22" t="s">
        <v>585</v>
      </c>
      <c r="O16">
        <v>9130015</v>
      </c>
      <c r="P16" s="22">
        <v>1025</v>
      </c>
      <c r="Q16" s="22">
        <v>42</v>
      </c>
      <c r="R16" s="22" t="s">
        <v>2185</v>
      </c>
      <c r="S16" s="4"/>
      <c r="T16" s="4" t="s">
        <v>404</v>
      </c>
      <c r="U16" s="42">
        <v>41146</v>
      </c>
      <c r="V16" s="4"/>
      <c r="W16" s="28"/>
      <c r="X16" s="74"/>
      <c r="Y16" s="28"/>
      <c r="Z16" s="28"/>
      <c r="AA16" s="24" t="s">
        <v>392</v>
      </c>
      <c r="AB16" s="28">
        <v>41179</v>
      </c>
      <c r="AC16" s="1" t="s">
        <v>1462</v>
      </c>
      <c r="AE16" s="145">
        <v>41197</v>
      </c>
      <c r="AI16" s="13">
        <v>40848</v>
      </c>
      <c r="AJ16" s="16">
        <v>0</v>
      </c>
      <c r="AK16" s="16">
        <v>0</v>
      </c>
    </row>
    <row r="17" spans="1:37" ht="14.25" customHeight="1" x14ac:dyDescent="0.4">
      <c r="A17">
        <v>10</v>
      </c>
      <c r="B17" s="24">
        <v>41164</v>
      </c>
      <c r="C17" s="24">
        <v>41164</v>
      </c>
      <c r="D17" s="24">
        <v>41164</v>
      </c>
      <c r="E17" s="24">
        <v>41164</v>
      </c>
      <c r="F17" s="24" t="s">
        <v>392</v>
      </c>
      <c r="G17" s="24">
        <v>41179</v>
      </c>
      <c r="H17" s="37">
        <v>117</v>
      </c>
      <c r="I17" s="23">
        <v>41153</v>
      </c>
      <c r="J17" s="37">
        <v>22</v>
      </c>
      <c r="K17" s="24" t="s">
        <v>1367</v>
      </c>
      <c r="L17" s="24">
        <v>41153</v>
      </c>
      <c r="M17" s="24">
        <v>41061</v>
      </c>
      <c r="N17" s="22" t="s">
        <v>585</v>
      </c>
      <c r="O17">
        <v>9130016</v>
      </c>
      <c r="P17" s="22">
        <v>1025</v>
      </c>
      <c r="Q17" s="22">
        <v>42</v>
      </c>
      <c r="R17" s="22" t="s">
        <v>2186</v>
      </c>
      <c r="S17" s="1"/>
      <c r="T17" s="4" t="s">
        <v>404</v>
      </c>
      <c r="U17" s="42">
        <v>41130</v>
      </c>
      <c r="V17" s="4"/>
      <c r="W17" s="28"/>
      <c r="X17" s="74"/>
      <c r="Y17" s="28"/>
      <c r="Z17" s="9"/>
      <c r="AA17" s="24" t="s">
        <v>392</v>
      </c>
      <c r="AB17" s="28">
        <v>41179</v>
      </c>
      <c r="AC17" s="1" t="s">
        <v>894</v>
      </c>
      <c r="AE17" s="145">
        <v>41197</v>
      </c>
      <c r="AI17" s="13">
        <v>40878</v>
      </c>
      <c r="AJ17" s="16">
        <v>0</v>
      </c>
      <c r="AK17" s="16">
        <v>0</v>
      </c>
    </row>
    <row r="18" spans="1:37" ht="14.25" customHeight="1" x14ac:dyDescent="0.4">
      <c r="A18">
        <v>11</v>
      </c>
      <c r="B18" s="24">
        <v>41165</v>
      </c>
      <c r="C18" s="24">
        <v>41165</v>
      </c>
      <c r="D18" s="24">
        <v>41165</v>
      </c>
      <c r="E18" s="24">
        <v>41165</v>
      </c>
      <c r="F18" s="24" t="s">
        <v>392</v>
      </c>
      <c r="G18" s="24">
        <v>41180</v>
      </c>
      <c r="H18" s="37">
        <v>118</v>
      </c>
      <c r="I18" s="23">
        <v>41153</v>
      </c>
      <c r="J18" s="37">
        <v>23</v>
      </c>
      <c r="K18" s="24" t="s">
        <v>1367</v>
      </c>
      <c r="L18" s="24">
        <v>41153</v>
      </c>
      <c r="M18" s="24">
        <v>41061</v>
      </c>
      <c r="N18" s="22" t="s">
        <v>585</v>
      </c>
      <c r="O18">
        <v>9130017</v>
      </c>
      <c r="P18" s="22">
        <v>1025</v>
      </c>
      <c r="Q18" s="22">
        <v>42</v>
      </c>
      <c r="R18" s="22" t="s">
        <v>2187</v>
      </c>
      <c r="S18" s="4"/>
      <c r="T18" s="4" t="s">
        <v>404</v>
      </c>
      <c r="U18" s="44">
        <v>41150</v>
      </c>
      <c r="V18" s="4"/>
      <c r="W18" s="9"/>
      <c r="X18" s="74"/>
      <c r="Y18" s="28"/>
      <c r="Z18" s="9"/>
      <c r="AA18" s="24" t="s">
        <v>392</v>
      </c>
      <c r="AB18" s="28">
        <v>41180</v>
      </c>
      <c r="AC18" s="1" t="s">
        <v>1462</v>
      </c>
      <c r="AE18" s="145">
        <v>41197</v>
      </c>
      <c r="AI18" s="13">
        <v>40909</v>
      </c>
      <c r="AJ18" s="16">
        <v>0</v>
      </c>
      <c r="AK18" s="16">
        <v>0</v>
      </c>
    </row>
    <row r="19" spans="1:37" ht="14.25" customHeight="1" x14ac:dyDescent="0.4">
      <c r="A19">
        <v>12</v>
      </c>
      <c r="B19" s="24">
        <v>41179</v>
      </c>
      <c r="C19" s="24">
        <v>41179</v>
      </c>
      <c r="D19" s="24">
        <v>41179</v>
      </c>
      <c r="E19" s="24">
        <v>41179</v>
      </c>
      <c r="F19" s="24" t="s">
        <v>422</v>
      </c>
      <c r="G19" s="24">
        <v>0</v>
      </c>
      <c r="H19" s="37">
        <v>148</v>
      </c>
      <c r="I19" s="23">
        <v>41153</v>
      </c>
      <c r="J19" s="37">
        <v>53</v>
      </c>
      <c r="K19" s="24" t="s">
        <v>1367</v>
      </c>
      <c r="L19" s="24">
        <v>41183</v>
      </c>
      <c r="M19" s="24">
        <v>41061</v>
      </c>
      <c r="N19" s="22" t="s">
        <v>585</v>
      </c>
      <c r="O19">
        <v>9130018</v>
      </c>
      <c r="P19" s="22">
        <v>1025</v>
      </c>
      <c r="Q19" s="22">
        <v>42</v>
      </c>
      <c r="R19" s="22" t="s">
        <v>2188</v>
      </c>
      <c r="S19" s="4"/>
      <c r="T19" s="4" t="s">
        <v>404</v>
      </c>
      <c r="U19" s="44">
        <v>41167</v>
      </c>
      <c r="V19" s="4"/>
      <c r="W19" s="9"/>
      <c r="X19" s="74">
        <v>0</v>
      </c>
      <c r="Y19" s="28"/>
      <c r="Z19" s="9"/>
      <c r="AA19" s="24" t="s">
        <v>422</v>
      </c>
      <c r="AB19" s="28">
        <v>0</v>
      </c>
      <c r="AC19" s="1" t="s">
        <v>894</v>
      </c>
      <c r="AE19" s="145">
        <v>41197</v>
      </c>
      <c r="AI19" s="13">
        <v>40940</v>
      </c>
      <c r="AJ19" s="16">
        <v>0</v>
      </c>
      <c r="AK19" s="16">
        <v>0</v>
      </c>
    </row>
    <row r="20" spans="1:37" ht="14.25" customHeight="1" x14ac:dyDescent="0.4">
      <c r="A20">
        <v>5</v>
      </c>
      <c r="B20" s="22">
        <v>0</v>
      </c>
      <c r="C20" s="22" t="s">
        <v>2165</v>
      </c>
      <c r="D20" s="22">
        <v>0</v>
      </c>
      <c r="E20" s="24">
        <v>41179</v>
      </c>
      <c r="F20" s="24" t="s">
        <v>422</v>
      </c>
      <c r="G20" s="24">
        <v>0</v>
      </c>
      <c r="H20" s="37">
        <v>149</v>
      </c>
      <c r="I20" s="23">
        <v>41153</v>
      </c>
      <c r="J20" s="37">
        <v>54</v>
      </c>
      <c r="K20" s="24" t="s">
        <v>1367</v>
      </c>
      <c r="L20" s="24">
        <v>41183</v>
      </c>
      <c r="M20" s="24">
        <v>41061</v>
      </c>
      <c r="N20" s="22" t="s">
        <v>585</v>
      </c>
      <c r="O20">
        <v>9130019</v>
      </c>
      <c r="P20" s="22">
        <v>1025</v>
      </c>
      <c r="Q20" s="22">
        <v>42</v>
      </c>
      <c r="R20" s="22" t="s">
        <v>2189</v>
      </c>
      <c r="S20" s="4"/>
      <c r="T20" s="4"/>
      <c r="U20" s="42"/>
      <c r="V20" s="4"/>
      <c r="W20" s="59"/>
      <c r="X20" s="74"/>
      <c r="Y20" s="28"/>
      <c r="Z20" s="28"/>
      <c r="AA20" s="24" t="s">
        <v>422</v>
      </c>
      <c r="AB20" s="28">
        <v>0</v>
      </c>
      <c r="AE20" s="145">
        <v>41197</v>
      </c>
      <c r="AI20" s="13">
        <v>40969</v>
      </c>
      <c r="AJ20" s="16">
        <v>0</v>
      </c>
      <c r="AK20" s="16">
        <v>0</v>
      </c>
    </row>
    <row r="21" spans="1:37" ht="14.25" customHeight="1" x14ac:dyDescent="0.4">
      <c r="A21">
        <v>13</v>
      </c>
      <c r="B21" s="24">
        <v>41157</v>
      </c>
      <c r="C21" s="24">
        <v>41157</v>
      </c>
      <c r="D21" s="24">
        <v>41157</v>
      </c>
      <c r="E21" s="24">
        <v>41157</v>
      </c>
      <c r="F21" s="24" t="s">
        <v>393</v>
      </c>
      <c r="G21" s="24">
        <v>41159</v>
      </c>
      <c r="H21" s="37">
        <v>100</v>
      </c>
      <c r="I21" s="23">
        <v>41153</v>
      </c>
      <c r="J21" s="37">
        <v>5</v>
      </c>
      <c r="K21" s="24" t="s">
        <v>1367</v>
      </c>
      <c r="L21" s="24">
        <v>41183</v>
      </c>
      <c r="M21" s="24">
        <v>41061</v>
      </c>
      <c r="N21" s="22" t="s">
        <v>585</v>
      </c>
      <c r="O21">
        <v>9130020</v>
      </c>
      <c r="P21" s="22">
        <v>720</v>
      </c>
      <c r="Q21" s="22">
        <v>42</v>
      </c>
      <c r="R21" s="22" t="s">
        <v>2190</v>
      </c>
      <c r="S21" s="48"/>
      <c r="T21" s="4" t="s">
        <v>404</v>
      </c>
      <c r="U21" s="44">
        <v>41174</v>
      </c>
      <c r="V21" s="4"/>
      <c r="W21" s="57"/>
      <c r="X21" s="74"/>
      <c r="Y21" s="28"/>
      <c r="Z21" s="9"/>
      <c r="AA21" s="24" t="s">
        <v>393</v>
      </c>
      <c r="AB21" s="28">
        <v>41159</v>
      </c>
      <c r="AC21" s="1" t="s">
        <v>896</v>
      </c>
      <c r="AE21" s="145">
        <v>41197</v>
      </c>
      <c r="AI21" s="13">
        <v>41000</v>
      </c>
      <c r="AJ21" s="16">
        <v>0</v>
      </c>
      <c r="AK21" s="16">
        <v>0</v>
      </c>
    </row>
    <row r="22" spans="1:37" ht="14.25" customHeight="1" x14ac:dyDescent="0.4">
      <c r="A22">
        <v>14</v>
      </c>
      <c r="B22" s="22">
        <v>0</v>
      </c>
      <c r="C22" s="22" t="s">
        <v>2165</v>
      </c>
      <c r="D22" s="22">
        <v>0</v>
      </c>
      <c r="E22" s="24">
        <v>41157</v>
      </c>
      <c r="F22" s="24" t="s">
        <v>393</v>
      </c>
      <c r="G22" s="24">
        <v>41169</v>
      </c>
      <c r="H22" s="37">
        <v>101</v>
      </c>
      <c r="I22" s="23">
        <v>41153</v>
      </c>
      <c r="J22" s="37">
        <v>6</v>
      </c>
      <c r="K22" s="24" t="s">
        <v>1367</v>
      </c>
      <c r="L22" s="24">
        <v>41183</v>
      </c>
      <c r="M22" s="24">
        <v>41061</v>
      </c>
      <c r="N22" s="22" t="s">
        <v>585</v>
      </c>
      <c r="O22">
        <v>9130023</v>
      </c>
      <c r="P22" s="22">
        <v>720</v>
      </c>
      <c r="Q22" s="22">
        <v>42</v>
      </c>
      <c r="R22" s="22" t="s">
        <v>2191</v>
      </c>
      <c r="S22" s="4"/>
      <c r="T22" s="4"/>
      <c r="U22" s="44"/>
      <c r="V22" s="4"/>
      <c r="W22" s="9"/>
      <c r="X22" s="74"/>
      <c r="Y22" s="28"/>
      <c r="Z22" s="9"/>
      <c r="AA22" s="24" t="s">
        <v>393</v>
      </c>
      <c r="AB22" s="28">
        <v>41169</v>
      </c>
      <c r="AE22" s="145">
        <v>41197</v>
      </c>
      <c r="AI22" s="13">
        <v>41030</v>
      </c>
      <c r="AJ22" s="16">
        <v>0</v>
      </c>
      <c r="AK22" s="16">
        <v>0</v>
      </c>
    </row>
    <row r="23" spans="1:37" ht="14.25" customHeight="1" x14ac:dyDescent="0.4">
      <c r="A23">
        <v>15</v>
      </c>
      <c r="B23" s="22">
        <v>0</v>
      </c>
      <c r="C23" s="22" t="s">
        <v>2102</v>
      </c>
      <c r="D23" s="22">
        <v>0</v>
      </c>
      <c r="E23" s="24">
        <v>41179</v>
      </c>
      <c r="F23" s="24" t="s">
        <v>422</v>
      </c>
      <c r="G23" s="24">
        <v>0</v>
      </c>
      <c r="H23" s="37">
        <v>150</v>
      </c>
      <c r="I23" s="23">
        <v>41153</v>
      </c>
      <c r="J23" s="37">
        <v>55</v>
      </c>
      <c r="K23" s="24" t="s">
        <v>1367</v>
      </c>
      <c r="L23" s="24">
        <v>41183</v>
      </c>
      <c r="M23" s="24">
        <v>41061</v>
      </c>
      <c r="N23" s="22" t="s">
        <v>585</v>
      </c>
      <c r="O23">
        <v>9130025</v>
      </c>
      <c r="P23" s="22">
        <v>1025</v>
      </c>
      <c r="Q23" s="22">
        <v>42</v>
      </c>
      <c r="R23" s="22" t="s">
        <v>1589</v>
      </c>
      <c r="S23" s="4"/>
      <c r="T23" s="4"/>
      <c r="U23" s="44"/>
      <c r="V23" s="4"/>
      <c r="W23" s="9"/>
      <c r="X23" s="74"/>
      <c r="Y23" s="28"/>
      <c r="Z23" s="28"/>
      <c r="AA23" s="24" t="s">
        <v>422</v>
      </c>
      <c r="AB23" s="28">
        <v>0</v>
      </c>
      <c r="AE23" s="145">
        <v>41197</v>
      </c>
      <c r="AI23" s="13">
        <v>41061</v>
      </c>
    </row>
    <row r="24" spans="1:37" ht="14.25" customHeight="1" x14ac:dyDescent="0.4">
      <c r="A24">
        <v>16</v>
      </c>
      <c r="B24" s="22">
        <v>0</v>
      </c>
      <c r="C24" s="22" t="s">
        <v>2165</v>
      </c>
      <c r="D24" s="22">
        <v>0</v>
      </c>
      <c r="E24" s="24">
        <v>41180</v>
      </c>
      <c r="F24" s="24" t="s">
        <v>422</v>
      </c>
      <c r="G24" s="24">
        <v>0</v>
      </c>
      <c r="H24" s="37">
        <v>151</v>
      </c>
      <c r="I24" s="23">
        <v>41153</v>
      </c>
      <c r="J24" s="37">
        <v>56</v>
      </c>
      <c r="K24" s="24" t="s">
        <v>1367</v>
      </c>
      <c r="L24" s="24">
        <v>41183</v>
      </c>
      <c r="M24" s="24">
        <v>41061</v>
      </c>
      <c r="N24" s="22" t="s">
        <v>585</v>
      </c>
      <c r="O24">
        <v>9130026</v>
      </c>
      <c r="P24" s="22">
        <v>1025</v>
      </c>
      <c r="Q24" s="22">
        <v>42</v>
      </c>
      <c r="R24" s="22" t="s">
        <v>2192</v>
      </c>
      <c r="S24" s="4"/>
      <c r="T24" s="4"/>
      <c r="U24" s="44"/>
      <c r="V24" s="4"/>
      <c r="W24" s="9"/>
      <c r="X24" s="74"/>
      <c r="Y24" s="28"/>
      <c r="Z24" s="9"/>
      <c r="AA24" s="24" t="s">
        <v>422</v>
      </c>
      <c r="AB24" s="28">
        <v>0</v>
      </c>
      <c r="AE24" s="145">
        <v>41197</v>
      </c>
    </row>
    <row r="25" spans="1:37" s="69" customFormat="1" ht="14.25" customHeight="1" x14ac:dyDescent="0.4">
      <c r="A25">
        <v>17</v>
      </c>
      <c r="B25" s="22">
        <v>0</v>
      </c>
      <c r="C25" s="22">
        <v>0</v>
      </c>
      <c r="D25" s="22">
        <v>0</v>
      </c>
      <c r="E25" s="24">
        <v>0</v>
      </c>
      <c r="F25" s="24">
        <v>0</v>
      </c>
      <c r="G25" s="24">
        <v>0</v>
      </c>
      <c r="H25" s="37">
        <v>171</v>
      </c>
      <c r="I25" s="23">
        <v>41183</v>
      </c>
      <c r="J25" s="37">
        <v>19</v>
      </c>
      <c r="K25" s="24" t="s">
        <v>1367</v>
      </c>
      <c r="L25" s="24">
        <v>41183</v>
      </c>
      <c r="M25" s="24">
        <v>41061</v>
      </c>
      <c r="N25" s="22" t="s">
        <v>585</v>
      </c>
      <c r="O25">
        <v>9130027</v>
      </c>
      <c r="P25" s="22">
        <v>720</v>
      </c>
      <c r="Q25" s="22">
        <v>42</v>
      </c>
      <c r="R25" s="22" t="s">
        <v>2193</v>
      </c>
      <c r="S25" s="4"/>
      <c r="T25" s="4"/>
      <c r="U25" s="44"/>
      <c r="V25" s="4"/>
      <c r="W25" s="9"/>
      <c r="X25" s="74"/>
      <c r="Y25" s="28"/>
      <c r="Z25" s="9"/>
      <c r="AA25" s="24">
        <v>0</v>
      </c>
      <c r="AB25" s="28">
        <v>0</v>
      </c>
      <c r="AE25" s="145">
        <v>41228</v>
      </c>
    </row>
    <row r="26" spans="1:37" ht="14.25" customHeight="1" x14ac:dyDescent="0.4">
      <c r="A26">
        <v>18</v>
      </c>
      <c r="B26" s="22">
        <v>0</v>
      </c>
      <c r="C26" s="22">
        <v>0</v>
      </c>
      <c r="D26" s="22">
        <v>0</v>
      </c>
      <c r="E26" s="24">
        <v>0</v>
      </c>
      <c r="F26" s="24">
        <v>0</v>
      </c>
      <c r="G26" s="24">
        <v>0</v>
      </c>
      <c r="H26" s="37">
        <v>172</v>
      </c>
      <c r="I26" s="23">
        <v>41183</v>
      </c>
      <c r="J26" s="37">
        <v>20</v>
      </c>
      <c r="K26" s="24" t="s">
        <v>1367</v>
      </c>
      <c r="L26" s="24">
        <v>41183</v>
      </c>
      <c r="M26" s="24">
        <v>41061</v>
      </c>
      <c r="N26" s="22" t="s">
        <v>585</v>
      </c>
      <c r="O26">
        <v>9130028</v>
      </c>
      <c r="P26" s="22">
        <v>720</v>
      </c>
      <c r="Q26" s="22">
        <v>42</v>
      </c>
      <c r="R26" s="22" t="s">
        <v>2194</v>
      </c>
      <c r="S26" s="4"/>
      <c r="T26" s="4"/>
      <c r="U26" s="42"/>
      <c r="V26" s="4"/>
      <c r="W26" s="28"/>
      <c r="X26" s="74"/>
      <c r="Y26" s="28"/>
      <c r="Z26" s="28"/>
      <c r="AA26" s="24">
        <v>0</v>
      </c>
      <c r="AB26" s="28">
        <v>0</v>
      </c>
      <c r="AE26" s="145">
        <v>41228</v>
      </c>
    </row>
    <row r="27" spans="1:37" ht="14.25" customHeight="1" x14ac:dyDescent="0.4">
      <c r="A27">
        <v>19</v>
      </c>
      <c r="B27" s="22">
        <v>0</v>
      </c>
      <c r="C27" s="22">
        <v>0</v>
      </c>
      <c r="D27" s="22">
        <v>0</v>
      </c>
      <c r="E27" s="24">
        <v>41180</v>
      </c>
      <c r="F27" s="24" t="s">
        <v>422</v>
      </c>
      <c r="G27" s="24">
        <v>0</v>
      </c>
      <c r="H27" s="37">
        <v>152</v>
      </c>
      <c r="I27" s="23">
        <v>41153</v>
      </c>
      <c r="J27" s="37">
        <v>57</v>
      </c>
      <c r="K27" s="24" t="s">
        <v>1367</v>
      </c>
      <c r="L27" s="24">
        <v>41183</v>
      </c>
      <c r="M27" s="24">
        <v>41061</v>
      </c>
      <c r="N27" s="22" t="s">
        <v>585</v>
      </c>
      <c r="O27">
        <v>9130030</v>
      </c>
      <c r="P27" s="22">
        <v>1025</v>
      </c>
      <c r="Q27" s="22">
        <v>42</v>
      </c>
      <c r="R27" s="22" t="s">
        <v>2195</v>
      </c>
      <c r="S27" s="4"/>
      <c r="T27" s="4"/>
      <c r="U27" s="42"/>
      <c r="V27" s="4"/>
      <c r="W27" s="28"/>
      <c r="X27" s="74"/>
      <c r="Y27" s="28"/>
      <c r="Z27" s="28"/>
      <c r="AA27" s="24" t="s">
        <v>422</v>
      </c>
      <c r="AB27" s="28">
        <v>0</v>
      </c>
      <c r="AE27" s="145">
        <v>41197</v>
      </c>
    </row>
    <row r="28" spans="1:37" ht="14.25" customHeight="1" x14ac:dyDescent="0.4">
      <c r="A28">
        <v>20</v>
      </c>
      <c r="B28" s="22">
        <v>0</v>
      </c>
      <c r="C28" s="22">
        <v>0</v>
      </c>
      <c r="D28" s="22">
        <v>0</v>
      </c>
      <c r="E28" s="24">
        <v>41180</v>
      </c>
      <c r="F28" s="24" t="s">
        <v>422</v>
      </c>
      <c r="G28" s="24">
        <v>0</v>
      </c>
      <c r="H28" s="37">
        <v>153</v>
      </c>
      <c r="I28" s="23">
        <v>41183</v>
      </c>
      <c r="J28" s="37">
        <v>1</v>
      </c>
      <c r="K28" s="24" t="s">
        <v>1367</v>
      </c>
      <c r="L28" s="24">
        <v>41183</v>
      </c>
      <c r="M28" s="24">
        <v>41061</v>
      </c>
      <c r="N28" s="22" t="s">
        <v>585</v>
      </c>
      <c r="O28">
        <v>9130032</v>
      </c>
      <c r="P28" s="22">
        <v>1025</v>
      </c>
      <c r="Q28" s="22">
        <v>42</v>
      </c>
      <c r="R28" s="22" t="s">
        <v>2196</v>
      </c>
      <c r="S28" s="38"/>
      <c r="T28" s="4" t="s">
        <v>404</v>
      </c>
      <c r="U28" s="44">
        <v>41165</v>
      </c>
      <c r="V28" s="4"/>
      <c r="W28" s="9"/>
      <c r="X28" s="74"/>
      <c r="Y28" s="28"/>
      <c r="Z28" s="9"/>
      <c r="AA28" s="24" t="s">
        <v>422</v>
      </c>
      <c r="AB28" s="28">
        <v>0</v>
      </c>
      <c r="AC28" s="1" t="s">
        <v>1869</v>
      </c>
      <c r="AE28" s="145">
        <v>41228</v>
      </c>
    </row>
    <row r="29" spans="1:37" ht="14.25" customHeight="1" x14ac:dyDescent="0.4">
      <c r="A29">
        <v>21</v>
      </c>
      <c r="B29" s="24">
        <v>0</v>
      </c>
      <c r="C29" s="24">
        <v>0</v>
      </c>
      <c r="D29" s="24">
        <v>0</v>
      </c>
      <c r="E29" s="24">
        <v>0</v>
      </c>
      <c r="F29" s="24">
        <v>0</v>
      </c>
      <c r="G29" s="24">
        <v>0</v>
      </c>
      <c r="H29" s="37">
        <v>230</v>
      </c>
      <c r="I29" s="23">
        <v>41214</v>
      </c>
      <c r="J29" s="37">
        <v>9</v>
      </c>
      <c r="K29" s="24" t="s">
        <v>1367</v>
      </c>
      <c r="L29" s="24">
        <v>41214</v>
      </c>
      <c r="M29" s="24">
        <v>41061</v>
      </c>
      <c r="N29" s="22" t="s">
        <v>585</v>
      </c>
      <c r="O29">
        <v>9130033</v>
      </c>
      <c r="P29" s="22">
        <v>1025</v>
      </c>
      <c r="Q29" s="22">
        <v>42</v>
      </c>
      <c r="R29" s="22" t="s">
        <v>2197</v>
      </c>
      <c r="S29" s="4"/>
      <c r="T29" s="4" t="s">
        <v>404</v>
      </c>
      <c r="U29" s="44">
        <v>41183</v>
      </c>
      <c r="V29" s="4"/>
      <c r="W29" s="9"/>
      <c r="X29" s="74">
        <v>0</v>
      </c>
      <c r="Y29" s="28"/>
      <c r="Z29" s="9"/>
      <c r="AA29" s="24">
        <v>0</v>
      </c>
      <c r="AB29" s="28">
        <v>0</v>
      </c>
      <c r="AC29" s="1" t="s">
        <v>911</v>
      </c>
      <c r="AE29" s="145">
        <v>41258</v>
      </c>
    </row>
    <row r="30" spans="1:37" ht="14.25" customHeight="1" x14ac:dyDescent="0.4">
      <c r="A30">
        <v>22</v>
      </c>
      <c r="B30" s="24">
        <v>0</v>
      </c>
      <c r="C30" s="24">
        <v>0</v>
      </c>
      <c r="D30" s="24">
        <v>0</v>
      </c>
      <c r="E30" s="24">
        <v>0</v>
      </c>
      <c r="F30" s="24">
        <v>0</v>
      </c>
      <c r="G30" s="24">
        <v>0</v>
      </c>
      <c r="H30" s="37">
        <v>231</v>
      </c>
      <c r="I30" s="23">
        <v>41214</v>
      </c>
      <c r="J30" s="37">
        <v>10</v>
      </c>
      <c r="K30" s="24" t="s">
        <v>1367</v>
      </c>
      <c r="L30" s="24">
        <v>41214</v>
      </c>
      <c r="M30" s="24">
        <v>41061</v>
      </c>
      <c r="N30" s="22" t="s">
        <v>585</v>
      </c>
      <c r="O30">
        <v>9130034</v>
      </c>
      <c r="P30" s="22">
        <v>1025</v>
      </c>
      <c r="Q30" s="22">
        <v>42</v>
      </c>
      <c r="R30" s="22" t="s">
        <v>2198</v>
      </c>
      <c r="S30" s="38"/>
      <c r="T30" s="4"/>
      <c r="U30" s="42"/>
      <c r="V30" s="4"/>
      <c r="W30" s="57"/>
      <c r="X30" s="74">
        <v>0</v>
      </c>
      <c r="Y30" s="28"/>
      <c r="AA30" s="24">
        <v>0</v>
      </c>
      <c r="AB30" s="28">
        <v>0</v>
      </c>
      <c r="AE30" s="145">
        <v>41258</v>
      </c>
    </row>
    <row r="31" spans="1:37" ht="14.25" customHeight="1" x14ac:dyDescent="0.4">
      <c r="A31">
        <v>23</v>
      </c>
      <c r="B31" s="22">
        <v>0</v>
      </c>
      <c r="C31" s="22" t="s">
        <v>2102</v>
      </c>
      <c r="D31" s="22">
        <v>0</v>
      </c>
      <c r="E31" s="24">
        <v>0</v>
      </c>
      <c r="F31" s="24">
        <v>0</v>
      </c>
      <c r="G31" s="24">
        <v>0</v>
      </c>
      <c r="H31" s="37">
        <v>232</v>
      </c>
      <c r="I31" s="23">
        <v>41214</v>
      </c>
      <c r="J31" s="37">
        <v>11</v>
      </c>
      <c r="K31" s="24" t="s">
        <v>1367</v>
      </c>
      <c r="L31" s="24">
        <v>41214</v>
      </c>
      <c r="M31" s="24">
        <v>41061</v>
      </c>
      <c r="N31" s="22" t="s">
        <v>585</v>
      </c>
      <c r="O31">
        <v>9130035</v>
      </c>
      <c r="P31" s="22">
        <v>1025</v>
      </c>
      <c r="Q31" s="22">
        <v>42</v>
      </c>
      <c r="R31" s="22" t="s">
        <v>2199</v>
      </c>
      <c r="S31" s="48"/>
      <c r="T31" s="4"/>
      <c r="U31" s="42"/>
      <c r="V31" s="4"/>
      <c r="W31" s="43"/>
      <c r="X31" s="74"/>
      <c r="Y31" s="28"/>
      <c r="Z31" s="28"/>
      <c r="AA31" s="24">
        <v>0</v>
      </c>
      <c r="AB31" s="28">
        <v>0</v>
      </c>
      <c r="AC31" s="1" t="s">
        <v>1756</v>
      </c>
      <c r="AE31" s="145">
        <v>41258</v>
      </c>
    </row>
    <row r="32" spans="1:37" ht="14.25" customHeight="1" x14ac:dyDescent="0.4">
      <c r="A32">
        <v>24</v>
      </c>
      <c r="B32" s="22">
        <v>0</v>
      </c>
      <c r="C32" s="22" t="s">
        <v>2165</v>
      </c>
      <c r="D32" s="22">
        <v>0</v>
      </c>
      <c r="E32" s="24">
        <v>0</v>
      </c>
      <c r="F32" s="24">
        <v>0</v>
      </c>
      <c r="G32" s="24">
        <v>0</v>
      </c>
      <c r="H32" s="37">
        <v>233</v>
      </c>
      <c r="I32" s="23">
        <v>41214</v>
      </c>
      <c r="J32" s="37">
        <v>12</v>
      </c>
      <c r="K32" s="24" t="s">
        <v>1367</v>
      </c>
      <c r="L32" s="24">
        <v>41214</v>
      </c>
      <c r="M32" s="24">
        <v>41061</v>
      </c>
      <c r="N32" s="22" t="s">
        <v>585</v>
      </c>
      <c r="O32">
        <v>9130036</v>
      </c>
      <c r="P32" s="22">
        <v>1025</v>
      </c>
      <c r="Q32" s="22">
        <v>42</v>
      </c>
      <c r="R32" s="22" t="s">
        <v>2200</v>
      </c>
      <c r="S32" s="4"/>
      <c r="T32" s="4"/>
      <c r="U32" s="42"/>
      <c r="V32" s="4"/>
      <c r="W32" s="57"/>
      <c r="X32" s="74"/>
      <c r="Y32" s="28"/>
      <c r="Z32" s="9"/>
      <c r="AA32" s="24">
        <v>0</v>
      </c>
      <c r="AB32" s="28">
        <v>0</v>
      </c>
      <c r="AE32" s="145">
        <v>41258</v>
      </c>
    </row>
    <row r="33" spans="1:31" ht="14.25" customHeight="1" x14ac:dyDescent="0.4">
      <c r="A33">
        <v>25</v>
      </c>
      <c r="B33" s="24">
        <v>0</v>
      </c>
      <c r="C33" s="24">
        <v>0</v>
      </c>
      <c r="D33" s="24">
        <v>0</v>
      </c>
      <c r="E33" s="24">
        <v>0</v>
      </c>
      <c r="F33" s="24">
        <v>0</v>
      </c>
      <c r="G33" s="24">
        <v>0</v>
      </c>
      <c r="H33" s="37">
        <v>234</v>
      </c>
      <c r="I33" s="23">
        <v>41214</v>
      </c>
      <c r="J33" s="37">
        <v>13</v>
      </c>
      <c r="K33" s="24" t="s">
        <v>1367</v>
      </c>
      <c r="L33" s="24">
        <v>41214</v>
      </c>
      <c r="M33" s="24">
        <v>41061</v>
      </c>
      <c r="N33" s="22" t="s">
        <v>585</v>
      </c>
      <c r="O33">
        <v>9130038</v>
      </c>
      <c r="P33" s="22">
        <v>1025</v>
      </c>
      <c r="Q33" s="22">
        <v>42</v>
      </c>
      <c r="R33" s="22" t="s">
        <v>2201</v>
      </c>
      <c r="S33" s="38"/>
      <c r="T33" s="4" t="s">
        <v>404</v>
      </c>
      <c r="U33" s="164">
        <v>41162</v>
      </c>
      <c r="V33" s="4"/>
      <c r="W33" s="28"/>
      <c r="Y33" s="28"/>
      <c r="AA33" s="24">
        <v>0</v>
      </c>
      <c r="AB33" s="28">
        <v>0</v>
      </c>
      <c r="AE33" s="145">
        <v>41258</v>
      </c>
    </row>
    <row r="34" spans="1:31" ht="14.25" customHeight="1" x14ac:dyDescent="0.4">
      <c r="A34">
        <v>26</v>
      </c>
      <c r="B34" s="24">
        <v>0</v>
      </c>
      <c r="C34" s="24">
        <v>0</v>
      </c>
      <c r="D34" s="24">
        <v>0</v>
      </c>
      <c r="E34" s="24">
        <v>0</v>
      </c>
      <c r="F34" s="24">
        <v>0</v>
      </c>
      <c r="G34" s="24">
        <v>0</v>
      </c>
      <c r="H34" s="37">
        <v>235</v>
      </c>
      <c r="I34" s="23">
        <v>41214</v>
      </c>
      <c r="J34" s="37">
        <v>14</v>
      </c>
      <c r="K34" s="24" t="s">
        <v>1367</v>
      </c>
      <c r="L34" s="24">
        <v>41214</v>
      </c>
      <c r="M34" s="24">
        <v>41061</v>
      </c>
      <c r="N34" s="22" t="s">
        <v>585</v>
      </c>
      <c r="O34">
        <v>9130039</v>
      </c>
      <c r="P34" s="22">
        <v>1025</v>
      </c>
      <c r="Q34" s="22">
        <v>42</v>
      </c>
      <c r="R34" s="22" t="s">
        <v>2202</v>
      </c>
      <c r="T34" s="4"/>
      <c r="U34" s="164"/>
      <c r="V34" s="4"/>
      <c r="W34" s="28"/>
      <c r="Y34" s="28"/>
      <c r="AA34" s="24">
        <v>0</v>
      </c>
      <c r="AB34" s="28">
        <v>0</v>
      </c>
      <c r="AE34" s="145">
        <v>41258</v>
      </c>
    </row>
    <row r="35" spans="1:31" ht="14.25" customHeight="1" x14ac:dyDescent="0.4">
      <c r="A35">
        <v>27</v>
      </c>
      <c r="B35" s="24">
        <v>0</v>
      </c>
      <c r="C35" s="24">
        <v>0</v>
      </c>
      <c r="D35" s="24">
        <v>0</v>
      </c>
      <c r="E35" s="24">
        <v>0</v>
      </c>
      <c r="F35" s="24">
        <v>0</v>
      </c>
      <c r="G35" s="24">
        <v>0</v>
      </c>
      <c r="H35" s="37">
        <v>236</v>
      </c>
      <c r="I35" s="23">
        <v>41214</v>
      </c>
      <c r="J35" s="37">
        <v>15</v>
      </c>
      <c r="K35" s="24" t="s">
        <v>1367</v>
      </c>
      <c r="L35" s="24">
        <v>41214</v>
      </c>
      <c r="M35" s="24">
        <v>41061</v>
      </c>
      <c r="N35" s="22" t="s">
        <v>585</v>
      </c>
      <c r="O35">
        <v>9130040</v>
      </c>
      <c r="P35" s="22">
        <v>1025</v>
      </c>
      <c r="Q35" s="22">
        <v>42</v>
      </c>
      <c r="R35" s="22" t="s">
        <v>2203</v>
      </c>
      <c r="S35" s="1"/>
      <c r="T35" s="4"/>
      <c r="U35" s="44"/>
      <c r="V35" s="4"/>
      <c r="W35" s="9"/>
      <c r="X35" s="74">
        <v>0</v>
      </c>
      <c r="Y35" s="28"/>
      <c r="Z35" s="9"/>
      <c r="AA35" s="24">
        <v>0</v>
      </c>
      <c r="AB35" s="28">
        <v>0</v>
      </c>
      <c r="AC35" s="1" t="s">
        <v>894</v>
      </c>
      <c r="AE35" s="145">
        <v>41258</v>
      </c>
    </row>
    <row r="36" spans="1:31" ht="14.25" customHeight="1" x14ac:dyDescent="0.4">
      <c r="A36">
        <v>28</v>
      </c>
      <c r="B36" s="24">
        <v>0</v>
      </c>
      <c r="C36" s="24">
        <v>0</v>
      </c>
      <c r="D36" s="24">
        <v>0</v>
      </c>
      <c r="E36" s="24">
        <v>0</v>
      </c>
      <c r="F36" s="24">
        <v>0</v>
      </c>
      <c r="G36" s="24">
        <v>0</v>
      </c>
      <c r="H36" s="37">
        <v>237</v>
      </c>
      <c r="I36" s="23">
        <v>41214</v>
      </c>
      <c r="J36" s="37">
        <v>16</v>
      </c>
      <c r="K36" s="24" t="s">
        <v>1367</v>
      </c>
      <c r="L36" s="36"/>
      <c r="M36" s="24">
        <v>41061</v>
      </c>
      <c r="N36" s="22" t="s">
        <v>585</v>
      </c>
      <c r="O36">
        <v>9130041</v>
      </c>
      <c r="P36" s="22">
        <v>1025</v>
      </c>
      <c r="Q36" s="22">
        <v>42</v>
      </c>
      <c r="R36" s="22" t="s">
        <v>2204</v>
      </c>
      <c r="S36" s="4"/>
      <c r="T36" s="4"/>
      <c r="U36" s="44"/>
      <c r="V36" s="4"/>
      <c r="W36" s="9"/>
      <c r="Y36" s="28"/>
      <c r="Z36" s="28"/>
      <c r="AA36" s="24">
        <v>0</v>
      </c>
      <c r="AB36" s="28">
        <v>0</v>
      </c>
      <c r="AE36" s="145">
        <v>41258</v>
      </c>
    </row>
    <row r="37" spans="1:31" ht="14.25" customHeight="1" x14ac:dyDescent="0.4">
      <c r="A37">
        <v>29</v>
      </c>
      <c r="B37" s="24">
        <v>0</v>
      </c>
      <c r="C37" s="24">
        <v>0</v>
      </c>
      <c r="D37" s="24">
        <v>0</v>
      </c>
      <c r="E37" s="24">
        <v>0</v>
      </c>
      <c r="F37" s="24">
        <v>0</v>
      </c>
      <c r="G37" s="24">
        <v>0</v>
      </c>
      <c r="H37" s="37">
        <v>238</v>
      </c>
      <c r="I37" s="23">
        <v>41214</v>
      </c>
      <c r="J37" s="37">
        <v>17</v>
      </c>
      <c r="K37" s="24" t="s">
        <v>1367</v>
      </c>
      <c r="L37" s="24">
        <v>41214</v>
      </c>
      <c r="M37" s="24">
        <v>41061</v>
      </c>
      <c r="N37" s="22" t="s">
        <v>585</v>
      </c>
      <c r="O37">
        <v>9130042</v>
      </c>
      <c r="P37" s="22">
        <v>1025</v>
      </c>
      <c r="Q37" s="22">
        <v>42</v>
      </c>
      <c r="R37" s="22" t="s">
        <v>2205</v>
      </c>
      <c r="S37" s="4"/>
      <c r="T37" s="4" t="s">
        <v>404</v>
      </c>
      <c r="U37" s="44">
        <v>41150</v>
      </c>
      <c r="V37" s="4"/>
      <c r="W37" s="136"/>
      <c r="Y37" s="28"/>
      <c r="Z37" s="28"/>
      <c r="AA37" s="24">
        <v>0</v>
      </c>
      <c r="AB37" s="28">
        <v>0</v>
      </c>
      <c r="AC37" s="1" t="s">
        <v>894</v>
      </c>
      <c r="AE37" s="145">
        <v>41258</v>
      </c>
    </row>
    <row r="38" spans="1:31" ht="14.25" customHeight="1" x14ac:dyDescent="0.4">
      <c r="A38">
        <v>30</v>
      </c>
      <c r="B38" s="24">
        <v>0</v>
      </c>
      <c r="C38" s="24">
        <v>0</v>
      </c>
      <c r="D38" s="24">
        <v>0</v>
      </c>
      <c r="E38" s="24">
        <v>0</v>
      </c>
      <c r="F38" s="24">
        <v>0</v>
      </c>
      <c r="G38" s="24">
        <v>0</v>
      </c>
      <c r="H38" s="37">
        <v>239</v>
      </c>
      <c r="I38" s="23">
        <v>41214</v>
      </c>
      <c r="J38" s="37">
        <v>18</v>
      </c>
      <c r="K38" s="24" t="s">
        <v>1367</v>
      </c>
      <c r="L38" s="24">
        <v>41214</v>
      </c>
      <c r="M38" s="24">
        <v>41061</v>
      </c>
      <c r="N38" s="22" t="s">
        <v>585</v>
      </c>
      <c r="O38">
        <v>9130043</v>
      </c>
      <c r="P38" s="22">
        <v>1025</v>
      </c>
      <c r="Q38" s="22">
        <v>42</v>
      </c>
      <c r="R38" s="22" t="s">
        <v>2206</v>
      </c>
      <c r="S38" s="1"/>
      <c r="T38" s="4"/>
      <c r="U38" s="44"/>
      <c r="V38" s="4"/>
      <c r="W38" s="136"/>
      <c r="X38" s="74"/>
      <c r="Y38" s="28"/>
      <c r="Z38" s="28"/>
      <c r="AA38" s="24">
        <v>0</v>
      </c>
      <c r="AB38" s="28">
        <v>0</v>
      </c>
      <c r="AE38" s="145">
        <v>41258</v>
      </c>
    </row>
    <row r="39" spans="1:31" ht="14.25" customHeight="1" x14ac:dyDescent="0.4">
      <c r="A39">
        <v>31</v>
      </c>
      <c r="B39" s="22">
        <v>0</v>
      </c>
      <c r="C39" s="22" t="s">
        <v>2102</v>
      </c>
      <c r="D39" s="22">
        <v>0</v>
      </c>
      <c r="E39" s="24">
        <v>0</v>
      </c>
      <c r="F39" s="24">
        <v>0</v>
      </c>
      <c r="G39" s="24">
        <v>0</v>
      </c>
      <c r="H39" s="37">
        <v>285</v>
      </c>
      <c r="I39" s="23">
        <v>41244</v>
      </c>
      <c r="J39" s="37">
        <v>7</v>
      </c>
      <c r="K39" s="24" t="s">
        <v>1367</v>
      </c>
      <c r="L39" s="24">
        <v>41244</v>
      </c>
      <c r="M39" s="24">
        <v>41061</v>
      </c>
      <c r="N39" s="22" t="s">
        <v>585</v>
      </c>
      <c r="O39">
        <v>9130044</v>
      </c>
      <c r="P39" s="22">
        <v>1220</v>
      </c>
      <c r="Q39" s="22">
        <v>50</v>
      </c>
      <c r="R39" s="22" t="s">
        <v>2207</v>
      </c>
      <c r="S39" s="4"/>
      <c r="T39" s="4" t="s">
        <v>404</v>
      </c>
      <c r="U39" s="44">
        <v>41173</v>
      </c>
      <c r="V39" s="4"/>
      <c r="W39" s="57"/>
      <c r="X39" s="74"/>
      <c r="Y39" s="28"/>
      <c r="Z39" s="9"/>
      <c r="AA39" s="24">
        <v>0</v>
      </c>
      <c r="AB39" s="28">
        <v>0</v>
      </c>
      <c r="AE39" s="145">
        <v>41289</v>
      </c>
    </row>
    <row r="40" spans="1:31" ht="14.25" customHeight="1" x14ac:dyDescent="0.4">
      <c r="A40">
        <v>32</v>
      </c>
      <c r="B40" s="22">
        <v>0</v>
      </c>
      <c r="C40" s="22" t="s">
        <v>2102</v>
      </c>
      <c r="D40" s="22">
        <v>0</v>
      </c>
      <c r="E40" s="24">
        <v>0</v>
      </c>
      <c r="F40" s="24">
        <v>0</v>
      </c>
      <c r="G40" s="24">
        <v>0</v>
      </c>
      <c r="H40" s="37">
        <v>286</v>
      </c>
      <c r="I40" s="23">
        <v>41244</v>
      </c>
      <c r="J40" s="37">
        <v>8</v>
      </c>
      <c r="K40" s="24" t="s">
        <v>1367</v>
      </c>
      <c r="L40" s="24">
        <v>41244</v>
      </c>
      <c r="M40" s="24">
        <v>41061</v>
      </c>
      <c r="N40" s="22" t="s">
        <v>585</v>
      </c>
      <c r="O40">
        <v>9130045</v>
      </c>
      <c r="P40" s="22">
        <v>1025</v>
      </c>
      <c r="Q40" s="22">
        <v>42</v>
      </c>
      <c r="R40" s="22" t="s">
        <v>2208</v>
      </c>
      <c r="S40" s="4"/>
      <c r="T40" s="4"/>
      <c r="U40" s="44"/>
      <c r="V40" s="4"/>
      <c r="W40" s="57"/>
      <c r="X40" s="74"/>
      <c r="Y40" s="28"/>
      <c r="Z40" s="9"/>
      <c r="AA40" s="24">
        <v>0</v>
      </c>
      <c r="AB40" s="28">
        <v>0</v>
      </c>
      <c r="AE40" s="145">
        <v>41289</v>
      </c>
    </row>
    <row r="41" spans="1:31" ht="14.25" customHeight="1" x14ac:dyDescent="0.4">
      <c r="A41">
        <v>33</v>
      </c>
      <c r="B41" s="22">
        <v>0</v>
      </c>
      <c r="C41" s="22" t="s">
        <v>2165</v>
      </c>
      <c r="D41" s="22">
        <v>0</v>
      </c>
      <c r="E41" s="24">
        <v>0</v>
      </c>
      <c r="F41" s="24">
        <v>0</v>
      </c>
      <c r="G41" s="24">
        <v>0</v>
      </c>
      <c r="H41" s="37">
        <v>318</v>
      </c>
      <c r="I41" s="23">
        <v>41244</v>
      </c>
      <c r="J41" s="37">
        <v>40</v>
      </c>
      <c r="K41" s="24" t="s">
        <v>1367</v>
      </c>
      <c r="L41" s="24">
        <v>41244</v>
      </c>
      <c r="M41" s="24">
        <v>41061</v>
      </c>
      <c r="N41" s="22" t="s">
        <v>585</v>
      </c>
      <c r="O41">
        <v>9130046</v>
      </c>
      <c r="P41" s="22">
        <v>720</v>
      </c>
      <c r="Q41" s="22">
        <v>42</v>
      </c>
      <c r="R41" s="22" t="s">
        <v>2209</v>
      </c>
      <c r="S41" s="4"/>
      <c r="T41" s="4"/>
      <c r="U41" s="44"/>
      <c r="V41" s="4"/>
      <c r="W41" s="57"/>
      <c r="X41" s="74"/>
      <c r="Y41" s="28"/>
      <c r="Z41" s="28"/>
      <c r="AA41" s="24">
        <v>0</v>
      </c>
      <c r="AB41" s="28">
        <v>0</v>
      </c>
      <c r="AE41" s="145">
        <v>41289</v>
      </c>
    </row>
    <row r="42" spans="1:31" ht="14.25" customHeight="1" x14ac:dyDescent="0.4">
      <c r="A42">
        <v>34</v>
      </c>
      <c r="B42" s="22">
        <v>0</v>
      </c>
      <c r="C42" s="22" t="s">
        <v>2165</v>
      </c>
      <c r="D42" s="22">
        <v>0</v>
      </c>
      <c r="E42" s="24">
        <v>0</v>
      </c>
      <c r="F42" s="24">
        <v>0</v>
      </c>
      <c r="G42" s="24">
        <v>0</v>
      </c>
      <c r="H42" s="37">
        <v>319</v>
      </c>
      <c r="I42" s="23">
        <v>41244</v>
      </c>
      <c r="J42" s="37">
        <v>41</v>
      </c>
      <c r="K42" s="24" t="s">
        <v>1367</v>
      </c>
      <c r="L42" s="24">
        <v>41244</v>
      </c>
      <c r="M42" s="24">
        <v>41061</v>
      </c>
      <c r="N42" s="22" t="s">
        <v>585</v>
      </c>
      <c r="O42">
        <v>9130048</v>
      </c>
      <c r="P42" s="22">
        <v>720</v>
      </c>
      <c r="Q42" s="22">
        <v>42</v>
      </c>
      <c r="R42" s="22" t="s">
        <v>2210</v>
      </c>
      <c r="S42" s="4"/>
      <c r="T42" s="4"/>
      <c r="U42" s="44"/>
      <c r="V42" s="4"/>
      <c r="W42" s="57"/>
      <c r="X42" s="74"/>
      <c r="Y42" s="28"/>
      <c r="Z42" s="28"/>
      <c r="AA42" s="24">
        <v>0</v>
      </c>
      <c r="AB42" s="28">
        <v>0</v>
      </c>
      <c r="AE42" s="145">
        <v>41289</v>
      </c>
    </row>
    <row r="43" spans="1:31" ht="14.25" customHeight="1" x14ac:dyDescent="0.4">
      <c r="A43">
        <v>35</v>
      </c>
      <c r="B43" s="22">
        <v>0</v>
      </c>
      <c r="C43" s="22">
        <v>0</v>
      </c>
      <c r="D43" s="22">
        <v>0</v>
      </c>
      <c r="E43" s="24">
        <v>0</v>
      </c>
      <c r="F43" s="24">
        <v>0</v>
      </c>
      <c r="G43" s="24">
        <v>0</v>
      </c>
      <c r="H43" s="37">
        <v>287</v>
      </c>
      <c r="I43" s="23">
        <v>41244</v>
      </c>
      <c r="J43" s="37">
        <v>9</v>
      </c>
      <c r="K43" s="24" t="s">
        <v>1367</v>
      </c>
      <c r="L43" s="24">
        <v>41244</v>
      </c>
      <c r="M43" s="24">
        <v>41061</v>
      </c>
      <c r="N43" s="22" t="s">
        <v>585</v>
      </c>
      <c r="O43">
        <v>9130049</v>
      </c>
      <c r="P43" s="22">
        <v>1025</v>
      </c>
      <c r="Q43" s="22">
        <v>50</v>
      </c>
      <c r="R43" s="22" t="s">
        <v>2211</v>
      </c>
      <c r="S43" s="4"/>
      <c r="T43" s="4"/>
      <c r="U43" s="44"/>
      <c r="V43" s="4"/>
      <c r="W43" s="57"/>
      <c r="X43" s="74"/>
      <c r="Y43" s="28"/>
      <c r="Z43" s="9"/>
      <c r="AA43" s="24">
        <v>0</v>
      </c>
      <c r="AB43" s="28">
        <v>0</v>
      </c>
      <c r="AC43" s="1" t="s">
        <v>894</v>
      </c>
      <c r="AE43" s="145">
        <v>41289</v>
      </c>
    </row>
    <row r="44" spans="1:31" ht="14.25" customHeight="1" x14ac:dyDescent="0.4">
      <c r="A44">
        <v>36</v>
      </c>
      <c r="B44" s="22">
        <v>0</v>
      </c>
      <c r="C44" s="22">
        <v>0</v>
      </c>
      <c r="D44" s="22">
        <v>0</v>
      </c>
      <c r="E44" s="24">
        <v>0</v>
      </c>
      <c r="F44" s="24">
        <v>0</v>
      </c>
      <c r="G44" s="24">
        <v>0</v>
      </c>
      <c r="H44" s="37">
        <v>288</v>
      </c>
      <c r="I44" s="23">
        <v>41244</v>
      </c>
      <c r="J44" s="37">
        <v>10</v>
      </c>
      <c r="K44" s="24" t="s">
        <v>1367</v>
      </c>
      <c r="L44" s="24">
        <v>41244</v>
      </c>
      <c r="M44" s="24">
        <v>41061</v>
      </c>
      <c r="N44" s="22" t="s">
        <v>585</v>
      </c>
      <c r="O44">
        <v>9130050</v>
      </c>
      <c r="P44" s="22">
        <v>1025</v>
      </c>
      <c r="Q44" s="22">
        <v>42</v>
      </c>
      <c r="R44" s="22" t="s">
        <v>2212</v>
      </c>
      <c r="S44" s="4"/>
      <c r="T44" s="4"/>
      <c r="U44" s="44"/>
      <c r="V44" s="4"/>
      <c r="W44" s="57"/>
      <c r="X44" s="74"/>
      <c r="Y44" s="28"/>
      <c r="Z44" s="28"/>
      <c r="AA44" s="24">
        <v>0</v>
      </c>
      <c r="AB44" s="28">
        <v>0</v>
      </c>
      <c r="AE44" s="145">
        <v>41289</v>
      </c>
    </row>
    <row r="45" spans="1:31" ht="14.25" customHeight="1" x14ac:dyDescent="0.4">
      <c r="A45">
        <v>37</v>
      </c>
      <c r="B45" s="22">
        <v>0</v>
      </c>
      <c r="C45" s="22" t="s">
        <v>2165</v>
      </c>
      <c r="D45" s="22">
        <v>0</v>
      </c>
      <c r="E45" s="24">
        <v>0</v>
      </c>
      <c r="F45" s="24">
        <v>0</v>
      </c>
      <c r="G45" s="24">
        <v>0</v>
      </c>
      <c r="H45" s="37">
        <v>289</v>
      </c>
      <c r="I45" s="23">
        <v>41244</v>
      </c>
      <c r="J45" s="37">
        <v>11</v>
      </c>
      <c r="K45" s="24" t="s">
        <v>1367</v>
      </c>
      <c r="L45" s="24">
        <v>41244</v>
      </c>
      <c r="M45" s="24">
        <v>41061</v>
      </c>
      <c r="N45" s="22" t="s">
        <v>585</v>
      </c>
      <c r="O45">
        <v>9130054</v>
      </c>
      <c r="P45" s="22">
        <v>1025</v>
      </c>
      <c r="Q45" s="22">
        <v>42</v>
      </c>
      <c r="R45" s="22" t="s">
        <v>2213</v>
      </c>
      <c r="S45" s="1" t="s">
        <v>850</v>
      </c>
      <c r="T45" s="4" t="s">
        <v>404</v>
      </c>
      <c r="U45" s="44">
        <v>41145</v>
      </c>
      <c r="V45" s="4"/>
      <c r="W45" s="9"/>
      <c r="X45" s="74"/>
      <c r="Y45" s="28"/>
      <c r="Z45" s="28"/>
      <c r="AA45" s="24">
        <v>0</v>
      </c>
      <c r="AB45" s="28">
        <v>0</v>
      </c>
      <c r="AC45" s="1" t="s">
        <v>894</v>
      </c>
      <c r="AE45" s="145">
        <v>41289</v>
      </c>
    </row>
    <row r="46" spans="1:31" ht="14.25" customHeight="1" x14ac:dyDescent="0.4">
      <c r="A46">
        <v>38</v>
      </c>
      <c r="B46" s="22">
        <v>0</v>
      </c>
      <c r="C46" s="22" t="s">
        <v>2165</v>
      </c>
      <c r="D46" s="22">
        <v>0</v>
      </c>
      <c r="E46" s="24">
        <v>0</v>
      </c>
      <c r="F46" s="24">
        <v>0</v>
      </c>
      <c r="G46" s="24">
        <v>0</v>
      </c>
      <c r="H46" s="37">
        <v>290</v>
      </c>
      <c r="I46" s="23">
        <v>41244</v>
      </c>
      <c r="J46" s="37">
        <v>12</v>
      </c>
      <c r="K46" s="24" t="s">
        <v>1367</v>
      </c>
      <c r="L46" s="24">
        <v>41244</v>
      </c>
      <c r="M46" s="24">
        <v>41061</v>
      </c>
      <c r="N46" s="22" t="s">
        <v>585</v>
      </c>
      <c r="O46">
        <v>9130056</v>
      </c>
      <c r="P46" s="22">
        <v>1025</v>
      </c>
      <c r="Q46" s="22">
        <v>42</v>
      </c>
      <c r="R46" s="22" t="s">
        <v>2214</v>
      </c>
      <c r="S46" s="4" t="s">
        <v>851</v>
      </c>
      <c r="T46" s="4" t="s">
        <v>404</v>
      </c>
      <c r="U46" s="44">
        <v>41145</v>
      </c>
      <c r="V46" s="4"/>
      <c r="W46" s="58"/>
      <c r="X46" s="84"/>
      <c r="Y46" s="28"/>
      <c r="Z46" s="9"/>
      <c r="AA46" s="24">
        <v>0</v>
      </c>
      <c r="AB46" s="28">
        <v>0</v>
      </c>
      <c r="AC46" s="1" t="s">
        <v>111</v>
      </c>
      <c r="AE46" s="145">
        <v>41289</v>
      </c>
    </row>
    <row r="47" spans="1:31" ht="14.25" customHeight="1" x14ac:dyDescent="0.4">
      <c r="A47">
        <v>39</v>
      </c>
      <c r="B47" s="22">
        <v>0</v>
      </c>
      <c r="C47" s="22" t="s">
        <v>2165</v>
      </c>
      <c r="D47" s="22">
        <v>0</v>
      </c>
      <c r="E47" s="24">
        <v>0</v>
      </c>
      <c r="F47" s="24">
        <v>0</v>
      </c>
      <c r="G47" s="24">
        <v>0</v>
      </c>
      <c r="H47" s="37">
        <v>291</v>
      </c>
      <c r="I47" s="23">
        <v>41244</v>
      </c>
      <c r="J47" s="37">
        <v>13</v>
      </c>
      <c r="K47" s="24" t="s">
        <v>1367</v>
      </c>
      <c r="L47" s="24">
        <v>41244</v>
      </c>
      <c r="M47" s="24">
        <v>41061</v>
      </c>
      <c r="N47" s="22" t="s">
        <v>585</v>
      </c>
      <c r="O47">
        <v>9130058</v>
      </c>
      <c r="P47" s="22">
        <v>1025</v>
      </c>
      <c r="Q47" s="22">
        <v>42</v>
      </c>
      <c r="R47" s="22" t="s">
        <v>2215</v>
      </c>
      <c r="S47" s="4" t="s">
        <v>263</v>
      </c>
      <c r="T47" s="4" t="s">
        <v>404</v>
      </c>
      <c r="U47" s="44">
        <v>41103</v>
      </c>
      <c r="V47" s="4"/>
      <c r="W47" s="127"/>
      <c r="Y47" s="28"/>
      <c r="Z47" s="28"/>
      <c r="AA47" s="24">
        <v>0</v>
      </c>
      <c r="AB47" s="28">
        <v>0</v>
      </c>
      <c r="AC47" s="1" t="s">
        <v>895</v>
      </c>
      <c r="AE47" s="145">
        <v>41289</v>
      </c>
    </row>
    <row r="48" spans="1:31" ht="14.25" customHeight="1" x14ac:dyDescent="0.4">
      <c r="A48">
        <v>40</v>
      </c>
      <c r="B48" s="22">
        <v>0</v>
      </c>
      <c r="C48" s="22" t="s">
        <v>2165</v>
      </c>
      <c r="D48" s="22">
        <v>0</v>
      </c>
      <c r="E48" s="24">
        <v>0</v>
      </c>
      <c r="F48" s="24">
        <v>0</v>
      </c>
      <c r="G48" s="24">
        <v>0</v>
      </c>
      <c r="H48" s="37">
        <v>292</v>
      </c>
      <c r="I48" s="23">
        <v>41244</v>
      </c>
      <c r="J48" s="37">
        <v>14</v>
      </c>
      <c r="K48" s="24" t="s">
        <v>1367</v>
      </c>
      <c r="L48" s="24">
        <v>41244</v>
      </c>
      <c r="M48" s="24">
        <v>41061</v>
      </c>
      <c r="N48" s="22" t="s">
        <v>585</v>
      </c>
      <c r="O48">
        <v>9130060</v>
      </c>
      <c r="P48" s="22">
        <v>1025</v>
      </c>
      <c r="Q48" s="22">
        <v>42</v>
      </c>
      <c r="R48" s="22" t="s">
        <v>2216</v>
      </c>
      <c r="S48" s="4" t="s">
        <v>1755</v>
      </c>
      <c r="T48" s="4" t="s">
        <v>404</v>
      </c>
      <c r="U48" s="44">
        <v>41169</v>
      </c>
      <c r="V48" s="4"/>
      <c r="W48" s="127"/>
      <c r="Y48" s="28"/>
      <c r="Z48" s="28"/>
      <c r="AA48" s="24">
        <v>0</v>
      </c>
      <c r="AB48" s="28">
        <v>0</v>
      </c>
      <c r="AE48" s="145">
        <v>41289</v>
      </c>
    </row>
    <row r="49" spans="1:35" ht="14.25" customHeight="1" x14ac:dyDescent="0.4">
      <c r="A49">
        <v>41</v>
      </c>
      <c r="B49" s="22">
        <v>0</v>
      </c>
      <c r="C49" s="22" t="s">
        <v>2102</v>
      </c>
      <c r="D49" s="22">
        <v>0</v>
      </c>
      <c r="E49" s="24">
        <v>0</v>
      </c>
      <c r="F49" s="24">
        <v>0</v>
      </c>
      <c r="G49" s="24">
        <v>0</v>
      </c>
      <c r="H49" s="37">
        <v>376</v>
      </c>
      <c r="I49" s="23">
        <v>41275</v>
      </c>
      <c r="J49" s="37">
        <v>47</v>
      </c>
      <c r="K49" s="24" t="s">
        <v>1367</v>
      </c>
      <c r="L49" s="24">
        <v>41275</v>
      </c>
      <c r="M49" s="24">
        <v>41061</v>
      </c>
      <c r="N49" s="22" t="s">
        <v>585</v>
      </c>
      <c r="O49">
        <v>9130061</v>
      </c>
      <c r="P49" s="22">
        <v>720</v>
      </c>
      <c r="Q49" s="22">
        <v>42</v>
      </c>
      <c r="R49" s="22" t="s">
        <v>2217</v>
      </c>
      <c r="S49" s="4" t="s">
        <v>1897</v>
      </c>
      <c r="T49" s="4" t="s">
        <v>404</v>
      </c>
      <c r="U49" s="44">
        <v>41103</v>
      </c>
      <c r="V49" s="4"/>
      <c r="W49" s="127"/>
      <c r="X49" s="74"/>
      <c r="Y49" s="28"/>
      <c r="Z49" s="9"/>
      <c r="AA49" s="24">
        <v>0</v>
      </c>
      <c r="AB49" s="28">
        <v>0</v>
      </c>
      <c r="AE49" s="145">
        <v>41320</v>
      </c>
    </row>
    <row r="50" spans="1:35" ht="14.25" customHeight="1" x14ac:dyDescent="0.4">
      <c r="A50">
        <v>42</v>
      </c>
      <c r="B50" s="22">
        <v>0</v>
      </c>
      <c r="C50" s="22" t="s">
        <v>2102</v>
      </c>
      <c r="D50" s="22">
        <v>0</v>
      </c>
      <c r="E50" s="24">
        <v>0</v>
      </c>
      <c r="F50" s="24">
        <v>0</v>
      </c>
      <c r="G50" s="24">
        <v>0</v>
      </c>
      <c r="H50" s="37">
        <v>377</v>
      </c>
      <c r="I50" s="23">
        <v>41275</v>
      </c>
      <c r="J50" s="37">
        <v>48</v>
      </c>
      <c r="K50" s="24" t="s">
        <v>1367</v>
      </c>
      <c r="L50" s="24">
        <v>41275</v>
      </c>
      <c r="M50" s="24">
        <v>41061</v>
      </c>
      <c r="N50" s="22" t="s">
        <v>585</v>
      </c>
      <c r="O50">
        <v>9130062</v>
      </c>
      <c r="P50" s="22">
        <v>720</v>
      </c>
      <c r="Q50" s="22">
        <v>42</v>
      </c>
      <c r="R50" s="22" t="s">
        <v>2218</v>
      </c>
      <c r="S50" s="4"/>
      <c r="T50" s="4"/>
      <c r="U50" s="44"/>
      <c r="V50" s="4"/>
      <c r="W50" s="127"/>
      <c r="X50" s="74"/>
      <c r="Y50" s="28"/>
      <c r="Z50" s="28"/>
      <c r="AA50" s="24">
        <v>0</v>
      </c>
      <c r="AB50" s="28">
        <v>0</v>
      </c>
      <c r="AC50" s="28"/>
      <c r="AE50" s="145">
        <v>41320</v>
      </c>
    </row>
    <row r="51" spans="1:35" ht="14.25" customHeight="1" x14ac:dyDescent="0.4">
      <c r="A51">
        <v>43</v>
      </c>
      <c r="B51" s="22">
        <v>0</v>
      </c>
      <c r="C51" s="22" t="s">
        <v>2102</v>
      </c>
      <c r="D51" s="22">
        <v>0</v>
      </c>
      <c r="E51" s="24">
        <v>0</v>
      </c>
      <c r="F51" s="24">
        <v>0</v>
      </c>
      <c r="G51" s="24">
        <v>0</v>
      </c>
      <c r="H51" s="37">
        <v>342</v>
      </c>
      <c r="I51" s="23">
        <v>41275</v>
      </c>
      <c r="J51" s="37">
        <v>13</v>
      </c>
      <c r="K51" s="24" t="s">
        <v>1367</v>
      </c>
      <c r="L51" s="24">
        <v>41275</v>
      </c>
      <c r="M51" s="24">
        <v>41061</v>
      </c>
      <c r="N51" s="22" t="s">
        <v>585</v>
      </c>
      <c r="O51">
        <v>9130063</v>
      </c>
      <c r="P51" s="22">
        <v>1025</v>
      </c>
      <c r="Q51" s="22">
        <v>42</v>
      </c>
      <c r="R51" s="22" t="s">
        <v>2219</v>
      </c>
      <c r="S51" s="4"/>
      <c r="T51" s="4"/>
      <c r="U51" s="42"/>
      <c r="V51" s="4"/>
      <c r="W51" s="128"/>
      <c r="Y51" s="28"/>
      <c r="Z51" s="28"/>
      <c r="AA51" s="24">
        <v>0</v>
      </c>
      <c r="AB51" s="28">
        <v>0</v>
      </c>
      <c r="AE51" s="145">
        <v>41320</v>
      </c>
    </row>
    <row r="52" spans="1:35" ht="14.25" customHeight="1" x14ac:dyDescent="0.4">
      <c r="A52">
        <v>44</v>
      </c>
      <c r="B52" s="22">
        <v>0</v>
      </c>
      <c r="C52" s="22">
        <v>0</v>
      </c>
      <c r="D52" s="22">
        <v>0</v>
      </c>
      <c r="E52" s="24">
        <v>0</v>
      </c>
      <c r="F52" s="24">
        <v>0</v>
      </c>
      <c r="G52" s="24">
        <v>0</v>
      </c>
      <c r="H52" s="37">
        <v>343</v>
      </c>
      <c r="I52" s="23">
        <v>41275</v>
      </c>
      <c r="J52" s="37">
        <v>14</v>
      </c>
      <c r="K52" s="24" t="s">
        <v>1367</v>
      </c>
      <c r="L52" s="24">
        <v>41275</v>
      </c>
      <c r="M52" s="24">
        <v>41061</v>
      </c>
      <c r="N52" s="22" t="s">
        <v>585</v>
      </c>
      <c r="O52">
        <v>9130064</v>
      </c>
      <c r="P52" s="22">
        <v>1025</v>
      </c>
      <c r="Q52" s="22">
        <v>42</v>
      </c>
      <c r="R52" s="22" t="s">
        <v>2220</v>
      </c>
      <c r="S52" s="4"/>
      <c r="T52" s="4"/>
      <c r="U52" s="42"/>
      <c r="V52" s="4"/>
      <c r="W52" s="128"/>
      <c r="Y52" s="28"/>
      <c r="Z52" s="28"/>
      <c r="AA52" s="24">
        <v>0</v>
      </c>
      <c r="AB52" s="28">
        <v>0</v>
      </c>
      <c r="AE52" s="145">
        <v>41320</v>
      </c>
    </row>
    <row r="53" spans="1:35" ht="14.25" customHeight="1" x14ac:dyDescent="0.4">
      <c r="A53">
        <v>45</v>
      </c>
      <c r="B53" s="22">
        <v>0</v>
      </c>
      <c r="C53" s="22">
        <v>0</v>
      </c>
      <c r="D53" s="22">
        <v>0</v>
      </c>
      <c r="E53" s="24">
        <v>0</v>
      </c>
      <c r="F53" s="24">
        <v>0</v>
      </c>
      <c r="G53" s="24">
        <v>0</v>
      </c>
      <c r="H53" s="37">
        <v>344</v>
      </c>
      <c r="I53" s="23">
        <v>41275</v>
      </c>
      <c r="J53" s="37">
        <v>15</v>
      </c>
      <c r="K53" s="24" t="s">
        <v>1367</v>
      </c>
      <c r="L53" s="24">
        <v>41275</v>
      </c>
      <c r="M53" s="24">
        <v>41061</v>
      </c>
      <c r="N53" s="22" t="s">
        <v>585</v>
      </c>
      <c r="O53">
        <v>9130066</v>
      </c>
      <c r="P53" s="22">
        <v>1025</v>
      </c>
      <c r="Q53" s="22">
        <v>42</v>
      </c>
      <c r="R53" s="22" t="s">
        <v>2221</v>
      </c>
      <c r="S53" s="4"/>
      <c r="T53" s="4"/>
      <c r="U53" s="42"/>
      <c r="V53" s="4"/>
      <c r="W53" s="128"/>
      <c r="X53" s="74"/>
      <c r="Y53" s="28"/>
      <c r="Z53" s="28"/>
      <c r="AA53" s="24">
        <v>0</v>
      </c>
      <c r="AB53" s="28">
        <v>0</v>
      </c>
      <c r="AE53" s="145">
        <v>41320</v>
      </c>
    </row>
    <row r="54" spans="1:35" ht="14.25" customHeight="1" x14ac:dyDescent="0.4">
      <c r="A54">
        <v>46</v>
      </c>
      <c r="B54" s="22">
        <v>0</v>
      </c>
      <c r="C54" s="22" t="s">
        <v>2165</v>
      </c>
      <c r="D54" s="22">
        <v>0</v>
      </c>
      <c r="E54" s="24">
        <v>0</v>
      </c>
      <c r="F54" s="24">
        <v>0</v>
      </c>
      <c r="G54" s="24">
        <v>0</v>
      </c>
      <c r="H54" s="37">
        <v>345</v>
      </c>
      <c r="I54" s="23">
        <v>41275</v>
      </c>
      <c r="J54" s="37">
        <v>16</v>
      </c>
      <c r="K54" s="24" t="s">
        <v>1367</v>
      </c>
      <c r="L54" s="24">
        <v>41275</v>
      </c>
      <c r="M54" s="24">
        <v>41061</v>
      </c>
      <c r="N54" s="22" t="s">
        <v>585</v>
      </c>
      <c r="O54">
        <v>9130067</v>
      </c>
      <c r="P54" s="22">
        <v>1025</v>
      </c>
      <c r="Q54" s="22">
        <v>42</v>
      </c>
      <c r="R54" s="22" t="s">
        <v>2222</v>
      </c>
      <c r="S54" s="4"/>
      <c r="T54" s="4"/>
      <c r="U54" s="60"/>
      <c r="V54" s="4"/>
      <c r="W54" s="44"/>
      <c r="Y54" s="28"/>
      <c r="Z54" s="28"/>
      <c r="AA54" s="24">
        <v>0</v>
      </c>
      <c r="AB54" s="28">
        <v>0</v>
      </c>
      <c r="AE54" s="145">
        <v>41320</v>
      </c>
    </row>
    <row r="55" spans="1:35" ht="14.25" customHeight="1" x14ac:dyDescent="0.4">
      <c r="A55">
        <v>47</v>
      </c>
      <c r="B55" s="22">
        <v>0</v>
      </c>
      <c r="C55" s="22" t="s">
        <v>2165</v>
      </c>
      <c r="D55" s="22">
        <v>0</v>
      </c>
      <c r="E55" s="24">
        <v>0</v>
      </c>
      <c r="F55" s="24">
        <v>0</v>
      </c>
      <c r="G55" s="24">
        <v>0</v>
      </c>
      <c r="H55" s="37">
        <v>346</v>
      </c>
      <c r="I55" s="23">
        <v>41275</v>
      </c>
      <c r="J55" s="37">
        <v>17</v>
      </c>
      <c r="K55" s="24" t="s">
        <v>1367</v>
      </c>
      <c r="L55" s="24">
        <v>41275</v>
      </c>
      <c r="M55" s="24">
        <v>41061</v>
      </c>
      <c r="N55" s="22" t="s">
        <v>585</v>
      </c>
      <c r="O55">
        <v>9130068</v>
      </c>
      <c r="P55" s="22">
        <v>1025</v>
      </c>
      <c r="Q55" s="22">
        <v>42</v>
      </c>
      <c r="R55" s="22" t="s">
        <v>2223</v>
      </c>
      <c r="S55" s="102"/>
      <c r="T55" s="4"/>
      <c r="U55" s="44"/>
      <c r="V55" s="4"/>
      <c r="W55" s="9"/>
      <c r="Y55" s="28"/>
      <c r="Z55" s="9"/>
      <c r="AA55" s="24">
        <v>0</v>
      </c>
      <c r="AB55" s="28">
        <v>0</v>
      </c>
      <c r="AE55" s="145">
        <v>41320</v>
      </c>
    </row>
    <row r="56" spans="1:35" ht="14.25" customHeight="1" x14ac:dyDescent="0.4">
      <c r="A56">
        <v>48</v>
      </c>
      <c r="B56" s="22">
        <v>0</v>
      </c>
      <c r="C56" s="22" t="s">
        <v>2165</v>
      </c>
      <c r="D56" s="22">
        <v>0</v>
      </c>
      <c r="E56" s="24">
        <v>0</v>
      </c>
      <c r="F56" s="24">
        <v>0</v>
      </c>
      <c r="G56" s="24">
        <v>0</v>
      </c>
      <c r="H56" s="37">
        <v>347</v>
      </c>
      <c r="I56" s="23">
        <v>41275</v>
      </c>
      <c r="J56" s="37">
        <v>18</v>
      </c>
      <c r="K56" s="24" t="s">
        <v>1367</v>
      </c>
      <c r="L56" s="24">
        <v>41275</v>
      </c>
      <c r="M56" s="24">
        <v>41061</v>
      </c>
      <c r="N56" s="22" t="s">
        <v>585</v>
      </c>
      <c r="O56">
        <v>9130069</v>
      </c>
      <c r="P56" s="22">
        <v>1025</v>
      </c>
      <c r="Q56" s="22">
        <v>50</v>
      </c>
      <c r="R56" s="22" t="s">
        <v>2224</v>
      </c>
      <c r="S56" s="4"/>
      <c r="T56" s="4"/>
      <c r="U56" s="44"/>
      <c r="V56" s="4"/>
      <c r="W56" s="57"/>
      <c r="X56" s="74"/>
      <c r="Y56" s="28"/>
      <c r="Z56" s="9"/>
      <c r="AA56" s="24">
        <v>0</v>
      </c>
      <c r="AB56" s="28">
        <v>0</v>
      </c>
      <c r="AE56" s="145">
        <v>41320</v>
      </c>
    </row>
    <row r="57" spans="1:35" ht="14.25" customHeight="1" x14ac:dyDescent="0.4">
      <c r="A57">
        <v>49</v>
      </c>
      <c r="B57" s="24">
        <v>0</v>
      </c>
      <c r="C57" s="24">
        <v>0</v>
      </c>
      <c r="D57" s="24">
        <v>0</v>
      </c>
      <c r="E57" s="24">
        <v>0</v>
      </c>
      <c r="F57" s="24">
        <v>0</v>
      </c>
      <c r="G57" s="24">
        <v>0</v>
      </c>
      <c r="H57" s="37">
        <v>378</v>
      </c>
      <c r="I57" s="23">
        <v>41275</v>
      </c>
      <c r="J57" s="37">
        <v>49</v>
      </c>
      <c r="K57" s="24" t="s">
        <v>1367</v>
      </c>
      <c r="L57" s="24">
        <v>41275</v>
      </c>
      <c r="M57" s="24">
        <v>41061</v>
      </c>
      <c r="N57" s="22" t="s">
        <v>585</v>
      </c>
      <c r="O57">
        <v>9130070</v>
      </c>
      <c r="P57" s="22">
        <v>720</v>
      </c>
      <c r="Q57" s="22">
        <v>42</v>
      </c>
      <c r="R57" s="22" t="s">
        <v>2225</v>
      </c>
      <c r="S57" s="4"/>
      <c r="T57" s="4"/>
      <c r="U57" s="44"/>
      <c r="V57" s="4"/>
      <c r="W57" s="44"/>
      <c r="X57" s="74"/>
      <c r="Y57" s="28"/>
      <c r="Z57" s="28"/>
      <c r="AA57" s="24">
        <v>0</v>
      </c>
      <c r="AB57" s="28">
        <v>0</v>
      </c>
      <c r="AE57" s="145">
        <v>41320</v>
      </c>
    </row>
    <row r="58" spans="1:35" ht="14.25" customHeight="1" x14ac:dyDescent="0.4">
      <c r="A58">
        <v>50</v>
      </c>
      <c r="B58" s="22">
        <v>0</v>
      </c>
      <c r="C58" s="22" t="s">
        <v>2165</v>
      </c>
      <c r="D58" s="22">
        <v>0</v>
      </c>
      <c r="E58" s="24">
        <v>0</v>
      </c>
      <c r="F58" s="24">
        <v>0</v>
      </c>
      <c r="G58" s="24">
        <v>0</v>
      </c>
      <c r="H58" s="37">
        <v>379</v>
      </c>
      <c r="I58" s="23">
        <v>41275</v>
      </c>
      <c r="J58" s="37">
        <v>50</v>
      </c>
      <c r="K58" s="24" t="s">
        <v>1367</v>
      </c>
      <c r="L58" s="24">
        <v>41275</v>
      </c>
      <c r="M58" s="24">
        <v>41061</v>
      </c>
      <c r="N58" s="22" t="s">
        <v>585</v>
      </c>
      <c r="O58">
        <v>9130071</v>
      </c>
      <c r="P58" s="22">
        <v>720</v>
      </c>
      <c r="Q58" s="22">
        <v>42</v>
      </c>
      <c r="R58" s="22" t="s">
        <v>2226</v>
      </c>
      <c r="S58" s="76"/>
      <c r="T58" s="4"/>
      <c r="U58" s="44"/>
      <c r="V58" s="4"/>
      <c r="W58" s="44"/>
      <c r="X58" s="74"/>
      <c r="Y58" s="28"/>
      <c r="Z58" s="9"/>
      <c r="AA58" s="24">
        <v>0</v>
      </c>
      <c r="AB58" s="28">
        <v>0</v>
      </c>
      <c r="AE58" s="145">
        <v>41320</v>
      </c>
    </row>
    <row r="59" spans="1:35" ht="14.25" customHeight="1" x14ac:dyDescent="0.4">
      <c r="A59">
        <v>51</v>
      </c>
      <c r="B59" s="22">
        <v>0</v>
      </c>
      <c r="C59" s="22" t="s">
        <v>2165</v>
      </c>
      <c r="D59" s="22">
        <v>0</v>
      </c>
      <c r="E59" s="24">
        <v>0</v>
      </c>
      <c r="F59" s="24">
        <v>0</v>
      </c>
      <c r="G59" s="24">
        <v>0</v>
      </c>
      <c r="H59" s="37">
        <v>402</v>
      </c>
      <c r="I59" s="23">
        <v>41306</v>
      </c>
      <c r="J59" s="37">
        <v>7</v>
      </c>
      <c r="K59" s="24" t="s">
        <v>1367</v>
      </c>
      <c r="L59" s="24">
        <v>41306</v>
      </c>
      <c r="M59" s="24">
        <v>41061</v>
      </c>
      <c r="N59" s="22" t="s">
        <v>585</v>
      </c>
      <c r="O59">
        <v>9130075</v>
      </c>
      <c r="P59" s="22">
        <v>1025</v>
      </c>
      <c r="Q59" s="22">
        <v>42</v>
      </c>
      <c r="R59" s="22" t="s">
        <v>2227</v>
      </c>
      <c r="S59" s="4"/>
      <c r="T59" s="4"/>
      <c r="U59" s="44"/>
      <c r="V59" s="4"/>
      <c r="W59" s="9"/>
      <c r="X59" s="74"/>
      <c r="Y59" s="28"/>
      <c r="Z59" s="9"/>
      <c r="AA59" s="24">
        <v>0</v>
      </c>
      <c r="AB59" s="28">
        <v>0</v>
      </c>
      <c r="AE59" s="145">
        <v>41349</v>
      </c>
      <c r="AI59" s="1">
        <v>28</v>
      </c>
    </row>
    <row r="60" spans="1:35" ht="14.25" customHeight="1" x14ac:dyDescent="0.4">
      <c r="A60">
        <v>52</v>
      </c>
      <c r="B60" s="22">
        <v>0</v>
      </c>
      <c r="C60" s="22">
        <v>0</v>
      </c>
      <c r="D60" s="22">
        <v>0</v>
      </c>
      <c r="E60" s="24">
        <v>0</v>
      </c>
      <c r="F60" s="24">
        <v>0</v>
      </c>
      <c r="G60" s="24">
        <v>0</v>
      </c>
      <c r="H60" s="37">
        <v>403</v>
      </c>
      <c r="I60" s="23">
        <v>41306</v>
      </c>
      <c r="J60" s="37">
        <v>8</v>
      </c>
      <c r="K60" s="24" t="s">
        <v>1367</v>
      </c>
      <c r="L60" s="24">
        <v>41306</v>
      </c>
      <c r="M60" s="24">
        <v>41061</v>
      </c>
      <c r="N60" s="22" t="s">
        <v>585</v>
      </c>
      <c r="O60">
        <v>9130076</v>
      </c>
      <c r="P60" s="22">
        <v>1025</v>
      </c>
      <c r="Q60" s="22">
        <v>42</v>
      </c>
      <c r="R60" s="22" t="s">
        <v>2228</v>
      </c>
      <c r="S60" s="4"/>
      <c r="T60" s="4"/>
      <c r="U60" s="44"/>
      <c r="V60" s="4"/>
      <c r="W60" s="9"/>
      <c r="X60" s="74"/>
      <c r="Y60" s="28"/>
      <c r="Z60" s="9"/>
      <c r="AA60" s="24">
        <v>0</v>
      </c>
      <c r="AB60" s="28">
        <v>0</v>
      </c>
      <c r="AE60" s="145">
        <v>41349</v>
      </c>
      <c r="AI60" s="1">
        <v>15</v>
      </c>
    </row>
    <row r="61" spans="1:35" ht="14.25" customHeight="1" x14ac:dyDescent="0.4">
      <c r="A61">
        <v>53</v>
      </c>
      <c r="B61" s="22">
        <v>0</v>
      </c>
      <c r="C61" s="22" t="s">
        <v>2102</v>
      </c>
      <c r="D61" s="22" t="s">
        <v>23</v>
      </c>
      <c r="E61" s="24">
        <v>0</v>
      </c>
      <c r="F61" s="24">
        <v>0</v>
      </c>
      <c r="G61" s="24">
        <v>0</v>
      </c>
      <c r="H61" s="37">
        <v>404</v>
      </c>
      <c r="I61" s="23">
        <v>41306</v>
      </c>
      <c r="J61" s="37">
        <v>9</v>
      </c>
      <c r="K61" s="24" t="s">
        <v>1367</v>
      </c>
      <c r="L61" s="24">
        <v>41306</v>
      </c>
      <c r="M61" s="24">
        <v>41061</v>
      </c>
      <c r="N61" s="22" t="s">
        <v>585</v>
      </c>
      <c r="O61">
        <v>9130077</v>
      </c>
      <c r="P61" s="22">
        <v>1025</v>
      </c>
      <c r="Q61" s="22">
        <v>42</v>
      </c>
      <c r="R61" s="22" t="s">
        <v>2229</v>
      </c>
      <c r="S61" s="4"/>
      <c r="T61" s="4"/>
      <c r="U61" s="44"/>
      <c r="V61" s="4"/>
      <c r="W61" s="9"/>
      <c r="X61" s="74"/>
      <c r="Y61" s="28"/>
      <c r="Z61" s="28"/>
      <c r="AA61" s="24">
        <v>0</v>
      </c>
      <c r="AB61" s="28">
        <v>0</v>
      </c>
      <c r="AC61" s="28"/>
      <c r="AE61" s="145">
        <v>41349</v>
      </c>
    </row>
    <row r="62" spans="1:35" ht="14.25" customHeight="1" x14ac:dyDescent="0.4">
      <c r="A62">
        <v>54</v>
      </c>
      <c r="B62" s="22">
        <v>0</v>
      </c>
      <c r="C62" s="22" t="s">
        <v>2165</v>
      </c>
      <c r="D62" s="22">
        <v>0</v>
      </c>
      <c r="E62" s="24">
        <v>0</v>
      </c>
      <c r="F62" s="24">
        <v>0</v>
      </c>
      <c r="G62" s="24">
        <v>0</v>
      </c>
      <c r="H62" s="37">
        <v>405</v>
      </c>
      <c r="I62" s="23">
        <v>41306</v>
      </c>
      <c r="J62" s="37">
        <v>10</v>
      </c>
      <c r="K62" s="24" t="s">
        <v>1367</v>
      </c>
      <c r="L62" s="24">
        <v>41306</v>
      </c>
      <c r="M62" s="24">
        <v>41061</v>
      </c>
      <c r="N62" s="22" t="s">
        <v>585</v>
      </c>
      <c r="O62">
        <v>9130078</v>
      </c>
      <c r="P62" s="22">
        <v>1025</v>
      </c>
      <c r="Q62" s="22">
        <v>42</v>
      </c>
      <c r="R62" s="22" t="s">
        <v>2230</v>
      </c>
      <c r="S62" s="4"/>
      <c r="T62" s="4"/>
      <c r="U62" s="44"/>
      <c r="V62" s="4"/>
      <c r="W62" s="57"/>
      <c r="X62" s="74"/>
      <c r="Y62" s="28"/>
      <c r="Z62" s="28"/>
      <c r="AA62" s="24">
        <v>0</v>
      </c>
      <c r="AB62" s="28">
        <v>0</v>
      </c>
      <c r="AC62" s="28"/>
      <c r="AE62" s="145">
        <v>41349</v>
      </c>
    </row>
    <row r="63" spans="1:35" ht="14.25" customHeight="1" x14ac:dyDescent="0.4">
      <c r="A63">
        <v>55</v>
      </c>
      <c r="B63" s="22">
        <v>0</v>
      </c>
      <c r="C63" s="22" t="s">
        <v>2165</v>
      </c>
      <c r="D63" s="22">
        <v>0</v>
      </c>
      <c r="E63" s="24">
        <v>0</v>
      </c>
      <c r="F63" s="24">
        <v>0</v>
      </c>
      <c r="G63" s="24">
        <v>0</v>
      </c>
      <c r="H63" s="37">
        <v>406</v>
      </c>
      <c r="I63" s="23">
        <v>41306</v>
      </c>
      <c r="J63" s="37">
        <v>11</v>
      </c>
      <c r="K63" s="24" t="s">
        <v>1367</v>
      </c>
      <c r="L63" s="24">
        <v>41306</v>
      </c>
      <c r="M63" s="24">
        <v>41061</v>
      </c>
      <c r="N63" s="22" t="s">
        <v>585</v>
      </c>
      <c r="O63">
        <v>9130079</v>
      </c>
      <c r="P63" s="22">
        <v>1025</v>
      </c>
      <c r="Q63" s="22">
        <v>42</v>
      </c>
      <c r="R63" s="22" t="s">
        <v>2231</v>
      </c>
      <c r="S63" s="4"/>
      <c r="T63" s="4" t="s">
        <v>404</v>
      </c>
      <c r="U63" s="44">
        <v>41172</v>
      </c>
      <c r="V63" s="4"/>
      <c r="W63" s="57"/>
      <c r="X63" s="74"/>
      <c r="Y63" s="28"/>
      <c r="Z63" s="28"/>
      <c r="AA63" s="24">
        <v>0</v>
      </c>
      <c r="AB63" s="28">
        <v>0</v>
      </c>
      <c r="AC63" s="28"/>
      <c r="AE63" s="145">
        <v>41349</v>
      </c>
    </row>
    <row r="64" spans="1:35" ht="14.25" customHeight="1" x14ac:dyDescent="0.4">
      <c r="A64">
        <v>56</v>
      </c>
      <c r="B64" s="22">
        <v>0</v>
      </c>
      <c r="C64" s="22" t="s">
        <v>2165</v>
      </c>
      <c r="D64" s="22">
        <v>0</v>
      </c>
      <c r="E64" s="24">
        <v>0</v>
      </c>
      <c r="F64" s="24">
        <v>0</v>
      </c>
      <c r="G64" s="24">
        <v>0</v>
      </c>
      <c r="H64" s="37">
        <v>407</v>
      </c>
      <c r="I64" s="23">
        <v>41306</v>
      </c>
      <c r="J64" s="37">
        <v>12</v>
      </c>
      <c r="K64" s="24" t="s">
        <v>1367</v>
      </c>
      <c r="L64" s="24">
        <v>41306</v>
      </c>
      <c r="M64" s="24">
        <v>41061</v>
      </c>
      <c r="N64" s="22" t="s">
        <v>585</v>
      </c>
      <c r="O64">
        <v>9130081</v>
      </c>
      <c r="P64" s="22">
        <v>1025</v>
      </c>
      <c r="Q64" s="22">
        <v>42</v>
      </c>
      <c r="R64" s="22" t="s">
        <v>2232</v>
      </c>
      <c r="S64" s="4"/>
      <c r="T64" s="4"/>
      <c r="U64" s="44"/>
      <c r="V64" s="4"/>
      <c r="W64" s="57"/>
      <c r="X64" s="74"/>
      <c r="Y64" s="28"/>
      <c r="Z64" s="28"/>
      <c r="AA64" s="24">
        <v>0</v>
      </c>
      <c r="AB64" s="28">
        <v>0</v>
      </c>
      <c r="AE64" s="145">
        <v>41349</v>
      </c>
    </row>
    <row r="65" spans="1:31" ht="14.25" customHeight="1" x14ac:dyDescent="0.4">
      <c r="A65">
        <v>57</v>
      </c>
      <c r="B65" s="24">
        <v>0</v>
      </c>
      <c r="C65" s="24">
        <v>0</v>
      </c>
      <c r="D65" s="24">
        <v>0</v>
      </c>
      <c r="E65" s="24">
        <v>0</v>
      </c>
      <c r="F65" s="24">
        <v>0</v>
      </c>
      <c r="G65" s="24">
        <v>0</v>
      </c>
      <c r="H65" s="37">
        <v>435</v>
      </c>
      <c r="I65" s="23">
        <v>41306</v>
      </c>
      <c r="J65" s="37">
        <v>40</v>
      </c>
      <c r="K65" s="24" t="s">
        <v>1367</v>
      </c>
      <c r="L65" s="24">
        <v>41306</v>
      </c>
      <c r="M65" s="24">
        <v>41061</v>
      </c>
      <c r="N65" s="22" t="s">
        <v>585</v>
      </c>
      <c r="O65">
        <v>9130083</v>
      </c>
      <c r="P65" s="22">
        <v>720</v>
      </c>
      <c r="Q65" s="22">
        <v>42</v>
      </c>
      <c r="R65" s="22" t="s">
        <v>2233</v>
      </c>
      <c r="S65" s="47"/>
      <c r="T65" s="4"/>
      <c r="U65" s="165"/>
      <c r="V65" s="4"/>
      <c r="W65" s="43"/>
      <c r="X65" s="74"/>
      <c r="Y65" s="28"/>
      <c r="Z65" s="28"/>
      <c r="AA65" s="24">
        <v>0</v>
      </c>
      <c r="AB65" s="28">
        <v>0</v>
      </c>
      <c r="AC65" s="1" t="s">
        <v>894</v>
      </c>
      <c r="AE65" s="145">
        <v>41349</v>
      </c>
    </row>
    <row r="66" spans="1:31" ht="14.25" customHeight="1" x14ac:dyDescent="0.4">
      <c r="A66">
        <v>58</v>
      </c>
      <c r="B66" s="24">
        <v>0</v>
      </c>
      <c r="C66" s="24">
        <v>0</v>
      </c>
      <c r="D66" s="24">
        <v>0</v>
      </c>
      <c r="E66" s="24">
        <v>0</v>
      </c>
      <c r="F66" s="24">
        <v>0</v>
      </c>
      <c r="G66" s="24">
        <v>0</v>
      </c>
      <c r="H66" s="37">
        <v>436</v>
      </c>
      <c r="I66" s="23">
        <v>41306</v>
      </c>
      <c r="J66" s="37">
        <v>41</v>
      </c>
      <c r="K66" s="24" t="s">
        <v>1367</v>
      </c>
      <c r="L66" s="24">
        <v>41306</v>
      </c>
      <c r="M66" s="24">
        <v>41061</v>
      </c>
      <c r="N66" s="22" t="s">
        <v>585</v>
      </c>
      <c r="O66">
        <v>9130084</v>
      </c>
      <c r="P66" s="22">
        <v>720</v>
      </c>
      <c r="Q66" s="22">
        <v>42</v>
      </c>
      <c r="R66" s="22" t="s">
        <v>2234</v>
      </c>
      <c r="S66" s="4"/>
      <c r="T66" s="4"/>
      <c r="U66" s="44"/>
      <c r="V66" s="4"/>
      <c r="W66" s="144"/>
      <c r="X66" s="74">
        <v>0</v>
      </c>
      <c r="Y66" s="28"/>
      <c r="Z66" s="9"/>
      <c r="AA66" s="24">
        <v>0</v>
      </c>
      <c r="AB66" s="28">
        <v>0</v>
      </c>
      <c r="AC66" s="1" t="s">
        <v>894</v>
      </c>
      <c r="AE66" s="145">
        <v>41349</v>
      </c>
    </row>
    <row r="67" spans="1:31" ht="14.25" customHeight="1" x14ac:dyDescent="0.4">
      <c r="A67">
        <v>59</v>
      </c>
      <c r="B67" s="24">
        <v>0</v>
      </c>
      <c r="C67" s="24">
        <v>0</v>
      </c>
      <c r="D67" s="24">
        <v>0</v>
      </c>
      <c r="E67" s="24">
        <v>0</v>
      </c>
      <c r="F67" s="24">
        <v>0</v>
      </c>
      <c r="G67" s="24">
        <v>0</v>
      </c>
      <c r="H67" s="37">
        <v>471</v>
      </c>
      <c r="I67" s="23">
        <v>41334</v>
      </c>
      <c r="J67" s="37">
        <v>17</v>
      </c>
      <c r="K67" s="24" t="s">
        <v>1367</v>
      </c>
      <c r="L67" s="24">
        <v>41334</v>
      </c>
      <c r="M67" s="24">
        <v>41061</v>
      </c>
      <c r="N67" s="22" t="s">
        <v>585</v>
      </c>
      <c r="O67">
        <v>9130085</v>
      </c>
      <c r="P67" s="22">
        <v>1025</v>
      </c>
      <c r="Q67" s="22">
        <v>42</v>
      </c>
      <c r="R67" s="22" t="s">
        <v>2235</v>
      </c>
      <c r="S67" s="4"/>
      <c r="T67" s="4" t="s">
        <v>404</v>
      </c>
      <c r="U67" s="44">
        <v>41159</v>
      </c>
      <c r="V67" s="4"/>
      <c r="W67" s="9"/>
      <c r="X67" s="74">
        <v>0</v>
      </c>
      <c r="Y67" s="28"/>
      <c r="Z67" s="9"/>
      <c r="AA67" s="24">
        <v>0</v>
      </c>
      <c r="AB67" s="28">
        <v>0</v>
      </c>
      <c r="AE67" s="145">
        <v>41379</v>
      </c>
    </row>
    <row r="68" spans="1:31" ht="14.25" customHeight="1" x14ac:dyDescent="0.4">
      <c r="A68">
        <v>60</v>
      </c>
      <c r="B68" s="24">
        <v>0</v>
      </c>
      <c r="C68" s="24">
        <v>0</v>
      </c>
      <c r="D68" s="24">
        <v>0</v>
      </c>
      <c r="E68" s="24">
        <v>0</v>
      </c>
      <c r="F68" s="24">
        <v>0</v>
      </c>
      <c r="G68" s="24">
        <v>0</v>
      </c>
      <c r="H68" s="37">
        <v>472</v>
      </c>
      <c r="I68" s="23">
        <v>41334</v>
      </c>
      <c r="J68" s="37">
        <v>18</v>
      </c>
      <c r="K68" s="24" t="s">
        <v>1367</v>
      </c>
      <c r="L68" s="24">
        <v>41334</v>
      </c>
      <c r="M68" s="24">
        <v>41061</v>
      </c>
      <c r="N68" s="22" t="s">
        <v>585</v>
      </c>
      <c r="O68">
        <v>9130090</v>
      </c>
      <c r="P68" s="22">
        <v>1025</v>
      </c>
      <c r="Q68" s="22">
        <v>42</v>
      </c>
      <c r="R68" s="22" t="s">
        <v>2236</v>
      </c>
      <c r="S68" s="4"/>
      <c r="T68" s="4" t="s">
        <v>404</v>
      </c>
      <c r="U68" s="44">
        <v>41159</v>
      </c>
      <c r="V68" s="4"/>
      <c r="W68" s="28"/>
      <c r="X68" s="74">
        <v>0</v>
      </c>
      <c r="Y68" s="28"/>
      <c r="Z68" s="9"/>
      <c r="AA68" s="24">
        <v>0</v>
      </c>
      <c r="AB68" s="28">
        <v>0</v>
      </c>
      <c r="AE68" s="145">
        <v>41379</v>
      </c>
    </row>
    <row r="69" spans="1:31" ht="14.25" customHeight="1" x14ac:dyDescent="0.4">
      <c r="A69">
        <v>61</v>
      </c>
      <c r="B69" s="24">
        <v>0</v>
      </c>
      <c r="C69" s="24">
        <v>0</v>
      </c>
      <c r="D69" s="24">
        <v>0</v>
      </c>
      <c r="E69" s="24">
        <v>0</v>
      </c>
      <c r="F69" s="24">
        <v>0</v>
      </c>
      <c r="G69" s="24">
        <v>0</v>
      </c>
      <c r="H69" s="37">
        <v>493</v>
      </c>
      <c r="I69" s="23">
        <v>41334</v>
      </c>
      <c r="J69" s="37">
        <v>39</v>
      </c>
      <c r="K69" s="24" t="s">
        <v>1367</v>
      </c>
      <c r="L69" s="24">
        <v>41334</v>
      </c>
      <c r="M69" s="24">
        <v>41061</v>
      </c>
      <c r="N69" s="22" t="s">
        <v>585</v>
      </c>
      <c r="O69">
        <v>9130091</v>
      </c>
      <c r="P69" s="22">
        <v>720</v>
      </c>
      <c r="Q69" s="22">
        <v>42</v>
      </c>
      <c r="R69" s="22" t="s">
        <v>2237</v>
      </c>
      <c r="S69" s="4"/>
      <c r="T69" s="4"/>
      <c r="U69" s="44"/>
      <c r="V69" s="4"/>
      <c r="W69" s="9"/>
      <c r="X69" s="74">
        <v>0</v>
      </c>
      <c r="Y69" s="28"/>
      <c r="Z69" s="9"/>
      <c r="AA69" s="24">
        <v>0</v>
      </c>
      <c r="AB69" s="28">
        <v>0</v>
      </c>
      <c r="AC69" s="1" t="s">
        <v>894</v>
      </c>
      <c r="AE69" s="145">
        <v>41379</v>
      </c>
    </row>
    <row r="70" spans="1:31" ht="14.25" customHeight="1" x14ac:dyDescent="0.4">
      <c r="A70">
        <v>62</v>
      </c>
      <c r="B70" s="24">
        <v>0</v>
      </c>
      <c r="C70" s="24">
        <v>0</v>
      </c>
      <c r="D70" s="24">
        <v>0</v>
      </c>
      <c r="E70" s="24">
        <v>0</v>
      </c>
      <c r="F70" s="24">
        <v>0</v>
      </c>
      <c r="G70" s="24">
        <v>0</v>
      </c>
      <c r="H70" s="37">
        <v>494</v>
      </c>
      <c r="I70" s="23">
        <v>41334</v>
      </c>
      <c r="J70" s="37">
        <v>40</v>
      </c>
      <c r="K70" s="24" t="s">
        <v>1367</v>
      </c>
      <c r="L70" s="24">
        <v>41334</v>
      </c>
      <c r="M70" s="24">
        <v>41061</v>
      </c>
      <c r="N70" s="22" t="s">
        <v>585</v>
      </c>
      <c r="O70">
        <v>9130092</v>
      </c>
      <c r="P70" s="22">
        <v>720</v>
      </c>
      <c r="Q70" s="22">
        <v>42</v>
      </c>
      <c r="R70" s="22" t="s">
        <v>2238</v>
      </c>
      <c r="S70" s="4"/>
      <c r="T70" s="4"/>
      <c r="U70" s="44"/>
      <c r="V70" s="4"/>
      <c r="W70" s="28"/>
      <c r="X70" s="74">
        <v>0</v>
      </c>
      <c r="Y70" s="28"/>
      <c r="Z70" s="9"/>
      <c r="AA70" s="24">
        <v>0</v>
      </c>
      <c r="AB70" s="28">
        <v>0</v>
      </c>
      <c r="AE70" s="145">
        <v>41379</v>
      </c>
    </row>
    <row r="71" spans="1:31" ht="14.25" customHeight="1" x14ac:dyDescent="0.4">
      <c r="A71">
        <v>63</v>
      </c>
      <c r="B71" s="24">
        <v>0</v>
      </c>
      <c r="C71" s="24">
        <v>0</v>
      </c>
      <c r="D71" s="24">
        <v>0</v>
      </c>
      <c r="E71" s="24">
        <v>0</v>
      </c>
      <c r="F71" s="24">
        <v>0</v>
      </c>
      <c r="G71" s="24">
        <v>0</v>
      </c>
      <c r="H71" s="37">
        <v>473</v>
      </c>
      <c r="I71" s="23">
        <v>41334</v>
      </c>
      <c r="J71" s="37">
        <v>19</v>
      </c>
      <c r="K71" s="24" t="s">
        <v>1367</v>
      </c>
      <c r="L71" s="24">
        <v>41334</v>
      </c>
      <c r="M71" s="24">
        <v>41061</v>
      </c>
      <c r="N71" s="22" t="s">
        <v>585</v>
      </c>
      <c r="O71">
        <v>9130094</v>
      </c>
      <c r="P71" s="22">
        <v>1025</v>
      </c>
      <c r="Q71" s="22">
        <v>42</v>
      </c>
      <c r="R71" s="22" t="s">
        <v>2239</v>
      </c>
      <c r="S71" s="4"/>
      <c r="T71" s="4" t="s">
        <v>404</v>
      </c>
      <c r="U71" s="44">
        <v>41156</v>
      </c>
      <c r="V71" s="4"/>
      <c r="W71" s="9"/>
      <c r="X71" s="74">
        <v>0</v>
      </c>
      <c r="Y71" s="28"/>
      <c r="Z71" s="9"/>
      <c r="AA71" s="24">
        <v>0</v>
      </c>
      <c r="AB71" s="28">
        <v>0</v>
      </c>
      <c r="AE71" s="145">
        <v>41379</v>
      </c>
    </row>
    <row r="72" spans="1:31" ht="14.25" customHeight="1" x14ac:dyDescent="0.4">
      <c r="A72">
        <v>64</v>
      </c>
      <c r="B72" s="22">
        <v>0</v>
      </c>
      <c r="C72" s="22" t="s">
        <v>2102</v>
      </c>
      <c r="D72" s="22">
        <v>0</v>
      </c>
      <c r="E72" s="24">
        <v>0</v>
      </c>
      <c r="F72" s="24">
        <v>0</v>
      </c>
      <c r="G72" s="24">
        <v>0</v>
      </c>
      <c r="H72" s="37">
        <v>474</v>
      </c>
      <c r="I72" s="23">
        <v>41334</v>
      </c>
      <c r="J72" s="37">
        <v>20</v>
      </c>
      <c r="K72" s="24" t="s">
        <v>1367</v>
      </c>
      <c r="L72" s="24">
        <v>41334</v>
      </c>
      <c r="M72" s="24">
        <v>41061</v>
      </c>
      <c r="N72" s="22" t="s">
        <v>585</v>
      </c>
      <c r="O72">
        <v>9130095</v>
      </c>
      <c r="P72" s="22">
        <v>1025</v>
      </c>
      <c r="Q72" s="22">
        <v>50</v>
      </c>
      <c r="R72" s="22" t="s">
        <v>2240</v>
      </c>
      <c r="S72" s="76"/>
      <c r="T72" s="4"/>
      <c r="U72" s="42"/>
      <c r="V72" s="4"/>
      <c r="W72" s="9"/>
      <c r="X72" s="74"/>
      <c r="Y72" s="28"/>
      <c r="Z72" s="9"/>
      <c r="AA72" s="24">
        <v>0</v>
      </c>
      <c r="AB72" s="28">
        <v>0</v>
      </c>
      <c r="AE72" s="145">
        <v>41379</v>
      </c>
    </row>
    <row r="73" spans="1:31" ht="14.25" customHeight="1" x14ac:dyDescent="0.4">
      <c r="A73">
        <v>65</v>
      </c>
      <c r="B73" s="24">
        <v>0</v>
      </c>
      <c r="C73" s="24">
        <v>0</v>
      </c>
      <c r="D73" s="24">
        <v>0</v>
      </c>
      <c r="E73" s="24">
        <v>0</v>
      </c>
      <c r="F73" s="24">
        <v>0</v>
      </c>
      <c r="G73" s="24">
        <v>0</v>
      </c>
      <c r="H73" s="37">
        <v>475</v>
      </c>
      <c r="I73" s="23">
        <v>41334</v>
      </c>
      <c r="J73" s="37">
        <v>21</v>
      </c>
      <c r="K73" s="24" t="s">
        <v>1367</v>
      </c>
      <c r="L73" s="24">
        <v>41334</v>
      </c>
      <c r="M73" s="24">
        <v>41061</v>
      </c>
      <c r="N73" s="22" t="s">
        <v>585</v>
      </c>
      <c r="O73">
        <v>9130096</v>
      </c>
      <c r="P73" s="22">
        <v>1025</v>
      </c>
      <c r="Q73" s="22">
        <v>50</v>
      </c>
      <c r="R73" s="22" t="s">
        <v>2241</v>
      </c>
      <c r="S73" s="4"/>
      <c r="T73" s="4"/>
      <c r="U73" s="44"/>
      <c r="V73" s="4"/>
      <c r="W73" s="28"/>
      <c r="X73" s="74">
        <v>0</v>
      </c>
      <c r="Y73" s="28"/>
      <c r="Z73" s="9"/>
      <c r="AA73" s="24">
        <v>0</v>
      </c>
      <c r="AB73" s="28">
        <v>0</v>
      </c>
      <c r="AC73" s="1" t="s">
        <v>628</v>
      </c>
      <c r="AE73" s="145">
        <v>41379</v>
      </c>
    </row>
    <row r="74" spans="1:31" ht="14.25" customHeight="1" x14ac:dyDescent="0.4">
      <c r="A74">
        <v>529</v>
      </c>
      <c r="B74" s="22">
        <v>0</v>
      </c>
      <c r="C74" s="22">
        <v>0</v>
      </c>
      <c r="D74" s="22">
        <v>0</v>
      </c>
      <c r="E74" s="24">
        <v>0</v>
      </c>
      <c r="F74" s="24">
        <v>0</v>
      </c>
      <c r="G74" s="24">
        <v>0</v>
      </c>
      <c r="H74" s="37">
        <v>206</v>
      </c>
      <c r="I74" s="23">
        <v>41183</v>
      </c>
      <c r="J74" s="37">
        <v>54</v>
      </c>
      <c r="K74" s="24" t="s">
        <v>1367</v>
      </c>
      <c r="L74" s="24">
        <v>41183</v>
      </c>
      <c r="M74" s="24">
        <v>41178</v>
      </c>
      <c r="N74" s="22" t="s">
        <v>585</v>
      </c>
      <c r="O74">
        <v>9130884</v>
      </c>
      <c r="P74" s="22">
        <v>1220</v>
      </c>
      <c r="Q74" s="22">
        <v>50</v>
      </c>
      <c r="R74" s="22" t="s">
        <v>2242</v>
      </c>
      <c r="S74" s="4"/>
      <c r="T74" s="4"/>
      <c r="U74" s="42"/>
      <c r="V74" s="4"/>
      <c r="W74" s="28"/>
      <c r="X74" s="74"/>
      <c r="Y74" s="28"/>
      <c r="Z74" s="28"/>
      <c r="AA74" s="24">
        <v>0</v>
      </c>
      <c r="AB74" s="28">
        <v>0</v>
      </c>
      <c r="AC74" s="1" t="s">
        <v>628</v>
      </c>
      <c r="AE74" s="145">
        <v>41228</v>
      </c>
    </row>
    <row r="75" spans="1:31" ht="14.25" customHeight="1" x14ac:dyDescent="0.4">
      <c r="A75">
        <v>530</v>
      </c>
      <c r="B75" s="22">
        <v>0</v>
      </c>
      <c r="C75" s="22">
        <v>0</v>
      </c>
      <c r="D75" s="22">
        <v>0</v>
      </c>
      <c r="E75" s="24">
        <v>0</v>
      </c>
      <c r="F75" s="24">
        <v>0</v>
      </c>
      <c r="G75" s="24">
        <v>0</v>
      </c>
      <c r="H75" s="37">
        <v>207</v>
      </c>
      <c r="I75" s="23">
        <v>41183</v>
      </c>
      <c r="J75" s="37">
        <v>55</v>
      </c>
      <c r="K75" s="24" t="s">
        <v>1367</v>
      </c>
      <c r="L75" s="24">
        <v>41183</v>
      </c>
      <c r="M75" s="24">
        <v>41178</v>
      </c>
      <c r="N75" s="22" t="s">
        <v>585</v>
      </c>
      <c r="O75">
        <v>9130885</v>
      </c>
      <c r="P75" s="22">
        <v>1220</v>
      </c>
      <c r="Q75" s="22">
        <v>50</v>
      </c>
      <c r="R75" s="22" t="s">
        <v>2243</v>
      </c>
      <c r="S75" s="4"/>
      <c r="T75" s="4"/>
      <c r="U75" s="44"/>
      <c r="V75" s="4"/>
      <c r="W75" s="28"/>
      <c r="X75" s="74"/>
      <c r="Y75" s="28"/>
      <c r="Z75" s="30"/>
      <c r="AA75" s="24">
        <v>0</v>
      </c>
      <c r="AB75" s="28">
        <v>0</v>
      </c>
      <c r="AC75" s="1" t="s">
        <v>628</v>
      </c>
      <c r="AE75" s="145">
        <v>41228</v>
      </c>
    </row>
    <row r="76" spans="1:31" ht="14.25" customHeight="1" x14ac:dyDescent="0.4">
      <c r="A76">
        <v>531</v>
      </c>
      <c r="B76" s="22">
        <v>0</v>
      </c>
      <c r="C76" s="22" t="s">
        <v>2165</v>
      </c>
      <c r="D76" s="22">
        <v>0</v>
      </c>
      <c r="E76" s="24">
        <v>0</v>
      </c>
      <c r="F76" s="24">
        <v>0</v>
      </c>
      <c r="G76" s="24">
        <v>0</v>
      </c>
      <c r="H76" s="37">
        <v>208</v>
      </c>
      <c r="I76" s="23">
        <v>41183</v>
      </c>
      <c r="J76" s="37">
        <v>56</v>
      </c>
      <c r="K76" s="24" t="s">
        <v>1367</v>
      </c>
      <c r="L76" s="24">
        <v>41183</v>
      </c>
      <c r="M76" s="24">
        <v>41178</v>
      </c>
      <c r="N76" s="22" t="s">
        <v>585</v>
      </c>
      <c r="O76">
        <v>9130888</v>
      </c>
      <c r="P76" s="22">
        <v>1220</v>
      </c>
      <c r="Q76" s="22">
        <v>50</v>
      </c>
      <c r="R76" s="22" t="s">
        <v>2244</v>
      </c>
      <c r="S76" s="4"/>
      <c r="T76" s="4"/>
      <c r="U76" s="44"/>
      <c r="V76" s="4"/>
      <c r="W76" s="28"/>
      <c r="X76" s="74"/>
      <c r="Y76" s="28"/>
      <c r="Z76" s="28"/>
      <c r="AA76" s="24">
        <v>0</v>
      </c>
      <c r="AB76" s="28">
        <v>0</v>
      </c>
      <c r="AE76" s="145">
        <v>41228</v>
      </c>
    </row>
    <row r="77" spans="1:31" ht="14.25" customHeight="1" x14ac:dyDescent="0.4">
      <c r="A77">
        <v>532</v>
      </c>
      <c r="B77" s="22">
        <v>0</v>
      </c>
      <c r="C77" s="22" t="s">
        <v>2165</v>
      </c>
      <c r="D77" s="22">
        <v>0</v>
      </c>
      <c r="E77" s="24">
        <v>0</v>
      </c>
      <c r="F77" s="24">
        <v>0</v>
      </c>
      <c r="G77" s="24">
        <v>0</v>
      </c>
      <c r="H77" s="37">
        <v>209</v>
      </c>
      <c r="I77" s="23">
        <v>41183</v>
      </c>
      <c r="J77" s="37">
        <v>57</v>
      </c>
      <c r="K77" s="24" t="s">
        <v>1367</v>
      </c>
      <c r="L77" s="24">
        <v>41183</v>
      </c>
      <c r="M77" s="24">
        <v>41178</v>
      </c>
      <c r="N77" s="22" t="s">
        <v>585</v>
      </c>
      <c r="O77">
        <v>9130889</v>
      </c>
      <c r="P77" s="22">
        <v>1220</v>
      </c>
      <c r="Q77" s="22">
        <v>50</v>
      </c>
      <c r="R77" s="22" t="s">
        <v>2245</v>
      </c>
      <c r="S77" s="4"/>
      <c r="T77" s="4"/>
      <c r="U77" s="44"/>
      <c r="V77" s="4"/>
      <c r="W77" s="28"/>
      <c r="X77" s="74"/>
      <c r="Y77" s="28"/>
      <c r="Z77" s="28"/>
      <c r="AA77" s="24">
        <v>0</v>
      </c>
      <c r="AB77" s="28">
        <v>0</v>
      </c>
      <c r="AE77" s="145">
        <v>41228</v>
      </c>
    </row>
    <row r="78" spans="1:31" ht="14.25" customHeight="1" x14ac:dyDescent="0.4">
      <c r="A78">
        <v>533</v>
      </c>
      <c r="B78" s="24">
        <v>0</v>
      </c>
      <c r="C78" s="24">
        <v>0</v>
      </c>
      <c r="D78" s="24">
        <v>0</v>
      </c>
      <c r="E78" s="24">
        <v>0</v>
      </c>
      <c r="F78" s="24">
        <v>0</v>
      </c>
      <c r="G78" s="24">
        <v>0</v>
      </c>
      <c r="H78" s="37">
        <v>210</v>
      </c>
      <c r="I78" s="23">
        <v>41183</v>
      </c>
      <c r="J78" s="37">
        <v>58</v>
      </c>
      <c r="K78" s="24" t="s">
        <v>1367</v>
      </c>
      <c r="L78" s="24">
        <v>41183</v>
      </c>
      <c r="M78" s="24">
        <v>41178</v>
      </c>
      <c r="N78" s="22" t="s">
        <v>585</v>
      </c>
      <c r="O78">
        <v>9130891</v>
      </c>
      <c r="P78" s="22">
        <v>1220</v>
      </c>
      <c r="Q78" s="22">
        <v>50</v>
      </c>
      <c r="R78" s="22" t="s">
        <v>2246</v>
      </c>
      <c r="S78" s="4"/>
      <c r="T78" s="4"/>
      <c r="U78" s="44"/>
      <c r="V78" s="4"/>
      <c r="W78" s="28"/>
      <c r="X78" s="74">
        <v>0</v>
      </c>
      <c r="Y78" s="28"/>
      <c r="Z78" s="9"/>
      <c r="AA78" s="24">
        <v>0</v>
      </c>
      <c r="AB78" s="28">
        <v>0</v>
      </c>
      <c r="AE78" s="145">
        <v>41228</v>
      </c>
    </row>
    <row r="79" spans="1:31" ht="14.25" customHeight="1" x14ac:dyDescent="0.4">
      <c r="A79">
        <v>534</v>
      </c>
      <c r="B79" s="24">
        <v>0</v>
      </c>
      <c r="C79" s="24">
        <v>0</v>
      </c>
      <c r="D79" s="24">
        <v>0</v>
      </c>
      <c r="E79" s="24">
        <v>0</v>
      </c>
      <c r="F79" s="24">
        <v>0</v>
      </c>
      <c r="G79" s="24">
        <v>0</v>
      </c>
      <c r="H79" s="37">
        <v>211</v>
      </c>
      <c r="I79" s="23">
        <v>41183</v>
      </c>
      <c r="J79" s="37">
        <v>59</v>
      </c>
      <c r="K79" s="24" t="s">
        <v>1367</v>
      </c>
      <c r="L79" s="24">
        <v>41183</v>
      </c>
      <c r="M79" s="24">
        <v>41178</v>
      </c>
      <c r="N79" s="22" t="s">
        <v>585</v>
      </c>
      <c r="O79">
        <v>9130892</v>
      </c>
      <c r="P79" s="22">
        <v>1220</v>
      </c>
      <c r="Q79" s="22">
        <v>50</v>
      </c>
      <c r="R79" s="22" t="s">
        <v>2247</v>
      </c>
      <c r="S79" s="11"/>
      <c r="T79" s="4"/>
      <c r="U79" s="122"/>
      <c r="V79" s="4"/>
      <c r="W79" s="28"/>
      <c r="X79" s="74">
        <v>0</v>
      </c>
      <c r="Y79" s="28"/>
      <c r="Z79" s="9"/>
      <c r="AA79" s="24">
        <v>0</v>
      </c>
      <c r="AB79" s="28">
        <v>0</v>
      </c>
      <c r="AE79" s="145">
        <v>41228</v>
      </c>
    </row>
    <row r="80" spans="1:31" ht="14.25" customHeight="1" x14ac:dyDescent="0.4">
      <c r="A80">
        <v>535</v>
      </c>
      <c r="B80" s="24">
        <v>0</v>
      </c>
      <c r="C80" s="24">
        <v>0</v>
      </c>
      <c r="D80" s="24">
        <v>0</v>
      </c>
      <c r="E80" s="24">
        <v>0</v>
      </c>
      <c r="F80" s="24">
        <v>0</v>
      </c>
      <c r="G80" s="24">
        <v>0</v>
      </c>
      <c r="H80" s="37">
        <v>212</v>
      </c>
      <c r="I80" s="23">
        <v>41183</v>
      </c>
      <c r="J80" s="37">
        <v>60</v>
      </c>
      <c r="K80" s="24" t="s">
        <v>1367</v>
      </c>
      <c r="L80" s="24">
        <v>41183</v>
      </c>
      <c r="M80" s="24">
        <v>41178</v>
      </c>
      <c r="N80" s="22" t="s">
        <v>585</v>
      </c>
      <c r="O80">
        <v>9130893</v>
      </c>
      <c r="P80" s="22">
        <v>1220</v>
      </c>
      <c r="Q80" s="22">
        <v>50</v>
      </c>
      <c r="R80" s="22" t="s">
        <v>2248</v>
      </c>
      <c r="S80" s="4"/>
      <c r="T80" s="4"/>
      <c r="U80" s="44"/>
      <c r="V80" s="4"/>
      <c r="W80" s="9"/>
      <c r="X80" s="74"/>
      <c r="Y80" s="28"/>
      <c r="Z80" s="9"/>
      <c r="AA80" s="24">
        <v>0</v>
      </c>
      <c r="AB80" s="28">
        <v>0</v>
      </c>
      <c r="AC80" s="1" t="s">
        <v>1290</v>
      </c>
      <c r="AE80" s="145">
        <v>41228</v>
      </c>
    </row>
    <row r="81" spans="1:31" ht="14.25" customHeight="1" x14ac:dyDescent="0.4">
      <c r="A81">
        <v>536</v>
      </c>
      <c r="B81" s="24">
        <v>0</v>
      </c>
      <c r="C81" s="24">
        <v>0</v>
      </c>
      <c r="D81" s="24">
        <v>0</v>
      </c>
      <c r="E81" s="24">
        <v>0</v>
      </c>
      <c r="F81" s="24">
        <v>0</v>
      </c>
      <c r="G81" s="24">
        <v>0</v>
      </c>
      <c r="H81" s="37">
        <v>213</v>
      </c>
      <c r="I81" s="23">
        <v>41183</v>
      </c>
      <c r="J81" s="37">
        <v>61</v>
      </c>
      <c r="K81" s="24" t="s">
        <v>1367</v>
      </c>
      <c r="L81" s="24">
        <v>41183</v>
      </c>
      <c r="M81" s="24">
        <v>41178</v>
      </c>
      <c r="N81" s="22" t="s">
        <v>585</v>
      </c>
      <c r="O81">
        <v>9130896</v>
      </c>
      <c r="P81" s="22">
        <v>1220</v>
      </c>
      <c r="Q81" s="22">
        <v>50</v>
      </c>
      <c r="R81" s="22" t="s">
        <v>2249</v>
      </c>
      <c r="S81" s="4"/>
      <c r="T81" s="4"/>
      <c r="U81" s="42"/>
      <c r="V81" s="4"/>
      <c r="W81" s="9"/>
      <c r="X81" s="74"/>
      <c r="Y81" s="28"/>
      <c r="Z81" s="9"/>
      <c r="AA81" s="24">
        <v>0</v>
      </c>
      <c r="AB81" s="28">
        <v>0</v>
      </c>
      <c r="AC81" s="1" t="s">
        <v>1290</v>
      </c>
      <c r="AE81" s="145">
        <v>41228</v>
      </c>
    </row>
    <row r="82" spans="1:31" ht="14.25" customHeight="1" x14ac:dyDescent="0.4">
      <c r="A82">
        <v>537</v>
      </c>
      <c r="B82" s="24">
        <v>0</v>
      </c>
      <c r="C82" s="24">
        <v>0</v>
      </c>
      <c r="D82" s="24">
        <v>0</v>
      </c>
      <c r="E82" s="24">
        <v>0</v>
      </c>
      <c r="F82" s="24">
        <v>0</v>
      </c>
      <c r="G82" s="24">
        <v>0</v>
      </c>
      <c r="H82" s="37">
        <v>214</v>
      </c>
      <c r="I82" s="23">
        <v>41183</v>
      </c>
      <c r="J82" s="37">
        <v>62</v>
      </c>
      <c r="K82" s="24" t="s">
        <v>1367</v>
      </c>
      <c r="L82" s="24">
        <v>41183</v>
      </c>
      <c r="M82" s="24">
        <v>41178</v>
      </c>
      <c r="N82" s="22" t="s">
        <v>585</v>
      </c>
      <c r="O82">
        <v>9130897</v>
      </c>
      <c r="P82" s="22">
        <v>1025</v>
      </c>
      <c r="Q82" s="22">
        <v>42</v>
      </c>
      <c r="R82" s="22" t="s">
        <v>2250</v>
      </c>
      <c r="T82" s="4" t="s">
        <v>404</v>
      </c>
      <c r="U82" s="164">
        <v>41183</v>
      </c>
      <c r="V82" s="4"/>
      <c r="W82" s="62"/>
      <c r="Y82" s="28"/>
      <c r="AA82" s="24">
        <v>0</v>
      </c>
      <c r="AB82" s="28">
        <v>0</v>
      </c>
      <c r="AE82" s="145">
        <v>41228</v>
      </c>
    </row>
    <row r="83" spans="1:31" ht="14.25" customHeight="1" x14ac:dyDescent="0.4">
      <c r="A83">
        <v>538</v>
      </c>
      <c r="B83" s="24">
        <v>0</v>
      </c>
      <c r="C83" s="24">
        <v>0</v>
      </c>
      <c r="D83" s="24">
        <v>0</v>
      </c>
      <c r="E83" s="24">
        <v>0</v>
      </c>
      <c r="F83" s="24">
        <v>0</v>
      </c>
      <c r="G83" s="24">
        <v>0</v>
      </c>
      <c r="H83" s="37">
        <v>215</v>
      </c>
      <c r="I83" s="23">
        <v>41183</v>
      </c>
      <c r="J83" s="37">
        <v>63</v>
      </c>
      <c r="K83" s="24" t="s">
        <v>1367</v>
      </c>
      <c r="L83" s="24">
        <v>41183</v>
      </c>
      <c r="M83" s="24">
        <v>41178</v>
      </c>
      <c r="N83" s="22" t="s">
        <v>585</v>
      </c>
      <c r="O83">
        <v>9130898</v>
      </c>
      <c r="P83" s="22">
        <v>1025</v>
      </c>
      <c r="Q83" s="22">
        <v>42</v>
      </c>
      <c r="R83" s="22" t="s">
        <v>2251</v>
      </c>
      <c r="T83" s="4"/>
      <c r="U83" s="164"/>
      <c r="V83" s="4"/>
      <c r="W83" s="62"/>
      <c r="Y83" s="28"/>
      <c r="AA83" s="24">
        <v>0</v>
      </c>
      <c r="AB83" s="28">
        <v>0</v>
      </c>
      <c r="AE83" s="145">
        <v>41228</v>
      </c>
    </row>
    <row r="84" spans="1:31" ht="14.25" customHeight="1" x14ac:dyDescent="0.4">
      <c r="A84">
        <v>539</v>
      </c>
      <c r="B84" s="24">
        <v>0</v>
      </c>
      <c r="C84" s="24">
        <v>0</v>
      </c>
      <c r="D84" s="24">
        <v>0</v>
      </c>
      <c r="E84" s="24">
        <v>0</v>
      </c>
      <c r="F84" s="24">
        <v>0</v>
      </c>
      <c r="G84" s="24">
        <v>0</v>
      </c>
      <c r="H84" s="37">
        <v>216</v>
      </c>
      <c r="I84" s="23">
        <v>41183</v>
      </c>
      <c r="J84" s="37">
        <v>64</v>
      </c>
      <c r="K84" s="24" t="s">
        <v>1367</v>
      </c>
      <c r="L84" s="24">
        <v>41183</v>
      </c>
      <c r="M84" s="24">
        <v>41178</v>
      </c>
      <c r="N84" s="22" t="s">
        <v>585</v>
      </c>
      <c r="O84">
        <v>9130899</v>
      </c>
      <c r="P84" s="22">
        <v>1025</v>
      </c>
      <c r="Q84" s="22">
        <v>42</v>
      </c>
      <c r="R84" s="22" t="s">
        <v>2252</v>
      </c>
      <c r="T84" s="4"/>
      <c r="U84" s="164"/>
      <c r="V84" s="4"/>
      <c r="Y84" s="28"/>
      <c r="AA84" s="24">
        <v>0</v>
      </c>
      <c r="AB84" s="28">
        <v>0</v>
      </c>
      <c r="AE84" s="145">
        <v>41228</v>
      </c>
    </row>
    <row r="85" spans="1:31" ht="14.25" customHeight="1" x14ac:dyDescent="0.4">
      <c r="A85">
        <v>540</v>
      </c>
      <c r="B85" s="24">
        <v>0</v>
      </c>
      <c r="C85" s="24">
        <v>0</v>
      </c>
      <c r="D85" s="24">
        <v>0</v>
      </c>
      <c r="E85" s="24">
        <v>0</v>
      </c>
      <c r="F85" s="24">
        <v>0</v>
      </c>
      <c r="G85" s="24">
        <v>0</v>
      </c>
      <c r="H85" s="37">
        <v>217</v>
      </c>
      <c r="I85" s="23">
        <v>41183</v>
      </c>
      <c r="J85" s="37">
        <v>65</v>
      </c>
      <c r="K85" s="24" t="s">
        <v>1367</v>
      </c>
      <c r="L85" s="24">
        <v>41183</v>
      </c>
      <c r="M85" s="24">
        <v>41178</v>
      </c>
      <c r="N85" s="22" t="s">
        <v>585</v>
      </c>
      <c r="O85">
        <v>9130901</v>
      </c>
      <c r="P85" s="22">
        <v>1025</v>
      </c>
      <c r="Q85" s="22">
        <v>42</v>
      </c>
      <c r="R85" s="22" t="s">
        <v>2253</v>
      </c>
      <c r="T85" s="4"/>
      <c r="U85" s="44"/>
      <c r="V85" s="4"/>
      <c r="W85" s="62"/>
      <c r="Y85" s="28"/>
      <c r="AA85" s="24">
        <v>0</v>
      </c>
      <c r="AB85" s="28">
        <v>0</v>
      </c>
      <c r="AE85" s="145">
        <v>41228</v>
      </c>
    </row>
    <row r="86" spans="1:31" ht="14.25" customHeight="1" x14ac:dyDescent="0.4">
      <c r="A86">
        <v>159</v>
      </c>
      <c r="B86" s="22">
        <v>0</v>
      </c>
      <c r="C86" s="22" t="s">
        <v>2165</v>
      </c>
      <c r="D86" s="22">
        <v>0</v>
      </c>
      <c r="E86" s="24">
        <v>41100</v>
      </c>
      <c r="F86" s="24" t="s">
        <v>393</v>
      </c>
      <c r="G86" s="24">
        <v>41116</v>
      </c>
      <c r="H86" s="37">
        <v>4</v>
      </c>
      <c r="I86" s="23">
        <v>41091</v>
      </c>
      <c r="J86" s="37">
        <v>4</v>
      </c>
      <c r="K86" s="24" t="s">
        <v>1367</v>
      </c>
      <c r="L86" s="24">
        <v>41091</v>
      </c>
      <c r="M86" s="24">
        <v>41068</v>
      </c>
      <c r="N86" s="22" t="s">
        <v>628</v>
      </c>
      <c r="O86">
        <v>9130257</v>
      </c>
      <c r="P86" s="22">
        <v>1025</v>
      </c>
      <c r="Q86" s="22">
        <v>42</v>
      </c>
      <c r="R86" s="22" t="s">
        <v>2254</v>
      </c>
      <c r="S86" s="102"/>
      <c r="T86" s="4"/>
      <c r="U86" s="94"/>
      <c r="V86" s="4"/>
      <c r="W86" s="92"/>
      <c r="X86" s="74"/>
      <c r="Y86" s="28"/>
      <c r="Z86" s="9"/>
      <c r="AA86" s="24" t="s">
        <v>393</v>
      </c>
      <c r="AB86" s="28">
        <v>41116</v>
      </c>
      <c r="AE86" s="145">
        <v>41136</v>
      </c>
    </row>
    <row r="87" spans="1:31" ht="14.25" customHeight="1" x14ac:dyDescent="0.4">
      <c r="A87">
        <v>160</v>
      </c>
      <c r="B87" s="22">
        <v>0</v>
      </c>
      <c r="C87" s="22" t="s">
        <v>2165</v>
      </c>
      <c r="D87" s="22">
        <v>0</v>
      </c>
      <c r="E87" s="24">
        <v>41100</v>
      </c>
      <c r="F87" s="24" t="s">
        <v>393</v>
      </c>
      <c r="G87" s="24">
        <v>41116</v>
      </c>
      <c r="H87" s="37">
        <v>5</v>
      </c>
      <c r="I87" s="23">
        <v>41091</v>
      </c>
      <c r="J87" s="37">
        <v>5</v>
      </c>
      <c r="K87" s="24" t="s">
        <v>1367</v>
      </c>
      <c r="L87" s="24">
        <v>41091</v>
      </c>
      <c r="M87" s="24">
        <v>41068</v>
      </c>
      <c r="N87" s="22" t="s">
        <v>628</v>
      </c>
      <c r="O87">
        <v>9130258</v>
      </c>
      <c r="P87" s="22">
        <v>1025</v>
      </c>
      <c r="Q87" s="22">
        <v>50</v>
      </c>
      <c r="R87" s="22" t="s">
        <v>2254</v>
      </c>
      <c r="S87" s="102"/>
      <c r="T87" s="4" t="s">
        <v>404</v>
      </c>
      <c r="U87" s="42">
        <v>41166</v>
      </c>
      <c r="V87" s="4"/>
      <c r="W87" s="28"/>
      <c r="X87" s="74"/>
      <c r="Y87" s="28"/>
      <c r="Z87" s="28"/>
      <c r="AA87" s="24" t="s">
        <v>393</v>
      </c>
      <c r="AB87" s="28">
        <v>41116</v>
      </c>
      <c r="AE87" s="145">
        <v>41136</v>
      </c>
    </row>
    <row r="88" spans="1:31" ht="14.25" customHeight="1" x14ac:dyDescent="0.4">
      <c r="A88">
        <v>161</v>
      </c>
      <c r="B88" s="22">
        <v>0</v>
      </c>
      <c r="C88" s="22">
        <v>0</v>
      </c>
      <c r="D88" s="22">
        <v>0</v>
      </c>
      <c r="E88" s="24">
        <v>41166</v>
      </c>
      <c r="F88" s="24" t="s">
        <v>392</v>
      </c>
      <c r="G88" s="24">
        <v>41179</v>
      </c>
      <c r="H88" s="37">
        <v>121</v>
      </c>
      <c r="I88" s="23">
        <v>41153</v>
      </c>
      <c r="J88" s="37">
        <v>26</v>
      </c>
      <c r="K88" s="24" t="s">
        <v>1367</v>
      </c>
      <c r="L88" s="24">
        <v>41153</v>
      </c>
      <c r="M88" s="24">
        <v>41068</v>
      </c>
      <c r="N88" s="22" t="s">
        <v>628</v>
      </c>
      <c r="O88">
        <v>9130259</v>
      </c>
      <c r="P88" s="22">
        <v>1025</v>
      </c>
      <c r="Q88" s="22">
        <v>42</v>
      </c>
      <c r="R88" s="22" t="s">
        <v>2255</v>
      </c>
      <c r="S88" s="55"/>
      <c r="T88" s="4" t="s">
        <v>404</v>
      </c>
      <c r="U88" s="94">
        <v>41143</v>
      </c>
      <c r="V88" s="4"/>
      <c r="W88" s="92"/>
      <c r="Y88" s="28"/>
      <c r="Z88" s="28"/>
      <c r="AA88" s="24" t="s">
        <v>392</v>
      </c>
      <c r="AB88" s="28">
        <v>41179</v>
      </c>
    </row>
    <row r="89" spans="1:31" ht="14.25" customHeight="1" x14ac:dyDescent="0.4">
      <c r="A89">
        <v>162</v>
      </c>
      <c r="B89" s="22">
        <v>0</v>
      </c>
      <c r="C89" s="22">
        <v>0</v>
      </c>
      <c r="D89" s="22">
        <v>0</v>
      </c>
      <c r="E89" s="24">
        <v>41166</v>
      </c>
      <c r="F89" s="24" t="s">
        <v>392</v>
      </c>
      <c r="G89" s="24">
        <v>41179</v>
      </c>
      <c r="H89" s="37">
        <v>122</v>
      </c>
      <c r="I89" s="23">
        <v>41153</v>
      </c>
      <c r="J89" s="37">
        <v>27</v>
      </c>
      <c r="K89" s="24" t="s">
        <v>1367</v>
      </c>
      <c r="L89" s="24">
        <v>41153</v>
      </c>
      <c r="M89" s="24">
        <v>41068</v>
      </c>
      <c r="N89" s="22" t="s">
        <v>628</v>
      </c>
      <c r="O89">
        <v>9130260</v>
      </c>
      <c r="P89" s="22">
        <v>1025</v>
      </c>
      <c r="Q89" s="22">
        <v>42</v>
      </c>
      <c r="R89" s="22" t="s">
        <v>2256</v>
      </c>
      <c r="S89" s="102"/>
      <c r="T89" s="4" t="s">
        <v>404</v>
      </c>
      <c r="U89" s="42">
        <v>41136</v>
      </c>
      <c r="V89" s="4"/>
      <c r="W89" s="28"/>
      <c r="X89" s="74"/>
      <c r="Y89" s="28"/>
      <c r="Z89" s="28"/>
      <c r="AA89" s="24" t="s">
        <v>392</v>
      </c>
      <c r="AB89" s="28">
        <v>41179</v>
      </c>
    </row>
    <row r="90" spans="1:31" ht="14.25" customHeight="1" x14ac:dyDescent="0.4">
      <c r="A90">
        <v>163</v>
      </c>
      <c r="B90" s="24">
        <v>41148</v>
      </c>
      <c r="C90" s="24">
        <v>41148</v>
      </c>
      <c r="D90" s="24">
        <v>41148</v>
      </c>
      <c r="E90" s="24">
        <v>41148</v>
      </c>
      <c r="F90" s="24" t="s">
        <v>393</v>
      </c>
      <c r="G90" s="24">
        <v>41164</v>
      </c>
      <c r="H90" s="37">
        <v>86</v>
      </c>
      <c r="I90" s="23">
        <v>41122</v>
      </c>
      <c r="J90" s="37">
        <v>54</v>
      </c>
      <c r="K90" s="24" t="s">
        <v>1367</v>
      </c>
      <c r="L90" s="24">
        <v>41153</v>
      </c>
      <c r="M90" s="24">
        <v>41068</v>
      </c>
      <c r="N90" s="22" t="s">
        <v>628</v>
      </c>
      <c r="O90">
        <v>9130261</v>
      </c>
      <c r="P90" s="22">
        <v>720</v>
      </c>
      <c r="Q90" s="22">
        <v>42</v>
      </c>
      <c r="R90" s="22">
        <v>5</v>
      </c>
      <c r="T90" s="4"/>
      <c r="U90" s="164"/>
      <c r="V90" s="4"/>
      <c r="W90" s="28"/>
      <c r="Y90" s="28"/>
      <c r="AA90" s="24" t="s">
        <v>393</v>
      </c>
      <c r="AB90" s="28">
        <v>41164</v>
      </c>
    </row>
    <row r="91" spans="1:31" ht="14.25" customHeight="1" x14ac:dyDescent="0.4">
      <c r="A91">
        <v>164</v>
      </c>
      <c r="B91" s="22">
        <v>0</v>
      </c>
      <c r="C91" s="22" t="s">
        <v>2102</v>
      </c>
      <c r="D91" s="22">
        <v>0</v>
      </c>
      <c r="E91" s="24">
        <v>41144</v>
      </c>
      <c r="F91" s="24" t="s">
        <v>393</v>
      </c>
      <c r="G91" s="24">
        <v>41151</v>
      </c>
      <c r="H91" s="37">
        <v>78</v>
      </c>
      <c r="I91" s="23">
        <v>41122</v>
      </c>
      <c r="J91" s="37">
        <v>46</v>
      </c>
      <c r="K91" s="24" t="s">
        <v>1367</v>
      </c>
      <c r="L91" s="24">
        <v>41153</v>
      </c>
      <c r="M91" s="24">
        <v>41068</v>
      </c>
      <c r="N91" s="22" t="s">
        <v>628</v>
      </c>
      <c r="O91">
        <v>9130262</v>
      </c>
      <c r="P91" s="22" t="s">
        <v>2257</v>
      </c>
      <c r="Q91" s="22">
        <v>50</v>
      </c>
      <c r="R91" s="22">
        <v>6</v>
      </c>
      <c r="S91" s="55"/>
      <c r="T91" s="4"/>
      <c r="U91" s="94"/>
      <c r="V91" s="4"/>
      <c r="W91" s="92"/>
      <c r="X91" s="74"/>
      <c r="Y91" s="28"/>
      <c r="Z91" s="28"/>
      <c r="AA91" s="24" t="s">
        <v>393</v>
      </c>
      <c r="AB91" s="28">
        <v>41151</v>
      </c>
    </row>
    <row r="92" spans="1:31" ht="14.25" customHeight="1" x14ac:dyDescent="0.4">
      <c r="A92">
        <v>85</v>
      </c>
      <c r="B92" s="24">
        <v>41107</v>
      </c>
      <c r="C92" s="24">
        <v>41107</v>
      </c>
      <c r="D92" s="24">
        <v>41107</v>
      </c>
      <c r="E92" s="24">
        <v>41107</v>
      </c>
      <c r="F92" s="24" t="s">
        <v>393</v>
      </c>
      <c r="G92" s="24">
        <v>41121</v>
      </c>
      <c r="H92" s="37">
        <v>12</v>
      </c>
      <c r="I92" s="23">
        <v>41091</v>
      </c>
      <c r="J92" s="37">
        <v>12</v>
      </c>
      <c r="K92" s="24" t="s">
        <v>1367</v>
      </c>
      <c r="L92" s="24">
        <v>41091</v>
      </c>
      <c r="M92" s="24">
        <v>41068</v>
      </c>
      <c r="N92" s="22" t="s">
        <v>121</v>
      </c>
      <c r="O92">
        <v>9130125</v>
      </c>
      <c r="P92" s="22">
        <v>1025</v>
      </c>
      <c r="Q92" s="22">
        <v>42</v>
      </c>
      <c r="R92" s="22">
        <v>1</v>
      </c>
      <c r="T92" s="4"/>
      <c r="U92" s="164"/>
      <c r="V92" s="4"/>
      <c r="W92" s="43"/>
      <c r="Y92" s="28"/>
      <c r="AA92" s="24" t="s">
        <v>393</v>
      </c>
      <c r="AB92" s="28">
        <v>41121</v>
      </c>
    </row>
    <row r="93" spans="1:31" ht="14.25" customHeight="1" x14ac:dyDescent="0.4">
      <c r="A93">
        <v>86</v>
      </c>
      <c r="B93" s="24">
        <v>41108</v>
      </c>
      <c r="C93" s="24">
        <v>41108</v>
      </c>
      <c r="D93" s="24">
        <v>41108</v>
      </c>
      <c r="E93" s="24">
        <v>41108</v>
      </c>
      <c r="F93" s="24" t="s">
        <v>393</v>
      </c>
      <c r="G93" s="24">
        <v>41121</v>
      </c>
      <c r="H93" s="37">
        <v>13</v>
      </c>
      <c r="I93" s="23">
        <v>41091</v>
      </c>
      <c r="J93" s="37">
        <v>13</v>
      </c>
      <c r="K93" s="24" t="s">
        <v>1367</v>
      </c>
      <c r="L93" s="24">
        <v>41091</v>
      </c>
      <c r="M93" s="24">
        <v>41068</v>
      </c>
      <c r="N93" s="22" t="s">
        <v>121</v>
      </c>
      <c r="O93">
        <v>9130126</v>
      </c>
      <c r="P93" s="22">
        <v>1025</v>
      </c>
      <c r="Q93" s="22">
        <v>42</v>
      </c>
      <c r="R93" s="22">
        <v>2</v>
      </c>
      <c r="T93" s="4"/>
      <c r="U93" s="164"/>
      <c r="V93" s="4"/>
      <c r="W93" s="43"/>
      <c r="Y93" s="28"/>
      <c r="AA93" s="24" t="s">
        <v>393</v>
      </c>
      <c r="AB93" s="28">
        <v>41121</v>
      </c>
    </row>
    <row r="94" spans="1:31" ht="14.25" customHeight="1" x14ac:dyDescent="0.4">
      <c r="A94">
        <v>87</v>
      </c>
      <c r="B94" s="24">
        <v>0</v>
      </c>
      <c r="C94" s="24">
        <v>0</v>
      </c>
      <c r="D94" s="24">
        <v>0</v>
      </c>
      <c r="E94" s="24">
        <v>0</v>
      </c>
      <c r="F94" s="24">
        <v>0</v>
      </c>
      <c r="G94" s="24">
        <v>0</v>
      </c>
      <c r="H94" s="37">
        <v>241</v>
      </c>
      <c r="I94" s="23">
        <v>41214</v>
      </c>
      <c r="J94" s="37">
        <v>20</v>
      </c>
      <c r="K94" s="24" t="s">
        <v>1367</v>
      </c>
      <c r="L94" s="24">
        <v>41214</v>
      </c>
      <c r="M94" s="24">
        <v>41068</v>
      </c>
      <c r="N94" s="22" t="s">
        <v>121</v>
      </c>
      <c r="O94">
        <v>9130128</v>
      </c>
      <c r="P94" s="22">
        <v>1025</v>
      </c>
      <c r="Q94" s="22">
        <v>42</v>
      </c>
      <c r="R94" s="22" t="s">
        <v>2258</v>
      </c>
      <c r="T94" s="4" t="s">
        <v>404</v>
      </c>
      <c r="U94" s="164">
        <v>41136</v>
      </c>
      <c r="V94" s="4"/>
      <c r="W94" s="43"/>
      <c r="Y94" s="28"/>
      <c r="AA94" s="24">
        <v>0</v>
      </c>
      <c r="AB94" s="28">
        <v>0</v>
      </c>
    </row>
    <row r="95" spans="1:31" ht="14.25" customHeight="1" x14ac:dyDescent="0.4">
      <c r="A95">
        <v>88</v>
      </c>
      <c r="B95" s="24">
        <v>0</v>
      </c>
      <c r="C95" s="24">
        <v>0</v>
      </c>
      <c r="D95" s="24">
        <v>0</v>
      </c>
      <c r="E95" s="24">
        <v>0</v>
      </c>
      <c r="F95" s="24">
        <v>0</v>
      </c>
      <c r="G95" s="24">
        <v>0</v>
      </c>
      <c r="H95" s="37">
        <v>242</v>
      </c>
      <c r="I95" s="23">
        <v>41214</v>
      </c>
      <c r="J95" s="37">
        <v>21</v>
      </c>
      <c r="K95" s="24" t="s">
        <v>1367</v>
      </c>
      <c r="L95" s="24">
        <v>41214</v>
      </c>
      <c r="M95" s="24">
        <v>41068</v>
      </c>
      <c r="N95" s="22" t="s">
        <v>121</v>
      </c>
      <c r="O95">
        <v>9130129</v>
      </c>
      <c r="P95" s="22">
        <v>1025</v>
      </c>
      <c r="Q95" s="22">
        <v>42</v>
      </c>
      <c r="R95" s="22" t="s">
        <v>2259</v>
      </c>
      <c r="T95" s="4" t="s">
        <v>404</v>
      </c>
      <c r="U95" s="164">
        <v>41166</v>
      </c>
      <c r="V95" s="4"/>
      <c r="W95" s="43"/>
      <c r="Y95" s="28"/>
      <c r="AA95" s="24">
        <v>0</v>
      </c>
      <c r="AB95" s="28">
        <v>0</v>
      </c>
    </row>
    <row r="96" spans="1:31" ht="14.25" customHeight="1" x14ac:dyDescent="0.4">
      <c r="A96">
        <v>257</v>
      </c>
      <c r="B96" s="22">
        <v>0</v>
      </c>
      <c r="C96" s="22" t="s">
        <v>2165</v>
      </c>
      <c r="D96" s="22">
        <v>0</v>
      </c>
      <c r="E96" s="24">
        <v>41101</v>
      </c>
      <c r="F96" s="24" t="s">
        <v>393</v>
      </c>
      <c r="G96" s="24">
        <v>41116</v>
      </c>
      <c r="H96" s="37">
        <v>6</v>
      </c>
      <c r="I96" s="23">
        <v>41091</v>
      </c>
      <c r="J96" s="37">
        <v>6</v>
      </c>
      <c r="K96" s="24" t="s">
        <v>2129</v>
      </c>
      <c r="L96" s="24">
        <v>41122</v>
      </c>
      <c r="M96" s="24">
        <v>40739</v>
      </c>
      <c r="N96" s="22" t="s">
        <v>1827</v>
      </c>
      <c r="O96">
        <v>9130400</v>
      </c>
      <c r="P96" s="22">
        <v>1025</v>
      </c>
      <c r="Q96" s="22">
        <v>42</v>
      </c>
      <c r="R96" s="22" t="s">
        <v>2260</v>
      </c>
      <c r="S96" s="3" t="s">
        <v>1184</v>
      </c>
      <c r="T96" s="4" t="s">
        <v>404</v>
      </c>
      <c r="U96" s="164">
        <v>41173</v>
      </c>
      <c r="V96" s="4"/>
      <c r="W96" s="92"/>
      <c r="X96" s="74"/>
      <c r="Y96" s="28"/>
      <c r="Z96" s="9"/>
      <c r="AA96" s="24" t="s">
        <v>393</v>
      </c>
      <c r="AB96" s="28">
        <v>41116</v>
      </c>
    </row>
    <row r="97" spans="1:28" ht="14.25" customHeight="1" x14ac:dyDescent="0.4">
      <c r="A97">
        <v>258</v>
      </c>
      <c r="B97" s="22">
        <v>0</v>
      </c>
      <c r="C97" s="22" t="s">
        <v>2165</v>
      </c>
      <c r="D97" s="22">
        <v>0</v>
      </c>
      <c r="E97" s="24">
        <v>41136</v>
      </c>
      <c r="F97" s="24" t="s">
        <v>393</v>
      </c>
      <c r="G97" s="24">
        <v>41144</v>
      </c>
      <c r="H97" s="37">
        <v>60</v>
      </c>
      <c r="I97" s="23">
        <v>41122</v>
      </c>
      <c r="J97" s="37">
        <v>28</v>
      </c>
      <c r="K97" s="24" t="s">
        <v>2129</v>
      </c>
      <c r="L97" s="24">
        <v>41122</v>
      </c>
      <c r="M97" s="24">
        <v>41068</v>
      </c>
      <c r="N97" s="22" t="s">
        <v>1827</v>
      </c>
      <c r="O97">
        <v>9130401</v>
      </c>
      <c r="P97" s="22">
        <v>720</v>
      </c>
      <c r="Q97" s="22">
        <v>42</v>
      </c>
      <c r="R97" s="22" t="s">
        <v>2261</v>
      </c>
      <c r="S97" s="102"/>
      <c r="T97" s="4"/>
      <c r="U97" s="94"/>
      <c r="V97" s="4"/>
      <c r="W97" s="92"/>
      <c r="X97" s="74"/>
      <c r="Y97" s="28"/>
      <c r="Z97" s="9"/>
      <c r="AA97" s="24" t="s">
        <v>393</v>
      </c>
      <c r="AB97" s="28">
        <v>41144</v>
      </c>
    </row>
    <row r="98" spans="1:28" ht="14.25" customHeight="1" x14ac:dyDescent="0.4">
      <c r="A98">
        <v>259</v>
      </c>
      <c r="B98" s="22">
        <v>0</v>
      </c>
      <c r="C98" s="22" t="s">
        <v>2165</v>
      </c>
      <c r="D98" s="22">
        <v>0</v>
      </c>
      <c r="E98" s="24">
        <v>0</v>
      </c>
      <c r="F98" s="24">
        <v>0</v>
      </c>
      <c r="G98" s="24">
        <v>0</v>
      </c>
      <c r="H98" s="37">
        <v>179</v>
      </c>
      <c r="I98" s="23">
        <v>41183</v>
      </c>
      <c r="J98" s="37">
        <v>27</v>
      </c>
      <c r="K98" s="24" t="s">
        <v>2129</v>
      </c>
      <c r="L98" s="24">
        <v>41183</v>
      </c>
      <c r="M98" s="24">
        <v>41068</v>
      </c>
      <c r="N98" s="22" t="s">
        <v>1827</v>
      </c>
      <c r="O98">
        <v>9130403</v>
      </c>
      <c r="P98" s="22">
        <v>720</v>
      </c>
      <c r="Q98" s="22">
        <v>42</v>
      </c>
      <c r="R98" s="22" t="s">
        <v>2262</v>
      </c>
      <c r="S98" s="102"/>
      <c r="T98" s="4"/>
      <c r="U98" s="94"/>
      <c r="V98" s="4"/>
      <c r="W98" s="28"/>
      <c r="X98" s="74"/>
      <c r="Y98" s="28"/>
      <c r="Z98" s="9"/>
      <c r="AA98" s="24">
        <v>0</v>
      </c>
      <c r="AB98" s="28">
        <v>0</v>
      </c>
    </row>
    <row r="99" spans="1:28" ht="14.25" customHeight="1" x14ac:dyDescent="0.4">
      <c r="A99">
        <v>260</v>
      </c>
      <c r="B99" s="22">
        <v>0</v>
      </c>
      <c r="C99" s="22">
        <v>0</v>
      </c>
      <c r="D99" s="22">
        <v>0</v>
      </c>
      <c r="E99" s="24">
        <v>0</v>
      </c>
      <c r="F99" s="24" t="s">
        <v>528</v>
      </c>
      <c r="G99" s="24">
        <v>0</v>
      </c>
      <c r="H99" s="37">
        <v>160</v>
      </c>
      <c r="I99" s="23">
        <v>41183</v>
      </c>
      <c r="J99" s="37">
        <v>8</v>
      </c>
      <c r="K99" s="24" t="s">
        <v>2129</v>
      </c>
      <c r="L99" s="24">
        <v>41183</v>
      </c>
      <c r="M99" s="24">
        <v>41068</v>
      </c>
      <c r="N99" s="22" t="s">
        <v>1827</v>
      </c>
      <c r="O99">
        <v>9130404</v>
      </c>
      <c r="P99" s="22">
        <v>1025</v>
      </c>
      <c r="Q99" s="22">
        <v>42</v>
      </c>
      <c r="R99" s="22" t="s">
        <v>2263</v>
      </c>
      <c r="S99" s="102"/>
      <c r="T99" s="4"/>
      <c r="U99" s="42"/>
      <c r="V99" s="4"/>
      <c r="W99" s="164"/>
      <c r="X99" s="74"/>
      <c r="Y99" s="28"/>
      <c r="Z99" s="9"/>
      <c r="AA99" s="24" t="s">
        <v>528</v>
      </c>
      <c r="AB99" s="28">
        <v>0</v>
      </c>
    </row>
    <row r="100" spans="1:28" ht="14.25" customHeight="1" x14ac:dyDescent="0.4">
      <c r="A100">
        <v>261</v>
      </c>
      <c r="B100" s="22">
        <v>0</v>
      </c>
      <c r="C100" s="22">
        <v>0</v>
      </c>
      <c r="D100" s="22">
        <v>0</v>
      </c>
      <c r="E100" s="24">
        <v>0</v>
      </c>
      <c r="F100" s="24">
        <v>0</v>
      </c>
      <c r="G100" s="24">
        <v>0</v>
      </c>
      <c r="H100" s="37">
        <v>249</v>
      </c>
      <c r="I100" s="23">
        <v>41214</v>
      </c>
      <c r="J100" s="37">
        <v>28</v>
      </c>
      <c r="K100" s="24" t="s">
        <v>2129</v>
      </c>
      <c r="L100" s="24">
        <v>41214</v>
      </c>
      <c r="M100" s="24">
        <v>41068</v>
      </c>
      <c r="N100" s="22" t="s">
        <v>1827</v>
      </c>
      <c r="O100">
        <v>9130405</v>
      </c>
      <c r="P100" s="22">
        <v>1025</v>
      </c>
      <c r="Q100" s="22">
        <v>42</v>
      </c>
      <c r="R100" s="22" t="s">
        <v>2264</v>
      </c>
      <c r="S100" s="55"/>
      <c r="T100" s="4"/>
      <c r="U100" s="164"/>
      <c r="V100" s="4"/>
      <c r="W100" s="164"/>
      <c r="X100" s="74"/>
      <c r="Y100" s="28"/>
      <c r="Z100" s="9"/>
      <c r="AA100" s="24">
        <v>0</v>
      </c>
      <c r="AB100" s="28">
        <v>0</v>
      </c>
    </row>
    <row r="101" spans="1:28" ht="14.25" customHeight="1" x14ac:dyDescent="0.4">
      <c r="A101">
        <v>262</v>
      </c>
      <c r="B101" s="24">
        <v>0</v>
      </c>
      <c r="C101" s="24">
        <v>0</v>
      </c>
      <c r="D101" s="24">
        <v>0</v>
      </c>
      <c r="E101" s="24">
        <v>0</v>
      </c>
      <c r="F101" s="24">
        <v>0</v>
      </c>
      <c r="G101" s="24">
        <v>0</v>
      </c>
      <c r="H101" s="37">
        <v>250</v>
      </c>
      <c r="I101" s="23">
        <v>41214</v>
      </c>
      <c r="J101" s="37">
        <v>29</v>
      </c>
      <c r="K101" s="24" t="s">
        <v>2129</v>
      </c>
      <c r="L101" s="24">
        <v>41214</v>
      </c>
      <c r="M101" s="24">
        <v>41068</v>
      </c>
      <c r="N101" s="22" t="s">
        <v>1827</v>
      </c>
      <c r="O101">
        <v>9130406</v>
      </c>
      <c r="P101" s="22">
        <v>1025</v>
      </c>
      <c r="Q101" s="22">
        <v>42</v>
      </c>
      <c r="R101" s="22" t="s">
        <v>2265</v>
      </c>
      <c r="S101" s="55"/>
      <c r="T101" s="4"/>
      <c r="U101" s="164"/>
      <c r="V101" s="4"/>
      <c r="W101" s="164"/>
      <c r="X101" s="74"/>
      <c r="Y101" s="28"/>
      <c r="Z101" s="9"/>
      <c r="AA101" s="24">
        <v>0</v>
      </c>
      <c r="AB101" s="28">
        <v>0</v>
      </c>
    </row>
    <row r="102" spans="1:28" ht="14.25" customHeight="1" x14ac:dyDescent="0.4">
      <c r="A102">
        <v>263</v>
      </c>
      <c r="B102" s="24">
        <v>0</v>
      </c>
      <c r="C102" s="24">
        <v>0</v>
      </c>
      <c r="D102" s="24">
        <v>0</v>
      </c>
      <c r="E102" s="24">
        <v>0</v>
      </c>
      <c r="F102" s="24">
        <v>0</v>
      </c>
      <c r="G102" s="24">
        <v>0</v>
      </c>
      <c r="H102" s="37">
        <v>366</v>
      </c>
      <c r="I102" s="23">
        <v>41275</v>
      </c>
      <c r="J102" s="37">
        <v>37</v>
      </c>
      <c r="K102" s="24" t="s">
        <v>2129</v>
      </c>
      <c r="L102" s="24">
        <v>41275</v>
      </c>
      <c r="M102" s="24">
        <v>41068</v>
      </c>
      <c r="N102" s="22" t="s">
        <v>1827</v>
      </c>
      <c r="O102">
        <v>9130407</v>
      </c>
      <c r="P102" s="22">
        <v>1025</v>
      </c>
      <c r="Q102" s="22">
        <v>42</v>
      </c>
      <c r="R102" s="22" t="s">
        <v>2266</v>
      </c>
      <c r="S102" s="55"/>
      <c r="T102" s="4"/>
      <c r="U102" s="164"/>
      <c r="V102" s="4"/>
      <c r="W102" s="164"/>
      <c r="X102" s="74"/>
      <c r="Y102" s="28"/>
      <c r="Z102" s="9"/>
      <c r="AA102" s="24">
        <v>0</v>
      </c>
      <c r="AB102" s="28">
        <v>0</v>
      </c>
    </row>
    <row r="103" spans="1:28" ht="14.25" customHeight="1" x14ac:dyDescent="0.4">
      <c r="A103">
        <v>264</v>
      </c>
      <c r="B103" s="22">
        <v>0</v>
      </c>
      <c r="C103" s="22">
        <v>0</v>
      </c>
      <c r="D103" s="22">
        <v>0</v>
      </c>
      <c r="E103" s="24">
        <v>0</v>
      </c>
      <c r="F103" s="24">
        <v>0</v>
      </c>
      <c r="G103" s="24">
        <v>0</v>
      </c>
      <c r="H103" s="37">
        <v>388</v>
      </c>
      <c r="I103" s="23">
        <v>41275</v>
      </c>
      <c r="J103" s="37">
        <v>59</v>
      </c>
      <c r="K103" s="24" t="s">
        <v>2129</v>
      </c>
      <c r="L103" s="24">
        <v>41275</v>
      </c>
      <c r="M103" s="24">
        <v>41068</v>
      </c>
      <c r="N103" s="22" t="s">
        <v>1827</v>
      </c>
      <c r="O103">
        <v>9130408</v>
      </c>
      <c r="P103" s="22">
        <v>720</v>
      </c>
      <c r="Q103" s="22">
        <v>42</v>
      </c>
      <c r="R103" s="22" t="s">
        <v>2267</v>
      </c>
      <c r="S103" s="1"/>
      <c r="T103" s="4"/>
      <c r="U103" s="42"/>
      <c r="V103" s="4"/>
      <c r="W103" s="92"/>
      <c r="X103" s="74"/>
      <c r="Y103" s="28"/>
      <c r="Z103" s="28"/>
      <c r="AA103" s="24">
        <v>0</v>
      </c>
      <c r="AB103" s="28">
        <v>0</v>
      </c>
    </row>
    <row r="104" spans="1:28" ht="14.25" customHeight="1" x14ac:dyDescent="0.4">
      <c r="A104">
        <v>265</v>
      </c>
      <c r="B104" s="22">
        <v>0</v>
      </c>
      <c r="C104" s="22">
        <v>0</v>
      </c>
      <c r="D104" s="22">
        <v>0</v>
      </c>
      <c r="E104" s="24">
        <v>0</v>
      </c>
      <c r="F104" s="24">
        <v>0</v>
      </c>
      <c r="G104" s="24">
        <v>0</v>
      </c>
      <c r="H104" s="37">
        <v>500</v>
      </c>
      <c r="I104" s="23">
        <v>41334</v>
      </c>
      <c r="J104" s="37">
        <v>46</v>
      </c>
      <c r="K104" s="24" t="s">
        <v>2129</v>
      </c>
      <c r="L104" s="24">
        <v>41334</v>
      </c>
      <c r="M104" s="24">
        <v>41068</v>
      </c>
      <c r="N104" s="22" t="s">
        <v>1827</v>
      </c>
      <c r="O104">
        <v>9130409</v>
      </c>
      <c r="P104" s="22">
        <v>720</v>
      </c>
      <c r="Q104" s="22">
        <v>42</v>
      </c>
      <c r="R104" s="22" t="s">
        <v>2268</v>
      </c>
      <c r="S104" s="102"/>
      <c r="T104" s="4"/>
      <c r="U104" s="94"/>
      <c r="V104" s="4"/>
      <c r="W104" s="92"/>
      <c r="X104" s="74"/>
      <c r="Y104" s="28"/>
      <c r="Z104" s="9"/>
      <c r="AA104" s="24">
        <v>0</v>
      </c>
      <c r="AB104" s="28">
        <v>0</v>
      </c>
    </row>
    <row r="105" spans="1:28" ht="14.25" customHeight="1" x14ac:dyDescent="0.4">
      <c r="A105">
        <v>266</v>
      </c>
      <c r="B105" s="22">
        <v>0</v>
      </c>
      <c r="C105" s="22">
        <v>0</v>
      </c>
      <c r="D105" s="22">
        <v>0</v>
      </c>
      <c r="E105" s="24">
        <v>0</v>
      </c>
      <c r="F105" s="24">
        <v>0</v>
      </c>
      <c r="G105" s="24">
        <v>0</v>
      </c>
      <c r="H105" s="37">
        <v>479</v>
      </c>
      <c r="I105" s="23">
        <v>41334</v>
      </c>
      <c r="J105" s="37">
        <v>25</v>
      </c>
      <c r="K105" s="24" t="s">
        <v>2129</v>
      </c>
      <c r="L105" s="24">
        <v>41334</v>
      </c>
      <c r="M105" s="24">
        <v>41068</v>
      </c>
      <c r="N105" s="22" t="s">
        <v>1827</v>
      </c>
      <c r="O105">
        <v>9130412</v>
      </c>
      <c r="P105" s="22">
        <v>1025</v>
      </c>
      <c r="Q105" s="22">
        <v>42</v>
      </c>
      <c r="R105" s="22" t="s">
        <v>2269</v>
      </c>
      <c r="S105" s="102"/>
      <c r="T105" s="4"/>
      <c r="U105" s="94"/>
      <c r="V105" s="4"/>
      <c r="W105" s="92"/>
      <c r="X105" s="74"/>
      <c r="Y105" s="28"/>
      <c r="Z105" s="9"/>
      <c r="AA105" s="24">
        <v>0</v>
      </c>
      <c r="AB105" s="28">
        <v>0</v>
      </c>
    </row>
    <row r="106" spans="1:28" ht="14.25" customHeight="1" x14ac:dyDescent="0.4">
      <c r="A106">
        <v>595</v>
      </c>
      <c r="B106" s="22">
        <v>0</v>
      </c>
      <c r="C106" s="22" t="s">
        <v>2165</v>
      </c>
      <c r="D106" s="22">
        <v>0</v>
      </c>
      <c r="E106" s="24">
        <v>41121</v>
      </c>
      <c r="F106" s="24" t="s">
        <v>393</v>
      </c>
      <c r="G106" s="24">
        <v>41144</v>
      </c>
      <c r="H106" s="37">
        <v>32</v>
      </c>
      <c r="I106" s="23">
        <v>41091</v>
      </c>
      <c r="J106" s="37">
        <v>32</v>
      </c>
      <c r="K106" s="24" t="s">
        <v>2129</v>
      </c>
      <c r="L106" s="24">
        <v>41091</v>
      </c>
      <c r="M106" s="24">
        <v>41068</v>
      </c>
      <c r="N106" s="22" t="s">
        <v>1366</v>
      </c>
      <c r="O106">
        <v>9130324</v>
      </c>
      <c r="P106" s="22">
        <v>1025</v>
      </c>
      <c r="Q106" s="22">
        <v>42</v>
      </c>
      <c r="R106" s="22" t="s">
        <v>2270</v>
      </c>
      <c r="T106" s="4"/>
      <c r="V106" s="4"/>
      <c r="AA106" s="24" t="s">
        <v>393</v>
      </c>
      <c r="AB106" s="28">
        <v>41144</v>
      </c>
    </row>
    <row r="107" spans="1:28" ht="14.25" customHeight="1" x14ac:dyDescent="0.4">
      <c r="A107">
        <v>596</v>
      </c>
      <c r="B107" s="22">
        <v>0</v>
      </c>
      <c r="C107" s="22">
        <v>0</v>
      </c>
      <c r="D107" s="22">
        <v>0</v>
      </c>
      <c r="E107" s="24">
        <v>41127</v>
      </c>
      <c r="F107" s="24" t="s">
        <v>393</v>
      </c>
      <c r="G107" s="24">
        <v>41129</v>
      </c>
      <c r="H107" s="37">
        <v>39</v>
      </c>
      <c r="I107" s="23">
        <v>41122</v>
      </c>
      <c r="J107" s="37">
        <v>7</v>
      </c>
      <c r="K107" s="24" t="s">
        <v>2129</v>
      </c>
      <c r="L107" s="24">
        <v>41091</v>
      </c>
      <c r="M107" s="24">
        <v>41068</v>
      </c>
      <c r="N107" s="22" t="s">
        <v>1366</v>
      </c>
      <c r="O107">
        <v>9130326</v>
      </c>
      <c r="P107" s="22">
        <v>1220</v>
      </c>
      <c r="Q107" s="22">
        <v>50</v>
      </c>
      <c r="R107" s="22" t="s">
        <v>2271</v>
      </c>
      <c r="T107" s="4"/>
      <c r="V107" s="4"/>
      <c r="AA107" s="24" t="s">
        <v>393</v>
      </c>
      <c r="AB107" s="28">
        <v>41129</v>
      </c>
    </row>
    <row r="108" spans="1:28" ht="14.25" customHeight="1" x14ac:dyDescent="0.4">
      <c r="A108">
        <v>200</v>
      </c>
      <c r="B108" s="24">
        <v>41122</v>
      </c>
      <c r="C108" s="24">
        <v>41122</v>
      </c>
      <c r="D108" s="24">
        <v>41122</v>
      </c>
      <c r="E108" s="24">
        <v>41122</v>
      </c>
      <c r="F108" s="24" t="s">
        <v>393</v>
      </c>
      <c r="G108" s="24">
        <v>41129</v>
      </c>
      <c r="H108" s="37">
        <v>33</v>
      </c>
      <c r="I108" s="23">
        <v>41122</v>
      </c>
      <c r="J108" s="37">
        <v>1</v>
      </c>
      <c r="K108" s="24" t="s">
        <v>2129</v>
      </c>
      <c r="L108" s="24">
        <v>41091</v>
      </c>
      <c r="M108" s="24">
        <v>41068</v>
      </c>
      <c r="N108" s="22" t="s">
        <v>1366</v>
      </c>
      <c r="O108">
        <v>9130327</v>
      </c>
      <c r="P108" s="22">
        <v>720</v>
      </c>
      <c r="Q108" s="22">
        <v>42</v>
      </c>
      <c r="R108" s="22" t="s">
        <v>2272</v>
      </c>
      <c r="S108" s="55"/>
      <c r="T108" s="4"/>
      <c r="U108" s="166"/>
      <c r="V108" s="4"/>
      <c r="W108" s="71"/>
      <c r="X108" s="74"/>
      <c r="Y108" s="28" t="e">
        <v>#REF!</v>
      </c>
      <c r="Z108" s="29"/>
      <c r="AA108" s="24" t="s">
        <v>393</v>
      </c>
      <c r="AB108" s="28">
        <v>41129</v>
      </c>
    </row>
    <row r="109" spans="1:28" ht="14.25" customHeight="1" x14ac:dyDescent="0.4">
      <c r="A109">
        <v>268</v>
      </c>
      <c r="B109" s="22">
        <v>0</v>
      </c>
      <c r="C109" s="22" t="s">
        <v>2102</v>
      </c>
      <c r="D109" s="22">
        <v>0</v>
      </c>
      <c r="E109" s="24" t="s">
        <v>2273</v>
      </c>
      <c r="F109" s="24" t="s">
        <v>392</v>
      </c>
      <c r="G109" s="24">
        <v>41179</v>
      </c>
      <c r="H109" s="37">
        <v>111</v>
      </c>
      <c r="I109" s="23">
        <v>41153</v>
      </c>
      <c r="J109" s="37">
        <v>16</v>
      </c>
      <c r="K109" s="24" t="s">
        <v>2129</v>
      </c>
      <c r="L109" s="24">
        <v>41091</v>
      </c>
      <c r="M109" s="24">
        <v>41068</v>
      </c>
      <c r="N109" s="22" t="s">
        <v>1366</v>
      </c>
      <c r="O109">
        <v>9130417</v>
      </c>
      <c r="P109" s="22">
        <v>1025</v>
      </c>
      <c r="Q109" s="22">
        <v>42</v>
      </c>
      <c r="R109" s="22" t="s">
        <v>2274</v>
      </c>
      <c r="S109" s="102"/>
      <c r="T109" s="4"/>
      <c r="U109" s="94"/>
      <c r="V109" s="4"/>
      <c r="W109" s="128"/>
      <c r="X109" s="74"/>
      <c r="Y109" s="28" t="e">
        <v>#REF!</v>
      </c>
      <c r="Z109" s="9"/>
      <c r="AA109" s="24" t="s">
        <v>392</v>
      </c>
      <c r="AB109" s="28">
        <v>41179</v>
      </c>
    </row>
    <row r="110" spans="1:28" ht="14.25" customHeight="1" x14ac:dyDescent="0.4">
      <c r="A110">
        <v>271</v>
      </c>
      <c r="B110" s="22">
        <v>0</v>
      </c>
      <c r="C110" s="22">
        <v>0</v>
      </c>
      <c r="D110" s="22">
        <v>0</v>
      </c>
      <c r="E110" s="24">
        <v>41150</v>
      </c>
      <c r="F110" s="24" t="s">
        <v>393</v>
      </c>
      <c r="G110" s="24">
        <v>41151</v>
      </c>
      <c r="H110" s="37">
        <v>91</v>
      </c>
      <c r="I110" s="23">
        <v>41122</v>
      </c>
      <c r="J110" s="37">
        <v>59</v>
      </c>
      <c r="K110" s="24" t="s">
        <v>2129</v>
      </c>
      <c r="L110" s="24">
        <v>41153</v>
      </c>
      <c r="M110" s="24">
        <v>41068</v>
      </c>
      <c r="N110" s="22" t="s">
        <v>1366</v>
      </c>
      <c r="O110">
        <v>9130422</v>
      </c>
      <c r="P110" s="22">
        <v>720</v>
      </c>
      <c r="Q110" s="22">
        <v>42</v>
      </c>
      <c r="R110" s="22" t="s">
        <v>2275</v>
      </c>
      <c r="S110" s="1" t="s">
        <v>606</v>
      </c>
      <c r="T110" s="4" t="s">
        <v>404</v>
      </c>
      <c r="U110" s="94">
        <v>41180</v>
      </c>
      <c r="V110" s="4"/>
      <c r="W110" s="164"/>
      <c r="X110" s="74"/>
      <c r="Y110" s="28" t="e">
        <v>#REF!</v>
      </c>
      <c r="Z110" s="28"/>
      <c r="AA110" s="24" t="s">
        <v>393</v>
      </c>
      <c r="AB110" s="28">
        <v>41151</v>
      </c>
    </row>
    <row r="111" spans="1:28" ht="14.25" customHeight="1" x14ac:dyDescent="0.4">
      <c r="A111">
        <v>280</v>
      </c>
      <c r="B111" s="22">
        <v>0</v>
      </c>
      <c r="C111" s="22" t="s">
        <v>2165</v>
      </c>
      <c r="D111" s="22">
        <v>0</v>
      </c>
      <c r="E111" s="24">
        <v>0</v>
      </c>
      <c r="F111" s="24">
        <v>0</v>
      </c>
      <c r="G111" s="24">
        <v>0</v>
      </c>
      <c r="H111" s="37">
        <v>303</v>
      </c>
      <c r="I111" s="23">
        <v>41244</v>
      </c>
      <c r="J111" s="37">
        <v>25</v>
      </c>
      <c r="K111" s="24" t="s">
        <v>2129</v>
      </c>
      <c r="L111" s="24">
        <v>41244</v>
      </c>
      <c r="M111" s="24">
        <v>41068</v>
      </c>
      <c r="N111" s="22" t="s">
        <v>1366</v>
      </c>
      <c r="O111">
        <v>9130432</v>
      </c>
      <c r="P111" s="22">
        <v>1025</v>
      </c>
      <c r="Q111" s="22">
        <v>50</v>
      </c>
      <c r="R111" s="22" t="s">
        <v>2276</v>
      </c>
      <c r="S111" s="102"/>
      <c r="T111" s="4"/>
      <c r="U111" s="94"/>
      <c r="V111" s="4"/>
      <c r="W111" s="164"/>
      <c r="X111" s="74"/>
      <c r="Y111" s="28" t="e">
        <v>#REF!</v>
      </c>
      <c r="Z111" s="9"/>
      <c r="AA111" s="24">
        <v>0</v>
      </c>
      <c r="AB111" s="28">
        <v>0</v>
      </c>
    </row>
    <row r="112" spans="1:28" ht="14.25" customHeight="1" x14ac:dyDescent="0.4">
      <c r="A112">
        <v>282</v>
      </c>
      <c r="B112" s="22">
        <v>0</v>
      </c>
      <c r="C112" s="22" t="s">
        <v>2102</v>
      </c>
      <c r="D112" s="22">
        <v>0</v>
      </c>
      <c r="E112" s="24">
        <v>0</v>
      </c>
      <c r="F112" s="24">
        <v>0</v>
      </c>
      <c r="G112" s="24">
        <v>0</v>
      </c>
      <c r="H112" s="37">
        <v>282</v>
      </c>
      <c r="I112" s="23">
        <v>41244</v>
      </c>
      <c r="J112" s="37">
        <v>4</v>
      </c>
      <c r="K112" s="24" t="s">
        <v>2129</v>
      </c>
      <c r="L112" s="24">
        <v>41244</v>
      </c>
      <c r="M112" s="24">
        <v>41068</v>
      </c>
      <c r="N112" s="22" t="s">
        <v>1366</v>
      </c>
      <c r="O112">
        <v>9130436</v>
      </c>
      <c r="P112" s="22">
        <v>1220</v>
      </c>
      <c r="Q112" s="22">
        <v>50</v>
      </c>
      <c r="R112" s="22" t="s">
        <v>2277</v>
      </c>
      <c r="S112" s="102"/>
      <c r="T112" s="4"/>
      <c r="U112" s="94"/>
      <c r="V112" s="4"/>
      <c r="W112" s="92"/>
      <c r="X112" s="74"/>
      <c r="Y112" s="28" t="e">
        <v>#REF!</v>
      </c>
      <c r="Z112" s="28"/>
      <c r="AA112" s="24">
        <v>0</v>
      </c>
      <c r="AB112" s="28">
        <v>0</v>
      </c>
    </row>
    <row r="113" spans="1:28" ht="14.25" customHeight="1" x14ac:dyDescent="0.4">
      <c r="A113">
        <v>283</v>
      </c>
      <c r="B113" s="22">
        <v>0</v>
      </c>
      <c r="C113" s="22" t="s">
        <v>2165</v>
      </c>
      <c r="D113" s="22">
        <v>0</v>
      </c>
      <c r="E113" s="24">
        <v>0</v>
      </c>
      <c r="F113" s="24">
        <v>0</v>
      </c>
      <c r="G113" s="24">
        <v>0</v>
      </c>
      <c r="H113" s="37">
        <v>304</v>
      </c>
      <c r="I113" s="23">
        <v>41244</v>
      </c>
      <c r="J113" s="37">
        <v>26</v>
      </c>
      <c r="K113" s="24" t="s">
        <v>2129</v>
      </c>
      <c r="L113" s="24">
        <v>41244</v>
      </c>
      <c r="M113" s="24">
        <v>41068</v>
      </c>
      <c r="N113" s="22" t="s">
        <v>1366</v>
      </c>
      <c r="O113">
        <v>9130437</v>
      </c>
      <c r="P113" s="22">
        <v>1025</v>
      </c>
      <c r="Q113" s="22">
        <v>50</v>
      </c>
      <c r="R113" s="22" t="s">
        <v>2278</v>
      </c>
      <c r="S113" s="102"/>
      <c r="T113" s="4"/>
      <c r="U113" s="94"/>
      <c r="V113" s="4"/>
      <c r="X113" s="74"/>
      <c r="Y113" s="28" t="e">
        <v>#REF!</v>
      </c>
      <c r="Z113" s="28"/>
      <c r="AA113" s="24">
        <v>0</v>
      </c>
      <c r="AB113" s="28">
        <v>0</v>
      </c>
    </row>
    <row r="114" spans="1:28" ht="14.25" customHeight="1" x14ac:dyDescent="0.4">
      <c r="A114">
        <v>585</v>
      </c>
      <c r="B114" s="22">
        <v>0</v>
      </c>
      <c r="C114" s="22">
        <v>0</v>
      </c>
      <c r="D114" s="22">
        <v>0</v>
      </c>
      <c r="E114" s="24">
        <v>0</v>
      </c>
      <c r="F114" s="24">
        <v>0</v>
      </c>
      <c r="G114" s="24">
        <v>0</v>
      </c>
      <c r="H114" s="37">
        <v>305</v>
      </c>
      <c r="I114" s="23">
        <v>41244</v>
      </c>
      <c r="J114" s="37">
        <v>27</v>
      </c>
      <c r="K114" s="24" t="s">
        <v>2129</v>
      </c>
      <c r="L114" s="24">
        <v>41244</v>
      </c>
      <c r="M114" s="24">
        <v>41068</v>
      </c>
      <c r="N114" s="22" t="s">
        <v>1366</v>
      </c>
      <c r="O114">
        <v>9130438</v>
      </c>
      <c r="P114" s="22">
        <v>1025</v>
      </c>
      <c r="Q114" s="22">
        <v>42</v>
      </c>
      <c r="R114" s="22" t="s">
        <v>2279</v>
      </c>
      <c r="S114" s="3" t="s">
        <v>1865</v>
      </c>
      <c r="T114" s="4" t="s">
        <v>404</v>
      </c>
      <c r="U114" s="80">
        <v>41180</v>
      </c>
      <c r="V114" s="4"/>
      <c r="W114" s="43"/>
      <c r="AA114" s="24">
        <v>0</v>
      </c>
      <c r="AB114" s="28">
        <v>0</v>
      </c>
    </row>
    <row r="115" spans="1:28" ht="14.25" customHeight="1" x14ac:dyDescent="0.4">
      <c r="A115">
        <v>577</v>
      </c>
      <c r="B115" s="22">
        <v>0</v>
      </c>
      <c r="C115" s="22" t="s">
        <v>2165</v>
      </c>
      <c r="D115" s="22">
        <v>0</v>
      </c>
      <c r="E115" s="24">
        <v>0</v>
      </c>
      <c r="F115" s="24">
        <v>0</v>
      </c>
      <c r="G115" s="24">
        <v>0</v>
      </c>
      <c r="H115" s="37">
        <v>367</v>
      </c>
      <c r="I115" s="23">
        <v>41275</v>
      </c>
      <c r="J115" s="37">
        <v>38</v>
      </c>
      <c r="K115" s="24" t="s">
        <v>2129</v>
      </c>
      <c r="L115" s="24">
        <v>41275</v>
      </c>
      <c r="M115" s="24">
        <v>41068</v>
      </c>
      <c r="N115" s="22" t="s">
        <v>1366</v>
      </c>
      <c r="O115">
        <v>9130439</v>
      </c>
      <c r="P115" s="22">
        <v>1025</v>
      </c>
      <c r="Q115" s="22">
        <v>50</v>
      </c>
      <c r="R115" s="22" t="s">
        <v>2280</v>
      </c>
      <c r="T115" s="4"/>
      <c r="U115" s="154"/>
      <c r="V115" s="4"/>
      <c r="W115" s="94"/>
      <c r="Y115" s="28" t="e">
        <v>#REF!</v>
      </c>
      <c r="AA115" s="24">
        <v>0</v>
      </c>
      <c r="AB115" s="28">
        <v>0</v>
      </c>
    </row>
    <row r="116" spans="1:28" ht="14.25" customHeight="1" x14ac:dyDescent="0.4">
      <c r="A116">
        <v>288</v>
      </c>
      <c r="B116" s="22">
        <v>0</v>
      </c>
      <c r="C116" s="22">
        <v>0</v>
      </c>
      <c r="D116" s="22">
        <v>0</v>
      </c>
      <c r="E116" s="24">
        <v>0</v>
      </c>
      <c r="F116" s="24">
        <v>0</v>
      </c>
      <c r="G116" s="24">
        <v>0</v>
      </c>
      <c r="H116" s="37">
        <v>368</v>
      </c>
      <c r="I116" s="23">
        <v>41275</v>
      </c>
      <c r="J116" s="37">
        <v>39</v>
      </c>
      <c r="K116" s="24" t="s">
        <v>2129</v>
      </c>
      <c r="L116" s="24">
        <v>41275</v>
      </c>
      <c r="M116" s="24">
        <v>41068</v>
      </c>
      <c r="N116" s="22" t="s">
        <v>1366</v>
      </c>
      <c r="O116">
        <v>9130440</v>
      </c>
      <c r="P116" s="22">
        <v>1025</v>
      </c>
      <c r="Q116" s="22">
        <v>42</v>
      </c>
      <c r="R116" s="22" t="s">
        <v>2281</v>
      </c>
      <c r="T116" s="4"/>
      <c r="U116" s="164"/>
      <c r="V116" s="4"/>
      <c r="W116" s="42"/>
      <c r="X116" s="74"/>
      <c r="Y116" s="28" t="e">
        <v>#REF!</v>
      </c>
      <c r="Z116" s="9"/>
      <c r="AA116" s="24">
        <v>0</v>
      </c>
      <c r="AB116" s="28">
        <v>0</v>
      </c>
    </row>
    <row r="117" spans="1:28" ht="14.25" customHeight="1" x14ac:dyDescent="0.4">
      <c r="A117">
        <v>292</v>
      </c>
      <c r="B117" s="24">
        <v>0</v>
      </c>
      <c r="C117" s="24">
        <v>0</v>
      </c>
      <c r="D117" s="24">
        <v>0</v>
      </c>
      <c r="E117" s="24">
        <v>0</v>
      </c>
      <c r="F117" s="24">
        <v>0</v>
      </c>
      <c r="G117" s="24">
        <v>0</v>
      </c>
      <c r="H117" s="37">
        <v>445</v>
      </c>
      <c r="I117" s="23">
        <v>41306</v>
      </c>
      <c r="J117" s="37">
        <v>50</v>
      </c>
      <c r="K117" s="24" t="s">
        <v>2129</v>
      </c>
      <c r="L117" s="24">
        <v>41306</v>
      </c>
      <c r="M117" s="24">
        <v>41068</v>
      </c>
      <c r="N117" s="22" t="s">
        <v>1366</v>
      </c>
      <c r="O117">
        <v>9130445</v>
      </c>
      <c r="P117" s="22">
        <v>720</v>
      </c>
      <c r="Q117" s="22">
        <v>42</v>
      </c>
      <c r="R117" s="22" t="s">
        <v>2282</v>
      </c>
      <c r="S117" s="47"/>
      <c r="T117" s="4"/>
      <c r="U117" s="88"/>
      <c r="V117" s="4"/>
      <c r="W117" s="89"/>
      <c r="Y117" s="28" t="e">
        <v>#REF!</v>
      </c>
      <c r="AA117" s="24">
        <v>0</v>
      </c>
      <c r="AB117" s="28">
        <v>0</v>
      </c>
    </row>
    <row r="118" spans="1:28" ht="14.25" customHeight="1" x14ac:dyDescent="0.4">
      <c r="A118">
        <v>293</v>
      </c>
      <c r="B118" s="24">
        <v>0</v>
      </c>
      <c r="C118" s="24">
        <v>0</v>
      </c>
      <c r="D118" s="24">
        <v>0</v>
      </c>
      <c r="E118" s="24">
        <v>0</v>
      </c>
      <c r="F118" s="24">
        <v>0</v>
      </c>
      <c r="G118" s="24">
        <v>0</v>
      </c>
      <c r="H118" s="37">
        <v>446</v>
      </c>
      <c r="I118" s="23">
        <v>41306</v>
      </c>
      <c r="J118" s="37">
        <v>51</v>
      </c>
      <c r="K118" s="24" t="s">
        <v>2129</v>
      </c>
      <c r="L118" s="24">
        <v>41306</v>
      </c>
      <c r="M118" s="24">
        <v>41068</v>
      </c>
      <c r="N118" s="22" t="s">
        <v>1366</v>
      </c>
      <c r="O118">
        <v>9130447</v>
      </c>
      <c r="P118" s="22">
        <v>720</v>
      </c>
      <c r="Q118" s="22">
        <v>42</v>
      </c>
      <c r="R118" s="22" t="s">
        <v>2283</v>
      </c>
      <c r="S118" s="47"/>
      <c r="T118" s="4"/>
      <c r="U118" s="88"/>
      <c r="V118" s="4"/>
      <c r="W118" s="89"/>
      <c r="Y118" s="28" t="e">
        <v>#REF!</v>
      </c>
      <c r="AA118" s="24">
        <v>0</v>
      </c>
      <c r="AB118" s="28">
        <v>0</v>
      </c>
    </row>
    <row r="119" spans="1:28" ht="14.25" customHeight="1" x14ac:dyDescent="0.4">
      <c r="A119">
        <v>295</v>
      </c>
      <c r="B119" s="22">
        <v>0</v>
      </c>
      <c r="C119" s="22">
        <v>0</v>
      </c>
      <c r="D119" s="22">
        <v>0</v>
      </c>
      <c r="E119" s="24">
        <v>0</v>
      </c>
      <c r="F119" s="24">
        <v>0</v>
      </c>
      <c r="G119" s="24">
        <v>0</v>
      </c>
      <c r="H119" s="37">
        <v>424</v>
      </c>
      <c r="I119" s="23">
        <v>41306</v>
      </c>
      <c r="J119" s="37">
        <v>29</v>
      </c>
      <c r="K119" s="24" t="s">
        <v>2129</v>
      </c>
      <c r="L119" s="24">
        <v>41306</v>
      </c>
      <c r="M119" s="24">
        <v>41068</v>
      </c>
      <c r="N119" s="22" t="s">
        <v>1366</v>
      </c>
      <c r="O119">
        <v>9130450</v>
      </c>
      <c r="P119" s="22">
        <v>1025</v>
      </c>
      <c r="Q119" s="22">
        <v>42</v>
      </c>
      <c r="R119" s="22" t="s">
        <v>2284</v>
      </c>
      <c r="S119" s="47"/>
      <c r="T119" s="4"/>
      <c r="U119" s="88"/>
      <c r="V119" s="4"/>
      <c r="W119" s="89"/>
      <c r="Y119" s="28" t="e">
        <v>#REF!</v>
      </c>
      <c r="Z119" s="28"/>
      <c r="AA119" s="24">
        <v>0</v>
      </c>
      <c r="AB119" s="28">
        <v>0</v>
      </c>
    </row>
    <row r="120" spans="1:28" ht="14.25" customHeight="1" x14ac:dyDescent="0.4">
      <c r="A120">
        <v>296</v>
      </c>
      <c r="B120" s="22">
        <v>0</v>
      </c>
      <c r="C120" s="22" t="s">
        <v>2102</v>
      </c>
      <c r="D120" s="22">
        <v>0</v>
      </c>
      <c r="E120" s="24">
        <v>0</v>
      </c>
      <c r="F120" s="24">
        <v>0</v>
      </c>
      <c r="G120" s="24">
        <v>0</v>
      </c>
      <c r="H120" s="37">
        <v>425</v>
      </c>
      <c r="I120" s="23">
        <v>41306</v>
      </c>
      <c r="J120" s="37">
        <v>30</v>
      </c>
      <c r="K120" s="24" t="s">
        <v>2129</v>
      </c>
      <c r="L120" s="24">
        <v>41306</v>
      </c>
      <c r="M120" s="24">
        <v>41068</v>
      </c>
      <c r="N120" s="22" t="s">
        <v>1366</v>
      </c>
      <c r="O120">
        <v>9130452</v>
      </c>
      <c r="P120" s="22">
        <v>1025</v>
      </c>
      <c r="Q120" s="22">
        <v>42</v>
      </c>
      <c r="R120" s="22" t="s">
        <v>2285</v>
      </c>
      <c r="S120" s="47"/>
      <c r="T120" s="4"/>
      <c r="U120" s="88"/>
      <c r="V120" s="4"/>
      <c r="W120" s="89"/>
      <c r="X120" s="74"/>
      <c r="Y120" s="28" t="e">
        <v>#REF!</v>
      </c>
      <c r="Z120" s="9"/>
      <c r="AA120" s="24">
        <v>0</v>
      </c>
      <c r="AB120" s="28">
        <v>0</v>
      </c>
    </row>
    <row r="121" spans="1:28" ht="14.25" customHeight="1" x14ac:dyDescent="0.4">
      <c r="A121">
        <v>297</v>
      </c>
      <c r="B121" s="22">
        <v>0</v>
      </c>
      <c r="C121" s="22" t="s">
        <v>2102</v>
      </c>
      <c r="D121" s="22">
        <v>0</v>
      </c>
      <c r="E121" s="24">
        <v>0</v>
      </c>
      <c r="F121" s="24">
        <v>0</v>
      </c>
      <c r="G121" s="24">
        <v>0</v>
      </c>
      <c r="H121" s="37">
        <v>480</v>
      </c>
      <c r="I121" s="23">
        <v>41334</v>
      </c>
      <c r="J121" s="37">
        <v>26</v>
      </c>
      <c r="K121" s="24" t="s">
        <v>2129</v>
      </c>
      <c r="L121" s="24">
        <v>41334</v>
      </c>
      <c r="M121" s="24">
        <v>41068</v>
      </c>
      <c r="N121" s="22" t="s">
        <v>1366</v>
      </c>
      <c r="O121">
        <v>9130453</v>
      </c>
      <c r="P121" s="22">
        <v>1025</v>
      </c>
      <c r="Q121" s="22">
        <v>50</v>
      </c>
      <c r="R121" s="22" t="s">
        <v>2286</v>
      </c>
      <c r="S121" s="47"/>
      <c r="T121" s="4"/>
      <c r="U121" s="88"/>
      <c r="V121" s="4"/>
      <c r="W121" s="89"/>
      <c r="X121" s="74"/>
      <c r="Y121" s="28" t="e">
        <v>#REF!</v>
      </c>
      <c r="Z121" s="9"/>
      <c r="AA121" s="24">
        <v>0</v>
      </c>
      <c r="AB121" s="28">
        <v>0</v>
      </c>
    </row>
    <row r="122" spans="1:28" ht="14.25" customHeight="1" x14ac:dyDescent="0.4">
      <c r="A122">
        <v>298</v>
      </c>
      <c r="B122" s="24">
        <v>0</v>
      </c>
      <c r="C122" s="24">
        <v>0</v>
      </c>
      <c r="D122" s="24">
        <v>0</v>
      </c>
      <c r="E122" s="24">
        <v>0</v>
      </c>
      <c r="F122" s="24">
        <v>0</v>
      </c>
      <c r="G122" s="24">
        <v>0</v>
      </c>
      <c r="H122" s="37">
        <v>481</v>
      </c>
      <c r="I122" s="23">
        <v>41334</v>
      </c>
      <c r="J122" s="37">
        <v>27</v>
      </c>
      <c r="K122" s="24" t="s">
        <v>2129</v>
      </c>
      <c r="L122" s="24">
        <v>41334</v>
      </c>
      <c r="M122" s="24">
        <v>41068</v>
      </c>
      <c r="N122" s="22" t="s">
        <v>1366</v>
      </c>
      <c r="O122">
        <v>9130455</v>
      </c>
      <c r="P122" s="22">
        <v>1025</v>
      </c>
      <c r="Q122" s="22">
        <v>42</v>
      </c>
      <c r="R122" s="22" t="s">
        <v>2287</v>
      </c>
      <c r="S122" s="47"/>
      <c r="T122" s="4"/>
      <c r="U122" s="88"/>
      <c r="V122" s="4"/>
      <c r="W122" s="89"/>
      <c r="X122" s="74"/>
      <c r="Y122" s="28" t="e">
        <v>#REF!</v>
      </c>
      <c r="Z122" s="9"/>
      <c r="AA122" s="24">
        <v>0</v>
      </c>
      <c r="AB122" s="28">
        <v>0</v>
      </c>
    </row>
    <row r="123" spans="1:28" ht="14.25" customHeight="1" x14ac:dyDescent="0.4">
      <c r="A123">
        <v>299</v>
      </c>
      <c r="B123" s="24">
        <v>0</v>
      </c>
      <c r="C123" s="24">
        <v>0</v>
      </c>
      <c r="D123" s="24">
        <v>0</v>
      </c>
      <c r="E123" s="24">
        <v>0</v>
      </c>
      <c r="F123" s="24">
        <v>0</v>
      </c>
      <c r="G123" s="24">
        <v>0</v>
      </c>
      <c r="H123" s="37">
        <v>463</v>
      </c>
      <c r="I123" s="23">
        <v>41334</v>
      </c>
      <c r="J123" s="37">
        <v>9</v>
      </c>
      <c r="K123" s="24" t="s">
        <v>2129</v>
      </c>
      <c r="L123" s="24">
        <v>41334</v>
      </c>
      <c r="M123" s="24">
        <v>41068</v>
      </c>
      <c r="N123" s="22" t="s">
        <v>1366</v>
      </c>
      <c r="O123">
        <v>9130456</v>
      </c>
      <c r="P123" s="22">
        <v>1220</v>
      </c>
      <c r="Q123" s="22">
        <v>50</v>
      </c>
      <c r="R123" s="22" t="s">
        <v>2288</v>
      </c>
      <c r="S123" s="47"/>
      <c r="T123" s="4"/>
      <c r="U123" s="88"/>
      <c r="V123" s="4"/>
      <c r="W123" s="89"/>
      <c r="X123" s="74"/>
      <c r="Y123" s="28" t="e">
        <v>#REF!</v>
      </c>
      <c r="Z123" s="9"/>
      <c r="AA123" s="24">
        <v>0</v>
      </c>
      <c r="AB123" s="28">
        <v>0</v>
      </c>
    </row>
    <row r="124" spans="1:28" ht="14.25" customHeight="1" x14ac:dyDescent="0.4">
      <c r="A124">
        <v>300</v>
      </c>
      <c r="B124" s="24">
        <v>0</v>
      </c>
      <c r="C124" s="24">
        <v>0</v>
      </c>
      <c r="D124" s="24">
        <v>0</v>
      </c>
      <c r="E124" s="24">
        <v>0</v>
      </c>
      <c r="F124" s="24">
        <v>0</v>
      </c>
      <c r="G124" s="24">
        <v>0</v>
      </c>
      <c r="H124" s="37">
        <v>482</v>
      </c>
      <c r="I124" s="23">
        <v>41334</v>
      </c>
      <c r="J124" s="37">
        <v>28</v>
      </c>
      <c r="K124" s="24" t="s">
        <v>2129</v>
      </c>
      <c r="L124" s="24">
        <v>41334</v>
      </c>
      <c r="M124" s="24">
        <v>41068</v>
      </c>
      <c r="N124" s="22" t="s">
        <v>1366</v>
      </c>
      <c r="O124">
        <v>9130457</v>
      </c>
      <c r="P124" s="22">
        <v>1025</v>
      </c>
      <c r="Q124" s="22">
        <v>42</v>
      </c>
      <c r="R124" s="22" t="s">
        <v>2289</v>
      </c>
      <c r="S124" s="47"/>
      <c r="T124" s="4"/>
      <c r="U124" s="88"/>
      <c r="V124" s="4"/>
      <c r="W124" s="89"/>
      <c r="X124" s="74"/>
      <c r="Y124" s="28" t="e">
        <v>#REF!</v>
      </c>
      <c r="Z124" s="9"/>
      <c r="AA124" s="24">
        <v>0</v>
      </c>
      <c r="AB124" s="28">
        <v>0</v>
      </c>
    </row>
    <row r="125" spans="1:28" ht="14.25" customHeight="1" x14ac:dyDescent="0.4">
      <c r="A125">
        <v>301</v>
      </c>
      <c r="B125" s="24">
        <v>0</v>
      </c>
      <c r="C125" s="24">
        <v>0</v>
      </c>
      <c r="D125" s="24">
        <v>0</v>
      </c>
      <c r="E125" s="24">
        <v>0</v>
      </c>
      <c r="F125" s="24">
        <v>0</v>
      </c>
      <c r="G125" s="24">
        <v>0</v>
      </c>
      <c r="H125" s="37">
        <v>526</v>
      </c>
      <c r="I125" s="23">
        <v>41365</v>
      </c>
      <c r="J125" s="37">
        <v>15</v>
      </c>
      <c r="K125" s="24" t="s">
        <v>2129</v>
      </c>
      <c r="L125" s="24">
        <v>41365</v>
      </c>
      <c r="M125" s="24">
        <v>41068</v>
      </c>
      <c r="N125" s="22" t="s">
        <v>1366</v>
      </c>
      <c r="O125">
        <v>9130458</v>
      </c>
      <c r="P125" s="22">
        <v>1025</v>
      </c>
      <c r="Q125" s="22">
        <v>50</v>
      </c>
      <c r="R125" s="22" t="s">
        <v>2290</v>
      </c>
      <c r="S125" s="47"/>
      <c r="T125" s="4"/>
      <c r="U125" s="88"/>
      <c r="V125" s="4"/>
      <c r="W125" s="89"/>
      <c r="X125" s="74"/>
      <c r="Y125" s="28" t="e">
        <v>#REF!</v>
      </c>
      <c r="Z125" s="9"/>
      <c r="AA125" s="24">
        <v>0</v>
      </c>
      <c r="AB125" s="28">
        <v>0</v>
      </c>
    </row>
    <row r="126" spans="1:28" ht="14.25" customHeight="1" x14ac:dyDescent="0.4">
      <c r="A126">
        <v>303</v>
      </c>
      <c r="B126" s="22">
        <v>0</v>
      </c>
      <c r="C126" s="22">
        <v>0</v>
      </c>
      <c r="D126" s="22">
        <v>0</v>
      </c>
      <c r="E126" s="24">
        <v>0</v>
      </c>
      <c r="F126" s="24">
        <v>0</v>
      </c>
      <c r="G126" s="24">
        <v>0</v>
      </c>
      <c r="H126" s="37">
        <v>527</v>
      </c>
      <c r="I126" s="23">
        <v>41365</v>
      </c>
      <c r="J126" s="37">
        <v>16</v>
      </c>
      <c r="K126" s="24" t="s">
        <v>2129</v>
      </c>
      <c r="L126" s="24">
        <v>41365</v>
      </c>
      <c r="M126" s="24">
        <v>41068</v>
      </c>
      <c r="N126" s="22" t="s">
        <v>1366</v>
      </c>
      <c r="O126">
        <v>9130461</v>
      </c>
      <c r="P126" s="22">
        <v>1025</v>
      </c>
      <c r="Q126" s="22">
        <v>50</v>
      </c>
      <c r="R126" s="22" t="s">
        <v>2291</v>
      </c>
      <c r="S126" s="47"/>
      <c r="T126" s="4"/>
      <c r="U126" s="88"/>
      <c r="V126" s="4"/>
      <c r="W126" s="89"/>
      <c r="Y126" s="28" t="e">
        <v>#REF!</v>
      </c>
      <c r="Z126" s="28"/>
      <c r="AA126" s="24">
        <v>0</v>
      </c>
      <c r="AB126" s="28">
        <v>0</v>
      </c>
    </row>
    <row r="127" spans="1:28" ht="14.25" customHeight="1" x14ac:dyDescent="0.4">
      <c r="A127">
        <v>304</v>
      </c>
      <c r="B127" s="22">
        <v>0</v>
      </c>
      <c r="C127" s="22">
        <v>0</v>
      </c>
      <c r="D127" s="22">
        <v>0</v>
      </c>
      <c r="E127" s="24">
        <v>0</v>
      </c>
      <c r="F127" s="24">
        <v>0</v>
      </c>
      <c r="G127" s="24">
        <v>0</v>
      </c>
      <c r="H127" s="37">
        <v>528</v>
      </c>
      <c r="I127" s="23">
        <v>41365</v>
      </c>
      <c r="J127" s="37">
        <v>17</v>
      </c>
      <c r="K127" s="24" t="s">
        <v>2129</v>
      </c>
      <c r="L127" s="24">
        <v>41365</v>
      </c>
      <c r="M127" s="24">
        <v>41068</v>
      </c>
      <c r="N127" s="22" t="s">
        <v>1366</v>
      </c>
      <c r="O127">
        <v>9130464</v>
      </c>
      <c r="P127" s="22">
        <v>1025</v>
      </c>
      <c r="Q127" s="22">
        <v>42</v>
      </c>
      <c r="R127" s="22" t="s">
        <v>2292</v>
      </c>
      <c r="S127" s="47"/>
      <c r="T127" s="4"/>
      <c r="U127" s="88"/>
      <c r="V127" s="4"/>
      <c r="W127" s="89"/>
      <c r="X127" s="74"/>
      <c r="Y127" s="28" t="e">
        <v>#REF!</v>
      </c>
      <c r="Z127" s="9"/>
      <c r="AA127" s="24">
        <v>0</v>
      </c>
      <c r="AB127" s="28">
        <v>0</v>
      </c>
    </row>
    <row r="128" spans="1:28" ht="14.25" customHeight="1" x14ac:dyDescent="0.4">
      <c r="A128">
        <v>305</v>
      </c>
      <c r="B128" s="22">
        <v>0</v>
      </c>
      <c r="C128" s="22" t="s">
        <v>2102</v>
      </c>
      <c r="D128" s="22">
        <v>0</v>
      </c>
      <c r="E128" s="24">
        <v>0</v>
      </c>
      <c r="F128" s="24">
        <v>0</v>
      </c>
      <c r="G128" s="24">
        <v>0</v>
      </c>
      <c r="H128" s="37">
        <v>530</v>
      </c>
      <c r="I128" s="23">
        <v>41365</v>
      </c>
      <c r="J128" s="37">
        <v>19</v>
      </c>
      <c r="K128" s="24" t="s">
        <v>2129</v>
      </c>
      <c r="L128" s="24">
        <v>41365</v>
      </c>
      <c r="M128" s="24">
        <v>41068</v>
      </c>
      <c r="N128" s="22" t="s">
        <v>1366</v>
      </c>
      <c r="O128">
        <v>9130465</v>
      </c>
      <c r="P128" s="22">
        <v>720</v>
      </c>
      <c r="Q128" s="22">
        <v>42</v>
      </c>
      <c r="R128" s="22" t="s">
        <v>2293</v>
      </c>
      <c r="S128" s="47"/>
      <c r="T128" s="4"/>
      <c r="U128" s="88"/>
      <c r="V128" s="4"/>
      <c r="W128" s="89"/>
      <c r="X128" s="74"/>
      <c r="Y128" s="28" t="e">
        <v>#REF!</v>
      </c>
      <c r="Z128" s="9"/>
      <c r="AA128" s="24">
        <v>0</v>
      </c>
      <c r="AB128" s="28">
        <v>0</v>
      </c>
    </row>
    <row r="129" spans="1:28" ht="14.25" customHeight="1" x14ac:dyDescent="0.4">
      <c r="A129">
        <v>275</v>
      </c>
      <c r="B129" s="22">
        <v>0</v>
      </c>
      <c r="C129" s="22">
        <v>0</v>
      </c>
      <c r="D129" s="22">
        <v>0</v>
      </c>
      <c r="E129" s="24">
        <v>41170</v>
      </c>
      <c r="F129" s="24" t="s">
        <v>392</v>
      </c>
      <c r="G129" s="24">
        <v>41179</v>
      </c>
      <c r="H129" s="37">
        <v>129</v>
      </c>
      <c r="I129" s="23">
        <v>41153</v>
      </c>
      <c r="J129" s="37">
        <v>34</v>
      </c>
      <c r="K129" s="24" t="s">
        <v>2129</v>
      </c>
      <c r="L129" s="24">
        <v>0</v>
      </c>
      <c r="M129" s="24">
        <v>41143</v>
      </c>
      <c r="N129" s="22" t="s">
        <v>1366</v>
      </c>
      <c r="O129">
        <v>9130426</v>
      </c>
      <c r="P129" s="22">
        <v>1025</v>
      </c>
      <c r="Q129" s="22">
        <v>50</v>
      </c>
      <c r="R129" s="22" t="s">
        <v>2294</v>
      </c>
      <c r="S129" s="102"/>
      <c r="T129" s="4"/>
      <c r="U129" s="42"/>
      <c r="V129" s="4"/>
      <c r="W129" s="92"/>
      <c r="Y129" s="28" t="e">
        <v>#REF!</v>
      </c>
      <c r="Z129" s="28"/>
      <c r="AA129" s="24" t="s">
        <v>392</v>
      </c>
      <c r="AB129" s="28">
        <v>41179</v>
      </c>
    </row>
    <row r="130" spans="1:28" ht="14.25" customHeight="1" x14ac:dyDescent="0.4">
      <c r="A130">
        <v>289</v>
      </c>
      <c r="B130" s="22">
        <v>0</v>
      </c>
      <c r="C130" s="22">
        <v>0</v>
      </c>
      <c r="D130" s="22">
        <v>0</v>
      </c>
      <c r="E130" s="24">
        <v>41172</v>
      </c>
      <c r="F130" s="24" t="s">
        <v>392</v>
      </c>
      <c r="G130" s="24">
        <v>41176</v>
      </c>
      <c r="H130" s="37">
        <v>134</v>
      </c>
      <c r="I130" s="23">
        <v>41153</v>
      </c>
      <c r="J130" s="37">
        <v>39</v>
      </c>
      <c r="K130" s="24" t="s">
        <v>2129</v>
      </c>
      <c r="L130" s="24">
        <v>0</v>
      </c>
      <c r="M130" s="24">
        <v>41143</v>
      </c>
      <c r="N130" s="22" t="s">
        <v>1366</v>
      </c>
      <c r="O130">
        <v>9130441</v>
      </c>
      <c r="P130" s="22">
        <v>720</v>
      </c>
      <c r="Q130" s="22">
        <v>42</v>
      </c>
      <c r="R130" s="22" t="s">
        <v>2295</v>
      </c>
      <c r="S130" s="47"/>
      <c r="T130" s="4"/>
      <c r="U130" s="88"/>
      <c r="V130" s="4"/>
      <c r="W130" s="89"/>
      <c r="X130" s="74"/>
      <c r="Y130" s="28" t="e">
        <v>#REF!</v>
      </c>
      <c r="Z130" s="28"/>
      <c r="AA130" s="24" t="s">
        <v>392</v>
      </c>
      <c r="AB130" s="28">
        <v>41176</v>
      </c>
    </row>
    <row r="131" spans="1:28" ht="14.25" customHeight="1" x14ac:dyDescent="0.4">
      <c r="A131">
        <v>276</v>
      </c>
      <c r="B131" s="22">
        <v>0</v>
      </c>
      <c r="C131" s="22" t="s">
        <v>2102</v>
      </c>
      <c r="D131" s="22">
        <v>0</v>
      </c>
      <c r="E131" s="24">
        <v>0</v>
      </c>
      <c r="F131" s="24">
        <v>0</v>
      </c>
      <c r="G131" s="24">
        <v>0</v>
      </c>
      <c r="H131" s="37">
        <v>189</v>
      </c>
      <c r="I131" s="23">
        <v>41183</v>
      </c>
      <c r="J131" s="37">
        <v>37</v>
      </c>
      <c r="K131" s="24" t="s">
        <v>2129</v>
      </c>
      <c r="L131" s="24">
        <v>0</v>
      </c>
      <c r="M131" s="24">
        <v>41142</v>
      </c>
      <c r="N131" s="22" t="s">
        <v>1366</v>
      </c>
      <c r="O131">
        <v>9130427</v>
      </c>
      <c r="P131" s="22">
        <v>1025</v>
      </c>
      <c r="Q131" s="22">
        <v>42</v>
      </c>
      <c r="R131" s="22" t="s">
        <v>2296</v>
      </c>
      <c r="S131" s="102"/>
      <c r="T131" s="4"/>
      <c r="U131" s="94"/>
      <c r="V131" s="4"/>
      <c r="W131" s="92"/>
      <c r="X131" s="74"/>
      <c r="Y131" s="28" t="e">
        <v>#REF!</v>
      </c>
      <c r="Z131" s="9"/>
      <c r="AA131" s="24">
        <v>0</v>
      </c>
      <c r="AB131" s="28">
        <v>0</v>
      </c>
    </row>
    <row r="132" spans="1:28" ht="14.25" customHeight="1" x14ac:dyDescent="0.4">
      <c r="A132">
        <v>269</v>
      </c>
      <c r="B132" s="22">
        <v>0</v>
      </c>
      <c r="C132" s="22" t="s">
        <v>2102</v>
      </c>
      <c r="D132" s="22">
        <v>0</v>
      </c>
      <c r="E132" s="24">
        <v>0</v>
      </c>
      <c r="F132" s="24">
        <v>0</v>
      </c>
      <c r="G132" s="24">
        <v>0</v>
      </c>
      <c r="H132" s="37">
        <v>275</v>
      </c>
      <c r="I132" s="23">
        <v>41214</v>
      </c>
      <c r="J132" s="37">
        <v>54</v>
      </c>
      <c r="K132" s="24" t="s">
        <v>2129</v>
      </c>
      <c r="L132" s="24">
        <v>41214</v>
      </c>
      <c r="M132" s="24">
        <v>41165</v>
      </c>
      <c r="N132" s="22" t="s">
        <v>1366</v>
      </c>
      <c r="O132">
        <v>9130419</v>
      </c>
      <c r="P132" s="22">
        <v>1025</v>
      </c>
      <c r="Q132" s="22">
        <v>50</v>
      </c>
      <c r="R132" s="22" t="s">
        <v>2297</v>
      </c>
      <c r="S132" s="102"/>
      <c r="T132" s="4"/>
      <c r="U132" s="42"/>
      <c r="V132" s="4"/>
      <c r="W132" s="157"/>
      <c r="X132" s="74"/>
      <c r="Y132" s="28" t="e">
        <v>#REF!</v>
      </c>
      <c r="Z132" s="28"/>
      <c r="AA132" s="24">
        <v>0</v>
      </c>
      <c r="AB132" s="28">
        <v>0</v>
      </c>
    </row>
    <row r="133" spans="1:28" ht="14.25" customHeight="1" x14ac:dyDescent="0.4">
      <c r="A133">
        <v>281</v>
      </c>
      <c r="B133" s="22">
        <v>0</v>
      </c>
      <c r="C133" s="22" t="s">
        <v>2102</v>
      </c>
      <c r="D133" s="22">
        <v>0</v>
      </c>
      <c r="E133" s="24">
        <v>0</v>
      </c>
      <c r="F133" s="24">
        <v>0</v>
      </c>
      <c r="G133" s="24">
        <v>0</v>
      </c>
      <c r="H133" s="37">
        <v>197</v>
      </c>
      <c r="I133" s="23">
        <v>41183</v>
      </c>
      <c r="J133" s="37">
        <v>45</v>
      </c>
      <c r="K133" s="24" t="s">
        <v>2129</v>
      </c>
      <c r="L133" s="24">
        <v>41244</v>
      </c>
      <c r="M133" s="24">
        <v>41163</v>
      </c>
      <c r="N133" s="22" t="s">
        <v>1366</v>
      </c>
      <c r="O133">
        <v>9130433</v>
      </c>
      <c r="P133" s="22">
        <v>720</v>
      </c>
      <c r="Q133" s="22">
        <v>42</v>
      </c>
      <c r="R133" s="22" t="s">
        <v>2298</v>
      </c>
      <c r="T133" s="4"/>
      <c r="U133" s="94"/>
      <c r="V133" s="4"/>
      <c r="W133" s="92"/>
      <c r="Y133" s="28" t="e">
        <v>#REF!</v>
      </c>
      <c r="Z133" s="28"/>
      <c r="AA133" s="24">
        <v>0</v>
      </c>
      <c r="AB133" s="28">
        <v>0</v>
      </c>
    </row>
    <row r="134" spans="1:28" ht="14.25" customHeight="1" x14ac:dyDescent="0.4">
      <c r="A134">
        <v>291</v>
      </c>
      <c r="B134" s="24">
        <v>0</v>
      </c>
      <c r="C134" s="24">
        <v>0</v>
      </c>
      <c r="D134" s="24">
        <v>0</v>
      </c>
      <c r="E134" s="24">
        <v>0</v>
      </c>
      <c r="F134" s="24">
        <v>0</v>
      </c>
      <c r="G134" s="24">
        <v>0</v>
      </c>
      <c r="H134" s="37">
        <v>276</v>
      </c>
      <c r="I134" s="23">
        <v>41214</v>
      </c>
      <c r="J134" s="37">
        <v>55</v>
      </c>
      <c r="K134" s="24" t="s">
        <v>2129</v>
      </c>
      <c r="L134" s="24">
        <v>41214</v>
      </c>
      <c r="M134" s="24">
        <v>41165</v>
      </c>
      <c r="N134" s="22" t="s">
        <v>1366</v>
      </c>
      <c r="O134">
        <v>9130444</v>
      </c>
      <c r="P134" s="22">
        <v>1025</v>
      </c>
      <c r="Q134" s="22">
        <v>50</v>
      </c>
      <c r="R134" s="22" t="s">
        <v>2299</v>
      </c>
      <c r="S134" s="47"/>
      <c r="T134" s="4"/>
      <c r="U134" s="88"/>
      <c r="V134" s="4"/>
      <c r="W134" s="89"/>
      <c r="Y134" s="28" t="e">
        <v>#REF!</v>
      </c>
      <c r="AA134" s="24">
        <v>0</v>
      </c>
      <c r="AB134" s="28">
        <v>0</v>
      </c>
    </row>
    <row r="135" spans="1:28" ht="14.25" customHeight="1" x14ac:dyDescent="0.4">
      <c r="A135">
        <v>302</v>
      </c>
      <c r="B135" s="22">
        <v>0</v>
      </c>
      <c r="C135" s="22" t="s">
        <v>2165</v>
      </c>
      <c r="D135" s="22">
        <v>0</v>
      </c>
      <c r="E135" s="24">
        <v>0</v>
      </c>
      <c r="F135" s="24">
        <v>0</v>
      </c>
      <c r="G135" s="24">
        <v>0</v>
      </c>
      <c r="H135" s="37">
        <v>531</v>
      </c>
      <c r="I135" s="23">
        <v>41395</v>
      </c>
      <c r="J135" s="37">
        <v>1</v>
      </c>
      <c r="K135" s="24" t="s">
        <v>2129</v>
      </c>
      <c r="L135" s="24">
        <v>41395</v>
      </c>
      <c r="M135" s="24">
        <v>41165</v>
      </c>
      <c r="N135" s="22" t="s">
        <v>1366</v>
      </c>
      <c r="O135">
        <v>9130460</v>
      </c>
      <c r="P135" s="22">
        <v>1025</v>
      </c>
      <c r="Q135" s="22">
        <v>42</v>
      </c>
      <c r="R135" s="22" t="s">
        <v>2300</v>
      </c>
      <c r="S135" s="47"/>
      <c r="T135" s="4"/>
      <c r="U135" s="88"/>
      <c r="V135" s="4"/>
      <c r="W135" s="89"/>
      <c r="X135" s="74"/>
      <c r="Y135" s="28" t="e">
        <v>#REF!</v>
      </c>
      <c r="Z135" s="28"/>
      <c r="AA135" s="24">
        <v>0</v>
      </c>
      <c r="AB135" s="28">
        <v>0</v>
      </c>
    </row>
    <row r="136" spans="1:28" ht="14.25" customHeight="1" x14ac:dyDescent="0.4">
      <c r="A136">
        <v>306</v>
      </c>
      <c r="B136" s="22">
        <v>0</v>
      </c>
      <c r="C136" s="22" t="s">
        <v>2165</v>
      </c>
      <c r="D136" s="22">
        <v>0</v>
      </c>
      <c r="E136" s="24">
        <v>0</v>
      </c>
      <c r="F136" s="24">
        <v>0</v>
      </c>
      <c r="G136" s="24">
        <v>0</v>
      </c>
      <c r="H136" s="37">
        <v>532</v>
      </c>
      <c r="I136" s="23">
        <v>41395</v>
      </c>
      <c r="J136" s="37">
        <v>2</v>
      </c>
      <c r="K136" s="24" t="s">
        <v>2129</v>
      </c>
      <c r="L136" s="24">
        <v>41395</v>
      </c>
      <c r="M136" s="24">
        <v>41165</v>
      </c>
      <c r="N136" s="22" t="s">
        <v>1366</v>
      </c>
      <c r="O136">
        <v>9130466</v>
      </c>
      <c r="P136" s="22">
        <v>1025</v>
      </c>
      <c r="Q136" s="22">
        <v>42</v>
      </c>
      <c r="R136" s="22" t="s">
        <v>2301</v>
      </c>
      <c r="S136" s="47"/>
      <c r="T136" s="4"/>
      <c r="U136" s="88"/>
      <c r="V136" s="4"/>
      <c r="W136" s="89"/>
      <c r="Y136" s="28" t="e">
        <v>#REF!</v>
      </c>
      <c r="Z136" s="9"/>
      <c r="AA136" s="24">
        <v>0</v>
      </c>
      <c r="AB136" s="28">
        <v>0</v>
      </c>
    </row>
    <row r="137" spans="1:28" ht="14.25" customHeight="1" x14ac:dyDescent="0.4">
      <c r="A137">
        <v>307</v>
      </c>
      <c r="B137" s="24">
        <v>0</v>
      </c>
      <c r="C137" s="24">
        <v>0</v>
      </c>
      <c r="D137" s="24">
        <v>0</v>
      </c>
      <c r="E137" s="24">
        <v>0</v>
      </c>
      <c r="F137" s="24">
        <v>0</v>
      </c>
      <c r="G137" s="24">
        <v>0</v>
      </c>
      <c r="H137" s="37">
        <v>198</v>
      </c>
      <c r="I137" s="23">
        <v>41183</v>
      </c>
      <c r="J137" s="37">
        <v>46</v>
      </c>
      <c r="K137" s="24" t="s">
        <v>2129</v>
      </c>
      <c r="L137" s="24">
        <v>41365</v>
      </c>
      <c r="M137" s="24">
        <v>41165</v>
      </c>
      <c r="N137" s="22" t="s">
        <v>1366</v>
      </c>
      <c r="O137">
        <v>9130471</v>
      </c>
      <c r="P137" s="22">
        <v>1025</v>
      </c>
      <c r="Q137" s="22">
        <v>50</v>
      </c>
      <c r="R137" s="22" t="s">
        <v>2302</v>
      </c>
      <c r="S137" s="47"/>
      <c r="T137" s="4"/>
      <c r="U137" s="88"/>
      <c r="V137" s="4"/>
      <c r="W137" s="89"/>
      <c r="X137" s="74">
        <v>0</v>
      </c>
      <c r="Y137" s="28" t="e">
        <v>#REF!</v>
      </c>
      <c r="Z137" s="9"/>
      <c r="AA137" s="24">
        <v>0</v>
      </c>
      <c r="AB137" s="28">
        <v>0</v>
      </c>
    </row>
    <row r="138" spans="1:28" ht="14.25" customHeight="1" x14ac:dyDescent="0.4">
      <c r="A138">
        <v>308</v>
      </c>
      <c r="B138" s="22">
        <v>0</v>
      </c>
      <c r="C138" s="22" t="s">
        <v>2165</v>
      </c>
      <c r="D138" s="22">
        <v>0</v>
      </c>
      <c r="E138" s="24">
        <v>0</v>
      </c>
      <c r="F138" s="24">
        <v>0</v>
      </c>
      <c r="G138" s="24">
        <v>0</v>
      </c>
      <c r="H138" s="37">
        <v>199</v>
      </c>
      <c r="I138" s="23">
        <v>41183</v>
      </c>
      <c r="J138" s="37">
        <v>47</v>
      </c>
      <c r="K138" s="24" t="s">
        <v>2129</v>
      </c>
      <c r="L138" s="24">
        <v>41244</v>
      </c>
      <c r="M138" s="24">
        <v>41163</v>
      </c>
      <c r="N138" s="22" t="s">
        <v>1366</v>
      </c>
      <c r="O138">
        <v>9130472</v>
      </c>
      <c r="P138" s="22">
        <v>720</v>
      </c>
      <c r="Q138" s="22">
        <v>42</v>
      </c>
      <c r="R138" s="22" t="s">
        <v>2303</v>
      </c>
      <c r="S138" s="47"/>
      <c r="T138" s="4"/>
      <c r="U138" s="88"/>
      <c r="V138" s="4"/>
      <c r="W138" s="89"/>
      <c r="Y138" s="28" t="e">
        <v>#REF!</v>
      </c>
      <c r="Z138" s="9"/>
      <c r="AA138" s="24">
        <v>0</v>
      </c>
      <c r="AB138" s="28">
        <v>0</v>
      </c>
    </row>
    <row r="139" spans="1:28" ht="14.25" customHeight="1" x14ac:dyDescent="0.4">
      <c r="A139">
        <v>309</v>
      </c>
      <c r="B139" s="22">
        <v>0</v>
      </c>
      <c r="C139" s="22" t="s">
        <v>2165</v>
      </c>
      <c r="D139" s="22">
        <v>0</v>
      </c>
      <c r="E139" s="24">
        <v>0</v>
      </c>
      <c r="F139" s="24">
        <v>0</v>
      </c>
      <c r="G139" s="24">
        <v>0</v>
      </c>
      <c r="H139" s="37">
        <v>277</v>
      </c>
      <c r="I139" s="23">
        <v>41214</v>
      </c>
      <c r="J139" s="37">
        <v>56</v>
      </c>
      <c r="K139" s="24" t="s">
        <v>2129</v>
      </c>
      <c r="L139" s="24">
        <v>41365</v>
      </c>
      <c r="M139" s="24">
        <v>41165</v>
      </c>
      <c r="N139" s="22" t="s">
        <v>1366</v>
      </c>
      <c r="O139">
        <v>9130476</v>
      </c>
      <c r="P139" s="22">
        <v>1025</v>
      </c>
      <c r="Q139" s="22">
        <v>50</v>
      </c>
      <c r="R139" s="22" t="s">
        <v>2304</v>
      </c>
      <c r="S139" s="47"/>
      <c r="T139" s="4"/>
      <c r="U139" s="88"/>
      <c r="V139" s="4"/>
      <c r="W139" s="89"/>
      <c r="Y139" s="28" t="e">
        <v>#REF!</v>
      </c>
      <c r="Z139" s="9"/>
      <c r="AA139" s="24">
        <v>0</v>
      </c>
      <c r="AB139" s="28">
        <v>0</v>
      </c>
    </row>
    <row r="140" spans="1:28" ht="14.25" customHeight="1" x14ac:dyDescent="0.4">
      <c r="A140">
        <v>310</v>
      </c>
      <c r="B140" s="22">
        <v>0</v>
      </c>
      <c r="C140" s="22">
        <v>0</v>
      </c>
      <c r="D140" s="22">
        <v>0</v>
      </c>
      <c r="E140" s="24">
        <v>0</v>
      </c>
      <c r="F140" s="24">
        <v>0</v>
      </c>
      <c r="G140" s="24">
        <v>0</v>
      </c>
      <c r="H140" s="37">
        <v>533</v>
      </c>
      <c r="I140" s="23">
        <v>41395</v>
      </c>
      <c r="J140" s="37">
        <v>3</v>
      </c>
      <c r="K140" s="24" t="s">
        <v>2129</v>
      </c>
      <c r="L140" s="24">
        <v>41395</v>
      </c>
      <c r="M140" s="24">
        <v>41163</v>
      </c>
      <c r="N140" s="22" t="s">
        <v>1366</v>
      </c>
      <c r="O140">
        <v>9130477</v>
      </c>
      <c r="P140" s="22">
        <v>720</v>
      </c>
      <c r="Q140" s="22">
        <v>42</v>
      </c>
      <c r="R140" s="22" t="s">
        <v>2305</v>
      </c>
      <c r="S140" s="47"/>
      <c r="T140" s="4"/>
      <c r="U140" s="88"/>
      <c r="V140" s="4"/>
      <c r="W140" s="89"/>
      <c r="X140" s="74"/>
      <c r="Y140" s="28" t="e">
        <v>#REF!</v>
      </c>
      <c r="Z140" s="9"/>
      <c r="AA140" s="24">
        <v>0</v>
      </c>
      <c r="AB140" s="28">
        <v>0</v>
      </c>
    </row>
    <row r="141" spans="1:28" ht="14.25" customHeight="1" x14ac:dyDescent="0.4">
      <c r="A141">
        <v>273</v>
      </c>
      <c r="B141" s="22">
        <v>0</v>
      </c>
      <c r="C141" s="22">
        <v>0</v>
      </c>
      <c r="D141" s="22">
        <v>0</v>
      </c>
      <c r="E141" s="24">
        <v>0</v>
      </c>
      <c r="F141" s="24">
        <v>0</v>
      </c>
      <c r="G141" s="24">
        <v>0</v>
      </c>
      <c r="H141" s="37">
        <v>200</v>
      </c>
      <c r="I141" s="23">
        <v>41183</v>
      </c>
      <c r="J141" s="37">
        <v>48</v>
      </c>
      <c r="K141" s="24" t="s">
        <v>2129</v>
      </c>
      <c r="L141" s="24">
        <v>41214</v>
      </c>
      <c r="M141" s="24">
        <v>41165</v>
      </c>
      <c r="N141" s="22" t="s">
        <v>1366</v>
      </c>
      <c r="O141">
        <v>9130424</v>
      </c>
      <c r="P141" s="22">
        <v>1025</v>
      </c>
      <c r="Q141" s="22">
        <v>42</v>
      </c>
      <c r="R141" s="22" t="s">
        <v>2306</v>
      </c>
      <c r="S141" s="55"/>
      <c r="T141" s="4"/>
      <c r="U141" s="164"/>
      <c r="V141" s="4"/>
      <c r="W141" s="164"/>
      <c r="X141" s="74"/>
      <c r="Y141" s="28" t="e">
        <v>#REF!</v>
      </c>
      <c r="Z141" s="9"/>
      <c r="AA141" s="24">
        <v>0</v>
      </c>
      <c r="AB141" s="28">
        <v>0</v>
      </c>
    </row>
    <row r="142" spans="1:28" ht="14.25" customHeight="1" x14ac:dyDescent="0.4">
      <c r="A142">
        <v>274</v>
      </c>
      <c r="B142" s="22">
        <v>0</v>
      </c>
      <c r="C142" s="22">
        <v>0</v>
      </c>
      <c r="D142" s="22">
        <v>0</v>
      </c>
      <c r="E142" s="24">
        <v>0</v>
      </c>
      <c r="F142" s="24">
        <v>0</v>
      </c>
      <c r="G142" s="24">
        <v>0</v>
      </c>
      <c r="H142" s="37">
        <v>201</v>
      </c>
      <c r="I142" s="23">
        <v>41183</v>
      </c>
      <c r="J142" s="37">
        <v>49</v>
      </c>
      <c r="K142" s="24" t="s">
        <v>2129</v>
      </c>
      <c r="L142" s="24">
        <v>41214</v>
      </c>
      <c r="M142" s="24">
        <v>41165</v>
      </c>
      <c r="N142" s="22" t="s">
        <v>1366</v>
      </c>
      <c r="O142">
        <v>9130425</v>
      </c>
      <c r="P142" s="22">
        <v>1025</v>
      </c>
      <c r="Q142" s="22">
        <v>42</v>
      </c>
      <c r="R142" s="22" t="s">
        <v>2307</v>
      </c>
      <c r="S142" s="55"/>
      <c r="T142" s="4"/>
      <c r="U142" s="164"/>
      <c r="V142" s="4"/>
      <c r="W142" s="164"/>
      <c r="X142" s="74"/>
      <c r="Y142" s="28" t="e">
        <v>#REF!</v>
      </c>
      <c r="Z142" s="9"/>
      <c r="AA142" s="24">
        <v>0</v>
      </c>
      <c r="AB142" s="28">
        <v>0</v>
      </c>
    </row>
    <row r="143" spans="1:28" ht="14.25" customHeight="1" x14ac:dyDescent="0.4">
      <c r="A143">
        <v>290</v>
      </c>
      <c r="B143" s="22">
        <v>0</v>
      </c>
      <c r="C143" s="22">
        <v>0</v>
      </c>
      <c r="D143" s="22">
        <v>0</v>
      </c>
      <c r="E143" s="24">
        <v>0</v>
      </c>
      <c r="F143" s="24">
        <v>0</v>
      </c>
      <c r="G143" s="24">
        <v>0</v>
      </c>
      <c r="H143" s="37">
        <v>547</v>
      </c>
      <c r="I143" s="23">
        <v>41395</v>
      </c>
      <c r="J143" s="37">
        <v>17</v>
      </c>
      <c r="K143" s="24" t="s">
        <v>2129</v>
      </c>
      <c r="L143" s="24">
        <v>41395</v>
      </c>
      <c r="M143" s="24">
        <v>41165</v>
      </c>
      <c r="N143" s="22" t="s">
        <v>1366</v>
      </c>
      <c r="O143">
        <v>9130442</v>
      </c>
      <c r="P143" s="22">
        <v>1025</v>
      </c>
      <c r="Q143" s="22">
        <v>42</v>
      </c>
      <c r="R143" s="22" t="s">
        <v>2308</v>
      </c>
      <c r="S143" s="47"/>
      <c r="T143" s="4"/>
      <c r="U143" s="88"/>
      <c r="V143" s="4"/>
      <c r="W143" s="89"/>
      <c r="Y143" s="28" t="e">
        <v>#REF!</v>
      </c>
      <c r="Z143" s="28"/>
      <c r="AA143" s="24">
        <v>0</v>
      </c>
      <c r="AB143" s="28">
        <v>0</v>
      </c>
    </row>
    <row r="144" spans="1:28" ht="14.25" customHeight="1" x14ac:dyDescent="0.4">
      <c r="A144">
        <v>294</v>
      </c>
      <c r="B144" s="22">
        <v>0</v>
      </c>
      <c r="C144" s="22">
        <v>0</v>
      </c>
      <c r="D144" s="22">
        <v>0</v>
      </c>
      <c r="E144" s="24">
        <v>0</v>
      </c>
      <c r="F144" s="24">
        <v>0</v>
      </c>
      <c r="G144" s="24">
        <v>0</v>
      </c>
      <c r="H144" s="37">
        <v>548</v>
      </c>
      <c r="I144" s="23">
        <v>41395</v>
      </c>
      <c r="J144" s="37">
        <v>18</v>
      </c>
      <c r="K144" s="24" t="s">
        <v>2129</v>
      </c>
      <c r="L144" s="24">
        <v>41395</v>
      </c>
      <c r="M144" s="24">
        <v>41165</v>
      </c>
      <c r="N144" s="22" t="s">
        <v>1366</v>
      </c>
      <c r="O144">
        <v>9130449</v>
      </c>
      <c r="P144" s="22">
        <v>1025</v>
      </c>
      <c r="Q144" s="22">
        <v>42</v>
      </c>
      <c r="R144" s="22" t="s">
        <v>2309</v>
      </c>
      <c r="S144" s="47"/>
      <c r="T144" s="4"/>
      <c r="U144" s="88"/>
      <c r="V144" s="4"/>
      <c r="W144" s="89"/>
      <c r="X144" s="74"/>
      <c r="Y144" s="28" t="e">
        <v>#REF!</v>
      </c>
      <c r="Z144" s="28"/>
      <c r="AA144" s="24">
        <v>0</v>
      </c>
      <c r="AB144" s="28">
        <v>0</v>
      </c>
    </row>
    <row r="145" spans="1:28" ht="14.25" customHeight="1" x14ac:dyDescent="0.4">
      <c r="A145">
        <v>83</v>
      </c>
      <c r="B145" s="24">
        <v>41101</v>
      </c>
      <c r="C145" s="24">
        <v>41101</v>
      </c>
      <c r="D145" s="24">
        <v>41101</v>
      </c>
      <c r="E145" s="24">
        <v>41101</v>
      </c>
      <c r="F145" s="24" t="s">
        <v>393</v>
      </c>
      <c r="G145" s="24">
        <v>41116</v>
      </c>
      <c r="H145" s="37">
        <v>7</v>
      </c>
      <c r="I145" s="23">
        <v>41091</v>
      </c>
      <c r="J145" s="37">
        <v>7</v>
      </c>
      <c r="K145" s="24" t="s">
        <v>2129</v>
      </c>
      <c r="L145" s="24">
        <v>41091</v>
      </c>
      <c r="M145" s="24">
        <v>41067</v>
      </c>
      <c r="N145" s="22" t="s">
        <v>669</v>
      </c>
      <c r="O145" s="176">
        <v>9130123</v>
      </c>
      <c r="P145" s="22">
        <v>1025</v>
      </c>
      <c r="Q145" s="22">
        <v>42</v>
      </c>
      <c r="R145" s="22" t="s">
        <v>2310</v>
      </c>
      <c r="S145"/>
      <c r="T145" s="4"/>
      <c r="U145" s="164"/>
      <c r="V145" s="4"/>
      <c r="W145" s="43"/>
      <c r="Y145" s="28" t="e">
        <v>#REF!</v>
      </c>
      <c r="AA145" s="24" t="s">
        <v>393</v>
      </c>
      <c r="AB145" s="28">
        <v>41116</v>
      </c>
    </row>
    <row r="146" spans="1:28" ht="14.25" customHeight="1" x14ac:dyDescent="0.4">
      <c r="A146">
        <v>84</v>
      </c>
      <c r="B146" s="24">
        <v>41116</v>
      </c>
      <c r="C146" s="24">
        <v>41116</v>
      </c>
      <c r="D146" s="24">
        <v>41116</v>
      </c>
      <c r="E146" s="24">
        <v>41116</v>
      </c>
      <c r="F146" s="24" t="s">
        <v>393</v>
      </c>
      <c r="G146" s="24">
        <v>41120</v>
      </c>
      <c r="H146" s="37">
        <v>29</v>
      </c>
      <c r="I146" s="23">
        <v>41091</v>
      </c>
      <c r="J146" s="37">
        <v>29</v>
      </c>
      <c r="K146" s="24" t="s">
        <v>2129</v>
      </c>
      <c r="L146" s="24">
        <v>41091</v>
      </c>
      <c r="M146" s="24">
        <v>41067</v>
      </c>
      <c r="N146" s="22" t="s">
        <v>669</v>
      </c>
      <c r="O146">
        <v>9130124</v>
      </c>
      <c r="P146" s="22">
        <v>720</v>
      </c>
      <c r="Q146" s="22">
        <v>42</v>
      </c>
      <c r="R146" s="22" t="s">
        <v>2311</v>
      </c>
      <c r="S146"/>
      <c r="T146" s="4"/>
      <c r="U146" s="164"/>
      <c r="V146" s="4"/>
      <c r="W146" s="43"/>
      <c r="Y146" s="28" t="e">
        <v>#REF!</v>
      </c>
      <c r="AA146" s="24" t="s">
        <v>393</v>
      </c>
      <c r="AB146" s="28">
        <v>41120</v>
      </c>
    </row>
    <row r="147" spans="1:28" ht="14.25" customHeight="1" x14ac:dyDescent="0.4">
      <c r="A147">
        <v>352</v>
      </c>
      <c r="B147" s="22">
        <v>0</v>
      </c>
      <c r="C147" s="22">
        <v>0</v>
      </c>
      <c r="D147" s="22" t="s">
        <v>23</v>
      </c>
      <c r="E147" s="24">
        <v>41158</v>
      </c>
      <c r="F147" s="24" t="s">
        <v>393</v>
      </c>
      <c r="G147" s="24">
        <v>41172</v>
      </c>
      <c r="H147" s="37">
        <v>103</v>
      </c>
      <c r="I147" s="23">
        <v>41153</v>
      </c>
      <c r="J147" s="37">
        <v>8</v>
      </c>
      <c r="K147" s="24" t="s">
        <v>2129</v>
      </c>
      <c r="L147" s="24">
        <v>41153</v>
      </c>
      <c r="M147" s="24">
        <v>41072</v>
      </c>
      <c r="N147" s="22" t="s">
        <v>669</v>
      </c>
      <c r="O147">
        <v>9130545</v>
      </c>
      <c r="P147" s="22" t="s">
        <v>2312</v>
      </c>
      <c r="Q147" s="22">
        <v>50</v>
      </c>
      <c r="R147" s="22">
        <v>54377</v>
      </c>
      <c r="S147" s="4"/>
      <c r="T147" s="4"/>
      <c r="U147" s="44"/>
      <c r="V147" s="4"/>
      <c r="W147" s="57"/>
      <c r="X147" s="74"/>
      <c r="Y147" s="28" t="e">
        <v>#REF!</v>
      </c>
      <c r="Z147" s="9"/>
      <c r="AA147" s="24" t="s">
        <v>393</v>
      </c>
      <c r="AB147" s="28">
        <v>41172</v>
      </c>
    </row>
    <row r="148" spans="1:28" ht="14.25" customHeight="1" x14ac:dyDescent="0.4">
      <c r="A148">
        <v>353</v>
      </c>
      <c r="B148" s="22">
        <v>0</v>
      </c>
      <c r="C148" s="22" t="s">
        <v>2165</v>
      </c>
      <c r="D148" s="22">
        <v>0</v>
      </c>
      <c r="E148" s="24">
        <v>0</v>
      </c>
      <c r="F148" s="24">
        <v>0</v>
      </c>
      <c r="G148" s="24">
        <v>0</v>
      </c>
      <c r="H148" s="37">
        <v>187</v>
      </c>
      <c r="I148" s="23">
        <v>41183</v>
      </c>
      <c r="J148" s="37">
        <v>35</v>
      </c>
      <c r="K148" s="24" t="s">
        <v>2129</v>
      </c>
      <c r="L148" s="24">
        <v>41183</v>
      </c>
      <c r="M148" s="24">
        <v>41072</v>
      </c>
      <c r="N148" s="22" t="s">
        <v>669</v>
      </c>
      <c r="O148">
        <v>9130546</v>
      </c>
      <c r="P148" s="22">
        <v>720</v>
      </c>
      <c r="Q148" s="22">
        <v>42</v>
      </c>
      <c r="R148" s="22">
        <v>54382</v>
      </c>
      <c r="S148" s="4"/>
      <c r="T148" s="4"/>
      <c r="U148" s="42"/>
      <c r="V148" s="4"/>
      <c r="W148" s="28"/>
      <c r="X148" s="74"/>
      <c r="Y148" s="28" t="e">
        <v>#REF!</v>
      </c>
      <c r="Z148" s="28"/>
      <c r="AA148" s="24">
        <v>0</v>
      </c>
      <c r="AB148" s="28">
        <v>0</v>
      </c>
    </row>
    <row r="149" spans="1:28" ht="14.25" customHeight="1" x14ac:dyDescent="0.4">
      <c r="A149">
        <v>354</v>
      </c>
      <c r="B149" s="22">
        <v>0</v>
      </c>
      <c r="C149" s="22">
        <v>0</v>
      </c>
      <c r="D149" s="22">
        <v>0</v>
      </c>
      <c r="E149" s="24">
        <v>0</v>
      </c>
      <c r="F149" s="24">
        <v>0</v>
      </c>
      <c r="G149" s="24">
        <v>0</v>
      </c>
      <c r="H149" s="37">
        <v>188</v>
      </c>
      <c r="I149" s="23">
        <v>41183</v>
      </c>
      <c r="J149" s="37">
        <v>36</v>
      </c>
      <c r="K149" s="24" t="s">
        <v>2129</v>
      </c>
      <c r="L149" s="24">
        <v>41183</v>
      </c>
      <c r="M149" s="24">
        <v>41072</v>
      </c>
      <c r="N149" s="22" t="s">
        <v>669</v>
      </c>
      <c r="O149">
        <v>9130549</v>
      </c>
      <c r="P149" s="22">
        <v>720</v>
      </c>
      <c r="Q149" s="22">
        <v>42</v>
      </c>
      <c r="R149" s="22">
        <v>54383</v>
      </c>
      <c r="T149" s="4"/>
      <c r="U149" s="94"/>
      <c r="V149" s="4"/>
      <c r="W149" s="28"/>
      <c r="X149" s="74"/>
      <c r="Y149" s="28" t="e">
        <v>#REF!</v>
      </c>
      <c r="Z149" s="9"/>
      <c r="AA149" s="24">
        <v>0</v>
      </c>
      <c r="AB149" s="28">
        <v>0</v>
      </c>
    </row>
    <row r="150" spans="1:28" ht="14.25" customHeight="1" x14ac:dyDescent="0.4">
      <c r="A150">
        <v>355</v>
      </c>
      <c r="B150" s="22">
        <v>0</v>
      </c>
      <c r="C150" s="22">
        <v>0</v>
      </c>
      <c r="D150" s="22">
        <v>0</v>
      </c>
      <c r="E150" s="24">
        <v>41157</v>
      </c>
      <c r="F150" s="24" t="s">
        <v>393</v>
      </c>
      <c r="G150" s="24">
        <v>41170</v>
      </c>
      <c r="H150" s="37">
        <v>102</v>
      </c>
      <c r="I150" s="23">
        <v>41153</v>
      </c>
      <c r="J150" s="37">
        <v>7</v>
      </c>
      <c r="K150" s="24" t="s">
        <v>2129</v>
      </c>
      <c r="L150" s="24">
        <v>41153</v>
      </c>
      <c r="M150" s="24">
        <v>41072</v>
      </c>
      <c r="N150" s="22" t="s">
        <v>669</v>
      </c>
      <c r="O150">
        <v>9130551</v>
      </c>
      <c r="P150" s="22" t="s">
        <v>2312</v>
      </c>
      <c r="Q150" s="22">
        <v>50</v>
      </c>
      <c r="R150" s="22">
        <v>54374</v>
      </c>
      <c r="S150" s="1"/>
      <c r="T150" s="4"/>
      <c r="U150" s="94"/>
      <c r="V150" s="4"/>
      <c r="W150" s="28"/>
      <c r="X150" s="74"/>
      <c r="Y150" s="28" t="e">
        <v>#REF!</v>
      </c>
      <c r="Z150" s="9"/>
      <c r="AA150" s="24" t="s">
        <v>393</v>
      </c>
      <c r="AB150" s="28">
        <v>41170</v>
      </c>
    </row>
    <row r="151" spans="1:28" ht="14.25" customHeight="1" x14ac:dyDescent="0.4">
      <c r="A151">
        <v>356</v>
      </c>
      <c r="B151" s="22">
        <v>0</v>
      </c>
      <c r="C151" s="22" t="s">
        <v>2165</v>
      </c>
      <c r="D151" s="22">
        <v>0</v>
      </c>
      <c r="E151" s="24">
        <v>41169</v>
      </c>
      <c r="F151" s="24" t="s">
        <v>392</v>
      </c>
      <c r="G151" s="24">
        <v>41180</v>
      </c>
      <c r="H151" s="37">
        <v>125</v>
      </c>
      <c r="I151" s="23">
        <v>41153</v>
      </c>
      <c r="J151" s="37">
        <v>30</v>
      </c>
      <c r="K151" s="24" t="s">
        <v>2129</v>
      </c>
      <c r="L151" s="24">
        <v>41153</v>
      </c>
      <c r="M151" s="24">
        <v>41072</v>
      </c>
      <c r="N151" s="22" t="s">
        <v>669</v>
      </c>
      <c r="O151">
        <v>9130552</v>
      </c>
      <c r="P151" s="22">
        <v>1025</v>
      </c>
      <c r="Q151" s="22">
        <v>42</v>
      </c>
      <c r="R151" s="22">
        <v>54375</v>
      </c>
      <c r="S151" s="4"/>
      <c r="T151" s="4"/>
      <c r="U151" s="44"/>
      <c r="V151" s="4"/>
      <c r="W151" s="28"/>
      <c r="X151" s="74"/>
      <c r="Y151" s="28" t="e">
        <v>#REF!</v>
      </c>
      <c r="Z151" s="28"/>
      <c r="AA151" s="24" t="s">
        <v>392</v>
      </c>
      <c r="AB151" s="28">
        <v>41180</v>
      </c>
    </row>
    <row r="152" spans="1:28" ht="14.25" customHeight="1" x14ac:dyDescent="0.4">
      <c r="A152">
        <v>357</v>
      </c>
      <c r="B152" s="22">
        <v>0</v>
      </c>
      <c r="C152" s="22" t="s">
        <v>2165</v>
      </c>
      <c r="D152" s="22">
        <v>0</v>
      </c>
      <c r="E152" s="24">
        <v>41169</v>
      </c>
      <c r="F152" s="24" t="s">
        <v>392</v>
      </c>
      <c r="G152" s="24">
        <v>41180</v>
      </c>
      <c r="H152" s="37">
        <v>126</v>
      </c>
      <c r="I152" s="23">
        <v>41153</v>
      </c>
      <c r="J152" s="37">
        <v>31</v>
      </c>
      <c r="K152" s="24" t="s">
        <v>2129</v>
      </c>
      <c r="L152" s="24">
        <v>41153</v>
      </c>
      <c r="M152" s="24">
        <v>41072</v>
      </c>
      <c r="N152" s="22" t="s">
        <v>669</v>
      </c>
      <c r="O152">
        <v>9130556</v>
      </c>
      <c r="P152" s="22">
        <v>1025</v>
      </c>
      <c r="Q152" s="22">
        <v>42</v>
      </c>
      <c r="R152" s="22">
        <v>54376</v>
      </c>
      <c r="S152" s="4"/>
      <c r="T152" s="4"/>
      <c r="U152" s="44"/>
      <c r="V152" s="4"/>
      <c r="W152" s="57"/>
      <c r="X152" s="74"/>
      <c r="Y152" s="28" t="e">
        <v>#REF!</v>
      </c>
      <c r="Z152" s="9"/>
      <c r="AA152" s="24" t="s">
        <v>392</v>
      </c>
      <c r="AB152" s="28">
        <v>41180</v>
      </c>
    </row>
    <row r="153" spans="1:28" ht="14.25" customHeight="1" x14ac:dyDescent="0.4">
      <c r="A153">
        <v>358</v>
      </c>
      <c r="B153" s="24">
        <v>0</v>
      </c>
      <c r="C153" s="24">
        <v>0</v>
      </c>
      <c r="D153" s="24">
        <v>0</v>
      </c>
      <c r="E153" s="24">
        <v>0</v>
      </c>
      <c r="F153" s="24" t="s">
        <v>527</v>
      </c>
      <c r="G153" s="24">
        <v>0</v>
      </c>
      <c r="H153" s="37">
        <v>161</v>
      </c>
      <c r="I153" s="23">
        <v>41183</v>
      </c>
      <c r="J153" s="37">
        <v>9</v>
      </c>
      <c r="K153" s="24" t="s">
        <v>2129</v>
      </c>
      <c r="L153" s="24">
        <v>41183</v>
      </c>
      <c r="M153" s="24">
        <v>41072</v>
      </c>
      <c r="N153" s="22" t="s">
        <v>669</v>
      </c>
      <c r="O153">
        <v>9130558</v>
      </c>
      <c r="P153" s="22">
        <v>1025</v>
      </c>
      <c r="Q153" s="22">
        <v>42</v>
      </c>
      <c r="R153" s="22">
        <v>54378</v>
      </c>
      <c r="T153" s="4"/>
      <c r="U153" s="164"/>
      <c r="V153" s="4"/>
      <c r="W153" s="28"/>
      <c r="Y153" s="28" t="e">
        <v>#REF!</v>
      </c>
      <c r="AA153" s="24" t="s">
        <v>527</v>
      </c>
      <c r="AB153" s="28">
        <v>0</v>
      </c>
    </row>
    <row r="154" spans="1:28" ht="14.25" customHeight="1" x14ac:dyDescent="0.4">
      <c r="A154">
        <v>359</v>
      </c>
      <c r="B154" s="24">
        <v>0</v>
      </c>
      <c r="C154" s="24">
        <v>0</v>
      </c>
      <c r="D154" s="24">
        <v>0</v>
      </c>
      <c r="E154" s="24">
        <v>0</v>
      </c>
      <c r="F154" s="24">
        <v>0</v>
      </c>
      <c r="G154" s="24">
        <v>0</v>
      </c>
      <c r="H154" s="37">
        <v>162</v>
      </c>
      <c r="I154" s="23">
        <v>41183</v>
      </c>
      <c r="J154" s="37">
        <v>10</v>
      </c>
      <c r="K154" s="24" t="s">
        <v>2129</v>
      </c>
      <c r="L154" s="24">
        <v>41183</v>
      </c>
      <c r="M154" s="24">
        <v>41072</v>
      </c>
      <c r="N154" s="22" t="s">
        <v>669</v>
      </c>
      <c r="O154">
        <v>9130560</v>
      </c>
      <c r="P154" s="22">
        <v>1025</v>
      </c>
      <c r="Q154" s="22">
        <v>42</v>
      </c>
      <c r="R154" s="22">
        <v>54379</v>
      </c>
      <c r="T154" s="4"/>
      <c r="U154" s="164"/>
      <c r="V154" s="4"/>
      <c r="Y154" s="28" t="e">
        <v>#REF!</v>
      </c>
      <c r="AA154" s="24">
        <v>0</v>
      </c>
      <c r="AB154" s="28">
        <v>0</v>
      </c>
    </row>
    <row r="155" spans="1:28" ht="14.25" customHeight="1" x14ac:dyDescent="0.4">
      <c r="A155">
        <v>360</v>
      </c>
      <c r="B155" s="22">
        <v>0</v>
      </c>
      <c r="C155" s="22">
        <v>0</v>
      </c>
      <c r="D155" s="22">
        <v>0</v>
      </c>
      <c r="E155" s="24">
        <v>0</v>
      </c>
      <c r="F155" s="24">
        <v>0</v>
      </c>
      <c r="G155" s="24">
        <v>0</v>
      </c>
      <c r="H155" s="37">
        <v>163</v>
      </c>
      <c r="I155" s="23">
        <v>41183</v>
      </c>
      <c r="J155" s="37">
        <v>11</v>
      </c>
      <c r="K155" s="24" t="s">
        <v>2129</v>
      </c>
      <c r="L155" s="24">
        <v>41183</v>
      </c>
      <c r="M155" s="24">
        <v>41072</v>
      </c>
      <c r="N155" s="22" t="s">
        <v>669</v>
      </c>
      <c r="O155">
        <v>9130561</v>
      </c>
      <c r="P155" s="22">
        <v>1025</v>
      </c>
      <c r="Q155" s="22">
        <v>42</v>
      </c>
      <c r="R155" s="22">
        <v>54380</v>
      </c>
      <c r="S155" s="4"/>
      <c r="T155" s="4"/>
      <c r="U155" s="164"/>
      <c r="V155" s="4"/>
      <c r="W155" s="28"/>
      <c r="Y155" s="28" t="e">
        <v>#REF!</v>
      </c>
      <c r="Z155" s="28"/>
      <c r="AA155" s="24">
        <v>0</v>
      </c>
      <c r="AB155" s="28">
        <v>0</v>
      </c>
    </row>
    <row r="156" spans="1:28" ht="14.25" customHeight="1" x14ac:dyDescent="0.4">
      <c r="A156">
        <v>361</v>
      </c>
      <c r="B156" s="22"/>
      <c r="C156" s="22"/>
      <c r="D156" s="22"/>
      <c r="E156" s="24">
        <v>0</v>
      </c>
      <c r="F156" s="24">
        <v>0</v>
      </c>
      <c r="G156" s="24">
        <v>0</v>
      </c>
      <c r="H156" s="37">
        <v>164</v>
      </c>
      <c r="I156" s="23">
        <v>41183</v>
      </c>
      <c r="J156" s="37">
        <v>12</v>
      </c>
      <c r="K156" s="24" t="s">
        <v>2129</v>
      </c>
      <c r="L156" s="24">
        <v>41183</v>
      </c>
      <c r="M156" s="24">
        <v>41072</v>
      </c>
      <c r="N156" s="22" t="s">
        <v>669</v>
      </c>
      <c r="O156">
        <v>9130562</v>
      </c>
      <c r="P156" s="22">
        <v>1025</v>
      </c>
      <c r="Q156" s="22">
        <v>42</v>
      </c>
      <c r="R156" s="22">
        <v>54381</v>
      </c>
      <c r="S156" s="4"/>
      <c r="T156" s="4"/>
      <c r="U156" s="44"/>
      <c r="V156" s="4"/>
      <c r="W156" s="44"/>
      <c r="X156" s="74"/>
      <c r="Y156" s="28" t="e">
        <v>#REF!</v>
      </c>
      <c r="Z156" s="28"/>
      <c r="AA156" s="24">
        <v>0</v>
      </c>
      <c r="AB156" s="28">
        <v>0</v>
      </c>
    </row>
    <row r="157" spans="1:28" ht="14.25" customHeight="1" x14ac:dyDescent="0.4">
      <c r="A157">
        <v>362</v>
      </c>
      <c r="B157" s="24">
        <v>41106</v>
      </c>
      <c r="C157" s="24">
        <v>41106</v>
      </c>
      <c r="D157" s="24">
        <v>41106</v>
      </c>
      <c r="E157" s="24">
        <v>41106</v>
      </c>
      <c r="F157" s="24" t="s">
        <v>393</v>
      </c>
      <c r="G157" s="24">
        <v>41116</v>
      </c>
      <c r="H157" s="37">
        <v>8</v>
      </c>
      <c r="I157" s="23">
        <v>41091</v>
      </c>
      <c r="J157" s="37">
        <v>8</v>
      </c>
      <c r="K157" s="24" t="s">
        <v>2129</v>
      </c>
      <c r="L157" s="24">
        <v>41122</v>
      </c>
      <c r="M157" s="24">
        <v>41072</v>
      </c>
      <c r="N157" s="22" t="s">
        <v>668</v>
      </c>
      <c r="O157">
        <v>9130566</v>
      </c>
      <c r="P157" s="22">
        <v>1025</v>
      </c>
      <c r="Q157" s="22">
        <v>42</v>
      </c>
      <c r="R157" s="22" t="s">
        <v>2313</v>
      </c>
      <c r="T157" s="4"/>
      <c r="U157" s="164"/>
      <c r="V157" s="4"/>
      <c r="Y157" s="28" t="e">
        <v>#REF!</v>
      </c>
      <c r="AA157" s="24" t="s">
        <v>393</v>
      </c>
      <c r="AB157" s="28">
        <v>41116</v>
      </c>
    </row>
    <row r="158" spans="1:28" ht="14.25" customHeight="1" x14ac:dyDescent="0.4">
      <c r="A158">
        <v>363</v>
      </c>
      <c r="B158" s="24">
        <v>0</v>
      </c>
      <c r="C158" s="24">
        <v>0</v>
      </c>
      <c r="D158" s="24">
        <v>0</v>
      </c>
      <c r="E158" s="24">
        <v>0</v>
      </c>
      <c r="F158" s="24">
        <v>0</v>
      </c>
      <c r="G158" s="24">
        <v>0</v>
      </c>
      <c r="H158" s="37">
        <v>165</v>
      </c>
      <c r="I158" s="23">
        <v>41183</v>
      </c>
      <c r="J158" s="37">
        <v>13</v>
      </c>
      <c r="K158" s="24" t="s">
        <v>2129</v>
      </c>
      <c r="L158" s="24">
        <v>41183</v>
      </c>
      <c r="M158" s="24">
        <v>41072</v>
      </c>
      <c r="N158" s="22" t="s">
        <v>668</v>
      </c>
      <c r="O158">
        <v>9130567</v>
      </c>
      <c r="P158" s="22">
        <v>1025</v>
      </c>
      <c r="Q158" s="22">
        <v>42</v>
      </c>
      <c r="R158" s="22">
        <v>54386</v>
      </c>
      <c r="S158" s="69"/>
      <c r="T158" s="4"/>
      <c r="U158" s="166"/>
      <c r="V158" s="4"/>
      <c r="W158" s="69"/>
      <c r="X158" s="101"/>
      <c r="Y158" s="28" t="e">
        <v>#REF!</v>
      </c>
      <c r="Z158" s="69"/>
      <c r="AA158" s="24">
        <v>0</v>
      </c>
      <c r="AB158" s="28">
        <v>0</v>
      </c>
    </row>
    <row r="159" spans="1:28" ht="14.25" customHeight="1" x14ac:dyDescent="0.4">
      <c r="A159">
        <v>364</v>
      </c>
      <c r="B159" s="24">
        <v>0</v>
      </c>
      <c r="C159" s="24">
        <v>0</v>
      </c>
      <c r="D159" s="24">
        <v>0</v>
      </c>
      <c r="E159" s="24">
        <v>0</v>
      </c>
      <c r="F159" s="24">
        <v>0</v>
      </c>
      <c r="G159" s="24">
        <v>0</v>
      </c>
      <c r="H159" s="37">
        <v>166</v>
      </c>
      <c r="I159" s="23">
        <v>41183</v>
      </c>
      <c r="J159" s="37">
        <v>14</v>
      </c>
      <c r="K159" s="24" t="s">
        <v>2129</v>
      </c>
      <c r="L159" s="24">
        <v>41183</v>
      </c>
      <c r="M159" s="24">
        <v>41072</v>
      </c>
      <c r="N159" s="22" t="s">
        <v>668</v>
      </c>
      <c r="O159">
        <v>9130569</v>
      </c>
      <c r="P159" s="22">
        <v>1025</v>
      </c>
      <c r="Q159" s="22">
        <v>42</v>
      </c>
      <c r="R159" s="22">
        <v>54387</v>
      </c>
      <c r="T159" s="4"/>
      <c r="U159" s="164"/>
      <c r="V159" s="4"/>
      <c r="Y159" s="28" t="e">
        <v>#REF!</v>
      </c>
      <c r="AA159" s="24">
        <v>0</v>
      </c>
      <c r="AB159" s="28">
        <v>0</v>
      </c>
    </row>
    <row r="160" spans="1:28" ht="14.25" customHeight="1" x14ac:dyDescent="0.4">
      <c r="A160">
        <v>365</v>
      </c>
      <c r="B160" s="24">
        <v>0</v>
      </c>
      <c r="C160" s="24">
        <v>0</v>
      </c>
      <c r="D160" s="24">
        <v>0</v>
      </c>
      <c r="E160" s="24">
        <v>0</v>
      </c>
      <c r="F160" s="24">
        <v>0</v>
      </c>
      <c r="G160" s="24">
        <v>0</v>
      </c>
      <c r="H160" s="37">
        <v>167</v>
      </c>
      <c r="I160" s="23">
        <v>41183</v>
      </c>
      <c r="J160" s="37">
        <v>15</v>
      </c>
      <c r="K160" s="24" t="s">
        <v>2129</v>
      </c>
      <c r="L160" s="24">
        <v>41183</v>
      </c>
      <c r="M160" s="24">
        <v>41072</v>
      </c>
      <c r="N160" s="22" t="s">
        <v>668</v>
      </c>
      <c r="O160">
        <v>9130570</v>
      </c>
      <c r="P160" s="22">
        <v>1025</v>
      </c>
      <c r="Q160" s="22">
        <v>42</v>
      </c>
      <c r="R160" s="22">
        <v>54388</v>
      </c>
      <c r="T160" s="4"/>
      <c r="U160" s="164"/>
      <c r="V160" s="4"/>
      <c r="Y160" s="28" t="e">
        <v>#REF!</v>
      </c>
      <c r="AA160" s="24">
        <v>0</v>
      </c>
      <c r="AB160" s="28">
        <v>0</v>
      </c>
    </row>
    <row r="161" spans="1:28" ht="14.25" customHeight="1" x14ac:dyDescent="0.4">
      <c r="A161">
        <v>366</v>
      </c>
      <c r="B161" s="24">
        <v>0</v>
      </c>
      <c r="C161" s="24">
        <v>0</v>
      </c>
      <c r="D161" s="24">
        <v>0</v>
      </c>
      <c r="E161" s="24">
        <v>0</v>
      </c>
      <c r="F161" s="24">
        <v>0</v>
      </c>
      <c r="G161" s="24">
        <v>0</v>
      </c>
      <c r="H161" s="37">
        <v>168</v>
      </c>
      <c r="I161" s="23">
        <v>41183</v>
      </c>
      <c r="J161" s="37">
        <v>16</v>
      </c>
      <c r="K161" s="24" t="s">
        <v>2129</v>
      </c>
      <c r="L161" s="24">
        <v>41183</v>
      </c>
      <c r="M161" s="24">
        <v>41072</v>
      </c>
      <c r="N161" s="22" t="s">
        <v>668</v>
      </c>
      <c r="O161">
        <v>9130572</v>
      </c>
      <c r="P161" s="22">
        <v>1025</v>
      </c>
      <c r="Q161" s="22">
        <v>42</v>
      </c>
      <c r="R161" s="22">
        <v>54389</v>
      </c>
      <c r="S161" s="4"/>
      <c r="T161" s="4"/>
      <c r="U161" s="164"/>
      <c r="V161" s="4"/>
      <c r="W161" s="28"/>
      <c r="Y161" s="28" t="e">
        <v>#REF!</v>
      </c>
      <c r="AA161" s="24">
        <v>0</v>
      </c>
      <c r="AB161" s="28">
        <v>0</v>
      </c>
    </row>
    <row r="162" spans="1:28" ht="14.25" customHeight="1" x14ac:dyDescent="0.4">
      <c r="A162">
        <v>367</v>
      </c>
      <c r="B162" s="24">
        <v>0</v>
      </c>
      <c r="C162" s="24">
        <v>0</v>
      </c>
      <c r="D162" s="24">
        <v>0</v>
      </c>
      <c r="E162" s="24">
        <v>0</v>
      </c>
      <c r="F162" s="24">
        <v>0</v>
      </c>
      <c r="G162" s="24">
        <v>0</v>
      </c>
      <c r="H162" s="37">
        <v>169</v>
      </c>
      <c r="I162" s="23">
        <v>41183</v>
      </c>
      <c r="J162" s="37">
        <v>17</v>
      </c>
      <c r="K162" s="24" t="s">
        <v>2129</v>
      </c>
      <c r="L162" s="24">
        <v>41183</v>
      </c>
      <c r="M162" s="24">
        <v>41072</v>
      </c>
      <c r="N162" s="22" t="s">
        <v>668</v>
      </c>
      <c r="O162">
        <v>9130573</v>
      </c>
      <c r="P162" s="22">
        <v>1025</v>
      </c>
      <c r="Q162" s="22">
        <v>42</v>
      </c>
      <c r="R162" s="22" t="s">
        <v>2314</v>
      </c>
      <c r="S162" s="4" t="s">
        <v>261</v>
      </c>
      <c r="T162" s="4" t="s">
        <v>404</v>
      </c>
      <c r="U162" s="164">
        <v>41108</v>
      </c>
      <c r="V162" s="4"/>
      <c r="W162" s="28"/>
      <c r="Y162" s="28" t="e">
        <v>#REF!</v>
      </c>
      <c r="AA162" s="24">
        <v>0</v>
      </c>
      <c r="AB162" s="28">
        <v>0</v>
      </c>
    </row>
    <row r="163" spans="1:28" ht="14.25" customHeight="1" x14ac:dyDescent="0.4">
      <c r="A163">
        <v>368</v>
      </c>
      <c r="B163" s="24">
        <v>0</v>
      </c>
      <c r="C163" s="24">
        <v>0</v>
      </c>
      <c r="D163" s="24">
        <v>0</v>
      </c>
      <c r="E163" s="24">
        <v>0</v>
      </c>
      <c r="F163" s="24">
        <v>0</v>
      </c>
      <c r="G163" s="24">
        <v>0</v>
      </c>
      <c r="H163" s="37">
        <v>256</v>
      </c>
      <c r="I163" s="23">
        <v>41214</v>
      </c>
      <c r="J163" s="37">
        <v>35</v>
      </c>
      <c r="K163" s="24" t="s">
        <v>2129</v>
      </c>
      <c r="L163" s="24">
        <v>41214</v>
      </c>
      <c r="M163" s="24">
        <v>41072</v>
      </c>
      <c r="N163" s="22" t="s">
        <v>668</v>
      </c>
      <c r="O163">
        <v>9130577</v>
      </c>
      <c r="P163" s="22">
        <v>1025</v>
      </c>
      <c r="Q163" s="22">
        <v>42</v>
      </c>
      <c r="R163" s="22" t="s">
        <v>2315</v>
      </c>
      <c r="S163" s="4"/>
      <c r="T163" s="4" t="s">
        <v>404</v>
      </c>
      <c r="U163" s="164">
        <v>41173</v>
      </c>
      <c r="V163" s="4"/>
      <c r="W163" s="28"/>
      <c r="Y163" s="28" t="e">
        <v>#REF!</v>
      </c>
      <c r="AA163" s="24">
        <v>0</v>
      </c>
      <c r="AB163" s="28">
        <v>0</v>
      </c>
    </row>
    <row r="164" spans="1:28" ht="14.25" customHeight="1" x14ac:dyDescent="0.4">
      <c r="A164">
        <v>369</v>
      </c>
      <c r="B164" s="24">
        <v>0</v>
      </c>
      <c r="C164" s="24">
        <v>0</v>
      </c>
      <c r="D164" s="24">
        <v>0</v>
      </c>
      <c r="E164" s="24">
        <v>0</v>
      </c>
      <c r="F164" s="24">
        <v>0</v>
      </c>
      <c r="G164" s="24">
        <v>0</v>
      </c>
      <c r="H164" s="37">
        <v>257</v>
      </c>
      <c r="I164" s="23">
        <v>41214</v>
      </c>
      <c r="J164" s="37">
        <v>36</v>
      </c>
      <c r="K164" s="24" t="s">
        <v>2129</v>
      </c>
      <c r="L164" s="24">
        <v>41214</v>
      </c>
      <c r="M164" s="24">
        <v>41072</v>
      </c>
      <c r="N164" s="22" t="s">
        <v>668</v>
      </c>
      <c r="O164">
        <v>9130578</v>
      </c>
      <c r="P164" s="22">
        <v>1025</v>
      </c>
      <c r="Q164" s="22">
        <v>42</v>
      </c>
      <c r="R164" s="22">
        <v>54393</v>
      </c>
      <c r="S164" s="4"/>
      <c r="T164" s="4"/>
      <c r="U164" s="164"/>
      <c r="V164" s="4"/>
      <c r="W164" s="28"/>
      <c r="Y164" s="28" t="e">
        <v>#REF!</v>
      </c>
      <c r="AA164" s="24">
        <v>0</v>
      </c>
      <c r="AB164" s="28">
        <v>0</v>
      </c>
    </row>
    <row r="165" spans="1:28" ht="14.25" customHeight="1" x14ac:dyDescent="0.4">
      <c r="A165">
        <v>370</v>
      </c>
      <c r="B165" s="24">
        <v>0</v>
      </c>
      <c r="C165" s="24">
        <v>0</v>
      </c>
      <c r="D165" s="24">
        <v>0</v>
      </c>
      <c r="E165" s="24">
        <v>0</v>
      </c>
      <c r="F165" s="24">
        <v>0</v>
      </c>
      <c r="G165" s="24">
        <v>0</v>
      </c>
      <c r="H165" s="37">
        <v>258</v>
      </c>
      <c r="I165" s="23">
        <v>41214</v>
      </c>
      <c r="J165" s="37">
        <v>37</v>
      </c>
      <c r="K165" s="24" t="s">
        <v>2129</v>
      </c>
      <c r="L165" s="24">
        <v>41214</v>
      </c>
      <c r="M165" s="24">
        <v>41072</v>
      </c>
      <c r="N165" s="22" t="s">
        <v>668</v>
      </c>
      <c r="O165">
        <v>9130580</v>
      </c>
      <c r="P165" s="22">
        <v>1025</v>
      </c>
      <c r="Q165" s="22">
        <v>42</v>
      </c>
      <c r="R165" s="22">
        <v>54394</v>
      </c>
      <c r="S165" s="4"/>
      <c r="T165" s="4"/>
      <c r="U165" s="164"/>
      <c r="V165" s="4"/>
      <c r="W165" s="164"/>
      <c r="Y165" s="28" t="e">
        <v>#REF!</v>
      </c>
      <c r="AA165" s="24">
        <v>0</v>
      </c>
      <c r="AB165" s="28">
        <v>0</v>
      </c>
    </row>
    <row r="166" spans="1:28" ht="14.25" customHeight="1" x14ac:dyDescent="0.4">
      <c r="A166">
        <v>371</v>
      </c>
      <c r="B166" s="24">
        <v>0</v>
      </c>
      <c r="C166" s="24">
        <v>0</v>
      </c>
      <c r="D166" s="24">
        <v>0</v>
      </c>
      <c r="E166" s="24">
        <v>0</v>
      </c>
      <c r="F166" s="24">
        <v>0</v>
      </c>
      <c r="G166" s="24">
        <v>0</v>
      </c>
      <c r="H166" s="37">
        <v>259</v>
      </c>
      <c r="I166" s="23">
        <v>41214</v>
      </c>
      <c r="J166" s="37">
        <v>38</v>
      </c>
      <c r="K166" s="24" t="s">
        <v>2129</v>
      </c>
      <c r="L166" s="24">
        <v>41214</v>
      </c>
      <c r="M166" s="24">
        <v>41072</v>
      </c>
      <c r="N166" s="22" t="s">
        <v>668</v>
      </c>
      <c r="O166">
        <v>9130581</v>
      </c>
      <c r="P166" s="22">
        <v>1025</v>
      </c>
      <c r="Q166" s="22">
        <v>42</v>
      </c>
      <c r="R166" s="22">
        <v>54395</v>
      </c>
      <c r="S166" s="4"/>
      <c r="T166" s="4"/>
      <c r="U166" s="164"/>
      <c r="V166" s="4"/>
      <c r="W166" s="28"/>
      <c r="Y166" s="28" t="e">
        <v>#REF!</v>
      </c>
      <c r="AA166" s="24">
        <v>0</v>
      </c>
      <c r="AB166" s="28">
        <v>0</v>
      </c>
    </row>
    <row r="167" spans="1:28" ht="14.25" customHeight="1" x14ac:dyDescent="0.4">
      <c r="A167">
        <v>372</v>
      </c>
      <c r="B167" s="24">
        <v>0</v>
      </c>
      <c r="C167" s="24">
        <v>0</v>
      </c>
      <c r="D167" s="24">
        <v>0</v>
      </c>
      <c r="E167" s="24">
        <v>0</v>
      </c>
      <c r="F167" s="24">
        <v>0</v>
      </c>
      <c r="G167" s="24">
        <v>0</v>
      </c>
      <c r="H167" s="37">
        <v>260</v>
      </c>
      <c r="I167" s="23">
        <v>41214</v>
      </c>
      <c r="J167" s="37">
        <v>39</v>
      </c>
      <c r="K167" s="24" t="s">
        <v>2129</v>
      </c>
      <c r="L167" s="24">
        <v>41214</v>
      </c>
      <c r="M167" s="24">
        <v>41072</v>
      </c>
      <c r="N167" s="22" t="s">
        <v>668</v>
      </c>
      <c r="O167">
        <v>9130590</v>
      </c>
      <c r="P167" s="22">
        <v>1025</v>
      </c>
      <c r="Q167" s="22">
        <v>42</v>
      </c>
      <c r="R167" s="22">
        <v>54397</v>
      </c>
      <c r="S167" s="4"/>
      <c r="T167" s="4"/>
      <c r="U167" s="42"/>
      <c r="V167" s="4"/>
      <c r="W167" s="28"/>
      <c r="X167" s="74"/>
      <c r="Y167" s="28" t="e">
        <v>#REF!</v>
      </c>
      <c r="Z167" s="9"/>
      <c r="AA167" s="24">
        <v>0</v>
      </c>
      <c r="AB167" s="28">
        <v>0</v>
      </c>
    </row>
    <row r="168" spans="1:28" ht="14.25" customHeight="1" x14ac:dyDescent="0.4">
      <c r="A168">
        <v>373</v>
      </c>
      <c r="B168" s="24">
        <v>41170</v>
      </c>
      <c r="C168" s="24">
        <v>41170</v>
      </c>
      <c r="D168" s="24">
        <v>41170</v>
      </c>
      <c r="E168" s="24">
        <v>41170</v>
      </c>
      <c r="F168" s="24" t="s">
        <v>392</v>
      </c>
      <c r="G168" s="24">
        <v>41179</v>
      </c>
      <c r="H168" s="37">
        <v>127</v>
      </c>
      <c r="I168" s="23">
        <v>41153</v>
      </c>
      <c r="J168" s="37">
        <v>32</v>
      </c>
      <c r="K168" s="24" t="s">
        <v>2129</v>
      </c>
      <c r="L168" s="24">
        <v>41244</v>
      </c>
      <c r="M168" s="24">
        <v>41072</v>
      </c>
      <c r="N168" s="22" t="s">
        <v>668</v>
      </c>
      <c r="O168">
        <v>9130592</v>
      </c>
      <c r="P168" s="22">
        <v>1025</v>
      </c>
      <c r="Q168" s="22">
        <v>42</v>
      </c>
      <c r="R168" s="22">
        <v>54400</v>
      </c>
      <c r="S168" s="4"/>
      <c r="T168" s="4"/>
      <c r="U168" s="42"/>
      <c r="V168" s="4"/>
      <c r="W168" s="28"/>
      <c r="X168" s="74"/>
      <c r="Y168" s="28" t="e">
        <v>#REF!</v>
      </c>
      <c r="Z168" s="28"/>
      <c r="AA168" s="24" t="s">
        <v>392</v>
      </c>
      <c r="AB168" s="28">
        <v>41179</v>
      </c>
    </row>
    <row r="169" spans="1:28" ht="14.25" customHeight="1" x14ac:dyDescent="0.4">
      <c r="A169">
        <v>374</v>
      </c>
      <c r="B169" s="24">
        <v>41170</v>
      </c>
      <c r="C169" s="24">
        <v>41170</v>
      </c>
      <c r="D169" s="24">
        <v>41170</v>
      </c>
      <c r="E169" s="24">
        <v>41170</v>
      </c>
      <c r="F169" s="24" t="s">
        <v>2316</v>
      </c>
      <c r="G169" s="24">
        <v>0</v>
      </c>
      <c r="H169" s="37">
        <v>128</v>
      </c>
      <c r="I169" s="23">
        <v>41153</v>
      </c>
      <c r="J169" s="37">
        <v>33</v>
      </c>
      <c r="K169" s="24" t="s">
        <v>2129</v>
      </c>
      <c r="L169" s="24">
        <v>41244</v>
      </c>
      <c r="M169" s="24">
        <v>41072</v>
      </c>
      <c r="N169" s="22" t="s">
        <v>668</v>
      </c>
      <c r="O169">
        <v>9130593</v>
      </c>
      <c r="P169" s="22">
        <v>1025</v>
      </c>
      <c r="Q169" s="22">
        <v>42</v>
      </c>
      <c r="R169" s="22">
        <v>54401</v>
      </c>
      <c r="S169" s="4"/>
      <c r="T169" s="4"/>
      <c r="U169" s="44"/>
      <c r="V169" s="4"/>
      <c r="W169" s="58"/>
      <c r="X169" s="74"/>
      <c r="Y169" s="28" t="e">
        <v>#REF!</v>
      </c>
      <c r="Z169" s="28"/>
      <c r="AA169" s="24" t="s">
        <v>2316</v>
      </c>
      <c r="AB169" s="28">
        <v>0</v>
      </c>
    </row>
    <row r="170" spans="1:28" ht="14.25" customHeight="1" x14ac:dyDescent="0.4">
      <c r="A170">
        <v>375</v>
      </c>
      <c r="B170" s="24">
        <v>0</v>
      </c>
      <c r="C170" s="24">
        <v>0</v>
      </c>
      <c r="D170" s="24">
        <v>0</v>
      </c>
      <c r="E170" s="24">
        <v>0</v>
      </c>
      <c r="F170" s="24">
        <v>0</v>
      </c>
      <c r="G170" s="24">
        <v>0</v>
      </c>
      <c r="H170" s="37">
        <v>311</v>
      </c>
      <c r="I170" s="23">
        <v>41244</v>
      </c>
      <c r="J170" s="37">
        <v>33</v>
      </c>
      <c r="K170" s="24" t="s">
        <v>2129</v>
      </c>
      <c r="L170" s="24">
        <v>41244</v>
      </c>
      <c r="M170" s="24">
        <v>41072</v>
      </c>
      <c r="N170" s="22" t="s">
        <v>668</v>
      </c>
      <c r="O170">
        <v>9130594</v>
      </c>
      <c r="P170" s="22">
        <v>1025</v>
      </c>
      <c r="Q170" s="22">
        <v>42</v>
      </c>
      <c r="R170" s="22">
        <v>54402</v>
      </c>
      <c r="S170" s="4"/>
      <c r="T170" s="4"/>
      <c r="U170" s="44"/>
      <c r="V170" s="4"/>
      <c r="W170" s="57"/>
      <c r="X170" s="74"/>
      <c r="Y170" s="28" t="e">
        <v>#REF!</v>
      </c>
      <c r="Z170" s="27"/>
      <c r="AA170" s="24">
        <v>0</v>
      </c>
      <c r="AB170" s="28">
        <v>0</v>
      </c>
    </row>
    <row r="171" spans="1:28" ht="14.25" customHeight="1" x14ac:dyDescent="0.4">
      <c r="A171">
        <v>376</v>
      </c>
      <c r="B171" s="24">
        <v>0</v>
      </c>
      <c r="C171" s="24">
        <v>0</v>
      </c>
      <c r="D171" s="24">
        <v>0</v>
      </c>
      <c r="E171" s="24">
        <v>0</v>
      </c>
      <c r="F171" s="24">
        <v>0</v>
      </c>
      <c r="G171" s="24">
        <v>0</v>
      </c>
      <c r="H171" s="37">
        <v>312</v>
      </c>
      <c r="I171" s="23">
        <v>41244</v>
      </c>
      <c r="J171" s="37">
        <v>34</v>
      </c>
      <c r="K171" s="24" t="s">
        <v>2129</v>
      </c>
      <c r="L171" s="24">
        <v>41244</v>
      </c>
      <c r="M171" s="24">
        <v>41072</v>
      </c>
      <c r="N171" s="22" t="s">
        <v>668</v>
      </c>
      <c r="O171">
        <v>9130595</v>
      </c>
      <c r="P171" s="22">
        <v>1025</v>
      </c>
      <c r="Q171" s="22">
        <v>42</v>
      </c>
      <c r="R171" s="22">
        <v>54403</v>
      </c>
      <c r="T171" s="4"/>
      <c r="U171" s="42"/>
      <c r="V171" s="4"/>
      <c r="W171" s="28"/>
      <c r="Y171" s="28" t="e">
        <v>#REF!</v>
      </c>
      <c r="AA171" s="24">
        <v>0</v>
      </c>
      <c r="AB171" s="28">
        <v>0</v>
      </c>
    </row>
    <row r="172" spans="1:28" ht="14.25" customHeight="1" x14ac:dyDescent="0.4">
      <c r="A172">
        <v>377</v>
      </c>
      <c r="B172" s="22">
        <v>0</v>
      </c>
      <c r="C172" s="22">
        <v>0</v>
      </c>
      <c r="D172" s="22">
        <v>0</v>
      </c>
      <c r="E172" s="24">
        <v>0</v>
      </c>
      <c r="F172" s="24">
        <v>0</v>
      </c>
      <c r="G172" s="24">
        <v>0</v>
      </c>
      <c r="H172" s="37">
        <v>313</v>
      </c>
      <c r="I172" s="23">
        <v>41244</v>
      </c>
      <c r="J172" s="37">
        <v>35</v>
      </c>
      <c r="K172" s="24" t="s">
        <v>2129</v>
      </c>
      <c r="L172" s="24">
        <v>41244</v>
      </c>
      <c r="M172" s="24">
        <v>41072</v>
      </c>
      <c r="N172" s="22" t="s">
        <v>668</v>
      </c>
      <c r="O172">
        <v>9130596</v>
      </c>
      <c r="P172" s="22">
        <v>1025</v>
      </c>
      <c r="Q172" s="22">
        <v>42</v>
      </c>
      <c r="R172" s="22">
        <v>54404</v>
      </c>
      <c r="S172" s="4"/>
      <c r="T172" s="4"/>
      <c r="U172" s="44"/>
      <c r="V172" s="4"/>
      <c r="W172" s="28"/>
      <c r="X172" s="74"/>
      <c r="Y172" s="28" t="e">
        <v>#REF!</v>
      </c>
      <c r="Z172" s="9"/>
      <c r="AA172" s="24">
        <v>0</v>
      </c>
      <c r="AB172" s="28">
        <v>0</v>
      </c>
    </row>
    <row r="173" spans="1:28" ht="14.25" customHeight="1" x14ac:dyDescent="0.4">
      <c r="A173">
        <v>378</v>
      </c>
      <c r="B173" s="22">
        <v>0</v>
      </c>
      <c r="C173" s="22" t="s">
        <v>2165</v>
      </c>
      <c r="D173" s="22" t="s">
        <v>23</v>
      </c>
      <c r="E173" s="24">
        <v>0</v>
      </c>
      <c r="F173" s="24">
        <v>0</v>
      </c>
      <c r="G173" s="24">
        <v>0</v>
      </c>
      <c r="H173" s="37">
        <v>314</v>
      </c>
      <c r="I173" s="23">
        <v>41244</v>
      </c>
      <c r="J173" s="37">
        <v>36</v>
      </c>
      <c r="K173" s="24" t="s">
        <v>2129</v>
      </c>
      <c r="L173" s="24">
        <v>41244</v>
      </c>
      <c r="M173" s="24">
        <v>41072</v>
      </c>
      <c r="N173" s="22" t="s">
        <v>668</v>
      </c>
      <c r="O173">
        <v>9130599</v>
      </c>
      <c r="P173" s="22">
        <v>1025</v>
      </c>
      <c r="Q173" s="22">
        <v>42</v>
      </c>
      <c r="R173" s="22">
        <v>54405</v>
      </c>
      <c r="S173" s="4"/>
      <c r="T173" s="4"/>
      <c r="U173" s="42"/>
      <c r="V173" s="4"/>
      <c r="W173" s="28"/>
      <c r="X173" s="74"/>
      <c r="Y173" s="28" t="e">
        <v>#REF!</v>
      </c>
      <c r="Z173" s="28"/>
      <c r="AA173" s="24">
        <v>0</v>
      </c>
      <c r="AB173" s="28">
        <v>0</v>
      </c>
    </row>
    <row r="174" spans="1:28" ht="14.25" customHeight="1" x14ac:dyDescent="0.4">
      <c r="A174">
        <v>379</v>
      </c>
      <c r="B174" s="22">
        <v>0</v>
      </c>
      <c r="C174" s="22" t="s">
        <v>2165</v>
      </c>
      <c r="D174" s="22">
        <v>0</v>
      </c>
      <c r="E174" s="24">
        <v>0</v>
      </c>
      <c r="F174" s="24">
        <v>0</v>
      </c>
      <c r="G174" s="24">
        <v>0</v>
      </c>
      <c r="H174" s="37">
        <v>370</v>
      </c>
      <c r="I174" s="23">
        <v>41275</v>
      </c>
      <c r="J174" s="37">
        <v>41</v>
      </c>
      <c r="K174" s="24" t="s">
        <v>2129</v>
      </c>
      <c r="L174" s="24">
        <v>41275</v>
      </c>
      <c r="M174" s="24">
        <v>41072</v>
      </c>
      <c r="N174" s="22" t="s">
        <v>668</v>
      </c>
      <c r="O174">
        <v>9130602</v>
      </c>
      <c r="P174" s="22">
        <v>1025</v>
      </c>
      <c r="Q174" s="22">
        <v>42</v>
      </c>
      <c r="R174" s="22">
        <v>54408</v>
      </c>
      <c r="S174" s="4"/>
      <c r="T174" s="4"/>
      <c r="U174" s="42"/>
      <c r="V174" s="4"/>
      <c r="W174" s="28"/>
      <c r="X174" s="74"/>
      <c r="Y174" s="28" t="e">
        <v>#REF!</v>
      </c>
      <c r="Z174" s="9"/>
      <c r="AA174" s="24">
        <v>0</v>
      </c>
      <c r="AB174" s="28">
        <v>0</v>
      </c>
    </row>
    <row r="175" spans="1:28" ht="14.25" customHeight="1" x14ac:dyDescent="0.4">
      <c r="A175">
        <v>380</v>
      </c>
      <c r="B175" s="22">
        <v>0</v>
      </c>
      <c r="C175" s="22" t="s">
        <v>2165</v>
      </c>
      <c r="D175" s="22">
        <v>0</v>
      </c>
      <c r="E175" s="24">
        <v>0</v>
      </c>
      <c r="F175" s="24">
        <v>0</v>
      </c>
      <c r="G175" s="24">
        <v>0</v>
      </c>
      <c r="H175" s="37">
        <v>371</v>
      </c>
      <c r="I175" s="23">
        <v>41275</v>
      </c>
      <c r="J175" s="37">
        <v>42</v>
      </c>
      <c r="K175" s="24" t="s">
        <v>2129</v>
      </c>
      <c r="L175" s="24">
        <v>41275</v>
      </c>
      <c r="M175" s="24">
        <v>41072</v>
      </c>
      <c r="N175" s="22" t="s">
        <v>668</v>
      </c>
      <c r="O175">
        <v>9130605</v>
      </c>
      <c r="P175" s="22">
        <v>1025</v>
      </c>
      <c r="Q175" s="22">
        <v>42</v>
      </c>
      <c r="R175" s="22">
        <v>54409</v>
      </c>
      <c r="S175" s="4"/>
      <c r="T175" s="4"/>
      <c r="U175" s="44"/>
      <c r="V175" s="4"/>
      <c r="W175" s="28"/>
      <c r="Y175" s="28" t="e">
        <v>#REF!</v>
      </c>
      <c r="Z175" s="9"/>
      <c r="AA175" s="24">
        <v>0</v>
      </c>
      <c r="AB175" s="28">
        <v>0</v>
      </c>
    </row>
    <row r="176" spans="1:28" ht="14.25" customHeight="1" x14ac:dyDescent="0.4">
      <c r="A176">
        <v>381</v>
      </c>
      <c r="B176" s="22">
        <v>0</v>
      </c>
      <c r="C176" s="22" t="s">
        <v>2165</v>
      </c>
      <c r="D176" s="22">
        <v>0</v>
      </c>
      <c r="E176" s="24">
        <v>0</v>
      </c>
      <c r="F176" s="24">
        <v>0</v>
      </c>
      <c r="G176" s="24">
        <v>0</v>
      </c>
      <c r="H176" s="37">
        <v>372</v>
      </c>
      <c r="I176" s="23">
        <v>41275</v>
      </c>
      <c r="J176" s="37">
        <v>43</v>
      </c>
      <c r="K176" s="24" t="s">
        <v>2129</v>
      </c>
      <c r="L176" s="24">
        <v>41275</v>
      </c>
      <c r="M176" s="24">
        <v>41072</v>
      </c>
      <c r="N176" s="22" t="s">
        <v>668</v>
      </c>
      <c r="O176">
        <v>9130609</v>
      </c>
      <c r="P176" s="22">
        <v>1025</v>
      </c>
      <c r="Q176" s="22">
        <v>42</v>
      </c>
      <c r="R176" s="22">
        <v>54410</v>
      </c>
      <c r="S176" s="4"/>
      <c r="T176" s="4"/>
      <c r="U176" s="44"/>
      <c r="V176" s="4"/>
      <c r="W176" s="28"/>
      <c r="X176" s="74"/>
      <c r="Y176" s="28" t="e">
        <v>#REF!</v>
      </c>
      <c r="Z176" s="28"/>
      <c r="AA176" s="24">
        <v>0</v>
      </c>
      <c r="AB176" s="28">
        <v>0</v>
      </c>
    </row>
    <row r="177" spans="1:28" ht="14.25" customHeight="1" x14ac:dyDescent="0.4">
      <c r="A177">
        <v>382</v>
      </c>
      <c r="B177" s="24">
        <v>0</v>
      </c>
      <c r="C177" s="24">
        <v>0</v>
      </c>
      <c r="D177" s="24">
        <v>0</v>
      </c>
      <c r="E177" s="24">
        <v>0</v>
      </c>
      <c r="F177" s="24">
        <v>0</v>
      </c>
      <c r="G177" s="24">
        <v>0</v>
      </c>
      <c r="H177" s="37">
        <v>373</v>
      </c>
      <c r="I177" s="23">
        <v>41275</v>
      </c>
      <c r="J177" s="37">
        <v>44</v>
      </c>
      <c r="K177" s="24" t="s">
        <v>2129</v>
      </c>
      <c r="L177" s="24">
        <v>41275</v>
      </c>
      <c r="M177" s="24">
        <v>41072</v>
      </c>
      <c r="N177" s="22" t="s">
        <v>668</v>
      </c>
      <c r="O177">
        <v>9130610</v>
      </c>
      <c r="P177" s="22">
        <v>1025</v>
      </c>
      <c r="Q177" s="22">
        <v>42</v>
      </c>
      <c r="R177" s="22">
        <v>54411</v>
      </c>
      <c r="S177" s="4"/>
      <c r="T177" s="4"/>
      <c r="U177" s="168"/>
      <c r="V177" s="4"/>
      <c r="W177" s="28"/>
      <c r="X177" s="74"/>
      <c r="Y177" s="28" t="e">
        <v>#REF!</v>
      </c>
      <c r="Z177" s="28"/>
      <c r="AA177" s="24">
        <v>0</v>
      </c>
      <c r="AB177" s="28">
        <v>0</v>
      </c>
    </row>
    <row r="178" spans="1:28" ht="14.25" customHeight="1" x14ac:dyDescent="0.4">
      <c r="A178">
        <v>383</v>
      </c>
      <c r="B178" s="24">
        <v>0</v>
      </c>
      <c r="C178" s="24">
        <v>0</v>
      </c>
      <c r="D178" s="24">
        <v>0</v>
      </c>
      <c r="E178" s="24">
        <v>0</v>
      </c>
      <c r="F178" s="24">
        <v>0</v>
      </c>
      <c r="G178" s="24">
        <v>0</v>
      </c>
      <c r="H178" s="37">
        <v>374</v>
      </c>
      <c r="I178" s="23">
        <v>41275</v>
      </c>
      <c r="J178" s="37">
        <v>45</v>
      </c>
      <c r="K178" s="24" t="s">
        <v>2129</v>
      </c>
      <c r="L178" s="24">
        <v>41275</v>
      </c>
      <c r="M178" s="24">
        <v>41072</v>
      </c>
      <c r="N178" s="22" t="s">
        <v>668</v>
      </c>
      <c r="O178">
        <v>9130612</v>
      </c>
      <c r="P178" s="22">
        <v>1025</v>
      </c>
      <c r="Q178" s="22">
        <v>42</v>
      </c>
      <c r="R178" s="22">
        <v>54412</v>
      </c>
      <c r="S178" s="4"/>
      <c r="T178" s="4"/>
      <c r="U178" s="42"/>
      <c r="V178" s="4"/>
      <c r="X178" s="74"/>
      <c r="Y178" s="28" t="e">
        <v>#REF!</v>
      </c>
      <c r="Z178" s="28"/>
      <c r="AA178" s="24">
        <v>0</v>
      </c>
      <c r="AB178" s="28">
        <v>0</v>
      </c>
    </row>
    <row r="179" spans="1:28" ht="14.25" customHeight="1" x14ac:dyDescent="0.4">
      <c r="A179">
        <v>384</v>
      </c>
      <c r="B179" s="24">
        <v>0</v>
      </c>
      <c r="C179" s="24">
        <v>0</v>
      </c>
      <c r="D179" s="24">
        <v>0</v>
      </c>
      <c r="E179" s="24">
        <v>0</v>
      </c>
      <c r="F179" s="24">
        <v>0</v>
      </c>
      <c r="G179" s="24">
        <v>0</v>
      </c>
      <c r="H179" s="37">
        <v>375</v>
      </c>
      <c r="I179" s="23">
        <v>41275</v>
      </c>
      <c r="J179" s="37">
        <v>46</v>
      </c>
      <c r="K179" s="24" t="s">
        <v>2129</v>
      </c>
      <c r="L179" s="24">
        <v>41275</v>
      </c>
      <c r="M179" s="24">
        <v>41072</v>
      </c>
      <c r="N179" s="22" t="s">
        <v>668</v>
      </c>
      <c r="O179">
        <v>9130615</v>
      </c>
      <c r="P179" s="22">
        <v>1025</v>
      </c>
      <c r="Q179" s="22">
        <v>42</v>
      </c>
      <c r="R179" s="22">
        <v>54413</v>
      </c>
      <c r="S179" s="4"/>
      <c r="T179" s="4"/>
      <c r="U179" s="42"/>
      <c r="V179" s="4"/>
      <c r="W179" s="43"/>
      <c r="X179" s="74"/>
      <c r="Y179" s="28" t="e">
        <v>#REF!</v>
      </c>
      <c r="Z179" s="9"/>
      <c r="AA179" s="24">
        <v>0</v>
      </c>
      <c r="AB179" s="28">
        <v>0</v>
      </c>
    </row>
    <row r="180" spans="1:28" ht="14.25" customHeight="1" x14ac:dyDescent="0.4">
      <c r="A180">
        <v>385</v>
      </c>
      <c r="B180" s="24">
        <v>41127</v>
      </c>
      <c r="C180" s="24">
        <v>41127</v>
      </c>
      <c r="D180" s="24">
        <v>41127</v>
      </c>
      <c r="E180" s="24">
        <v>41127</v>
      </c>
      <c r="F180" s="24" t="s">
        <v>393</v>
      </c>
      <c r="G180" s="24">
        <v>41129</v>
      </c>
      <c r="H180" s="37">
        <v>41</v>
      </c>
      <c r="I180" s="23">
        <v>41122</v>
      </c>
      <c r="J180" s="37">
        <v>9</v>
      </c>
      <c r="K180" s="24" t="s">
        <v>2129</v>
      </c>
      <c r="L180" s="24">
        <v>41306</v>
      </c>
      <c r="M180" s="24">
        <v>41072</v>
      </c>
      <c r="N180" s="22" t="s">
        <v>668</v>
      </c>
      <c r="O180">
        <v>9130616</v>
      </c>
      <c r="P180" s="22">
        <v>1025</v>
      </c>
      <c r="Q180" s="22">
        <v>42</v>
      </c>
      <c r="R180" s="22" t="s">
        <v>2317</v>
      </c>
      <c r="S180" s="4" t="s">
        <v>1183</v>
      </c>
      <c r="T180" s="4" t="s">
        <v>404</v>
      </c>
      <c r="U180" s="164">
        <v>41173</v>
      </c>
      <c r="V180" s="4"/>
      <c r="Y180" s="28" t="e">
        <v>#REF!</v>
      </c>
      <c r="AA180" s="24" t="s">
        <v>393</v>
      </c>
      <c r="AB180" s="28">
        <v>41129</v>
      </c>
    </row>
    <row r="181" spans="1:28" ht="14.25" customHeight="1" x14ac:dyDescent="0.4">
      <c r="A181">
        <v>386</v>
      </c>
      <c r="B181" s="24">
        <v>41163</v>
      </c>
      <c r="C181" s="24">
        <v>41163</v>
      </c>
      <c r="D181" s="24">
        <v>41163</v>
      </c>
      <c r="E181" s="24">
        <v>41163</v>
      </c>
      <c r="F181" s="24" t="s">
        <v>392</v>
      </c>
      <c r="G181" s="24">
        <v>41179</v>
      </c>
      <c r="H181" s="37">
        <v>113</v>
      </c>
      <c r="I181" s="23">
        <v>41153</v>
      </c>
      <c r="J181" s="37">
        <v>18</v>
      </c>
      <c r="K181" s="24" t="s">
        <v>2129</v>
      </c>
      <c r="L181" s="24">
        <v>41306</v>
      </c>
      <c r="M181" s="24">
        <v>41072</v>
      </c>
      <c r="N181" s="22" t="s">
        <v>668</v>
      </c>
      <c r="O181">
        <v>9130617</v>
      </c>
      <c r="P181" s="22">
        <v>1025</v>
      </c>
      <c r="Q181" s="22">
        <v>42</v>
      </c>
      <c r="R181" s="22">
        <v>54416</v>
      </c>
      <c r="S181" s="4"/>
      <c r="T181" s="4"/>
      <c r="U181" s="164"/>
      <c r="V181" s="4"/>
      <c r="Y181" s="28" t="e">
        <v>#REF!</v>
      </c>
      <c r="AA181" s="24" t="s">
        <v>392</v>
      </c>
      <c r="AB181" s="28">
        <v>41179</v>
      </c>
    </row>
    <row r="182" spans="1:28" ht="14.25" customHeight="1" x14ac:dyDescent="0.4">
      <c r="A182">
        <v>387</v>
      </c>
      <c r="B182" s="24">
        <v>0</v>
      </c>
      <c r="C182" s="24">
        <v>0</v>
      </c>
      <c r="D182" s="24">
        <v>0</v>
      </c>
      <c r="E182" s="24">
        <v>0</v>
      </c>
      <c r="F182" s="24">
        <v>0</v>
      </c>
      <c r="G182" s="24">
        <v>0</v>
      </c>
      <c r="H182" s="37">
        <v>429</v>
      </c>
      <c r="I182" s="23">
        <v>41306</v>
      </c>
      <c r="J182" s="37">
        <v>34</v>
      </c>
      <c r="K182" s="24" t="s">
        <v>2129</v>
      </c>
      <c r="L182" s="24">
        <v>41306</v>
      </c>
      <c r="M182" s="24">
        <v>41072</v>
      </c>
      <c r="N182" s="22" t="s">
        <v>668</v>
      </c>
      <c r="O182">
        <v>9130618</v>
      </c>
      <c r="P182" s="22">
        <v>1025</v>
      </c>
      <c r="Q182" s="22">
        <v>42</v>
      </c>
      <c r="R182" s="22">
        <v>54417</v>
      </c>
      <c r="S182" s="4"/>
      <c r="T182" s="4"/>
      <c r="U182" s="164"/>
      <c r="V182" s="4"/>
      <c r="Y182" s="28" t="e">
        <v>#REF!</v>
      </c>
      <c r="AA182" s="24">
        <v>0</v>
      </c>
      <c r="AB182" s="28">
        <v>0</v>
      </c>
    </row>
    <row r="183" spans="1:28" ht="14.25" customHeight="1" x14ac:dyDescent="0.4">
      <c r="A183">
        <v>388</v>
      </c>
      <c r="B183" s="24">
        <v>0</v>
      </c>
      <c r="C183" s="24">
        <v>0</v>
      </c>
      <c r="D183" s="24">
        <v>0</v>
      </c>
      <c r="E183" s="24">
        <v>0</v>
      </c>
      <c r="F183" s="24">
        <v>0</v>
      </c>
      <c r="G183" s="24">
        <v>0</v>
      </c>
      <c r="H183" s="37">
        <v>261</v>
      </c>
      <c r="I183" s="23">
        <v>41214</v>
      </c>
      <c r="J183" s="37">
        <v>40</v>
      </c>
      <c r="K183" s="24" t="s">
        <v>2129</v>
      </c>
      <c r="L183" s="24">
        <v>41214</v>
      </c>
      <c r="M183" s="24">
        <v>41072</v>
      </c>
      <c r="N183" s="22" t="s">
        <v>668</v>
      </c>
      <c r="O183">
        <v>9130619</v>
      </c>
      <c r="P183" s="22">
        <v>1025</v>
      </c>
      <c r="Q183" s="22">
        <v>42</v>
      </c>
      <c r="R183" s="22">
        <v>54396</v>
      </c>
      <c r="S183" s="4"/>
      <c r="T183" s="4"/>
      <c r="U183" s="164"/>
      <c r="V183" s="4"/>
      <c r="Y183" s="28" t="e">
        <v>#REF!</v>
      </c>
      <c r="AA183" s="24">
        <v>0</v>
      </c>
      <c r="AB183" s="28">
        <v>0</v>
      </c>
    </row>
    <row r="184" spans="1:28" ht="14.25" customHeight="1" x14ac:dyDescent="0.4">
      <c r="A184">
        <v>389</v>
      </c>
      <c r="B184" s="24">
        <v>41123</v>
      </c>
      <c r="C184" s="24">
        <v>41123</v>
      </c>
      <c r="D184" s="24">
        <v>41123</v>
      </c>
      <c r="E184" s="24">
        <v>41123</v>
      </c>
      <c r="F184" s="24" t="s">
        <v>393</v>
      </c>
      <c r="G184" s="24">
        <v>41129</v>
      </c>
      <c r="H184" s="37">
        <v>36</v>
      </c>
      <c r="I184" s="23">
        <v>41122</v>
      </c>
      <c r="J184" s="37">
        <v>4</v>
      </c>
      <c r="K184" s="24" t="s">
        <v>2129</v>
      </c>
      <c r="L184" s="24">
        <v>41122</v>
      </c>
      <c r="M184" s="24">
        <v>41072</v>
      </c>
      <c r="N184" s="22" t="s">
        <v>668</v>
      </c>
      <c r="O184">
        <v>9130622</v>
      </c>
      <c r="P184" s="22">
        <v>720</v>
      </c>
      <c r="Q184" s="22">
        <v>42</v>
      </c>
      <c r="R184" s="22" t="s">
        <v>2318</v>
      </c>
      <c r="S184" s="4"/>
      <c r="T184" s="4"/>
      <c r="U184" s="164"/>
      <c r="V184" s="4"/>
      <c r="Y184" s="28" t="e">
        <v>#REF!</v>
      </c>
      <c r="AA184" s="24" t="s">
        <v>393</v>
      </c>
      <c r="AB184" s="28">
        <v>41129</v>
      </c>
    </row>
    <row r="185" spans="1:28" ht="14.25" customHeight="1" x14ac:dyDescent="0.4">
      <c r="A185">
        <v>390</v>
      </c>
      <c r="B185" s="24">
        <v>41124</v>
      </c>
      <c r="C185" s="24">
        <v>41124</v>
      </c>
      <c r="D185" s="24">
        <v>41124</v>
      </c>
      <c r="E185" s="24">
        <v>41124</v>
      </c>
      <c r="F185" s="24" t="s">
        <v>393</v>
      </c>
      <c r="G185" s="24">
        <v>41128</v>
      </c>
      <c r="H185" s="37">
        <v>37</v>
      </c>
      <c r="I185" s="23">
        <v>41122</v>
      </c>
      <c r="J185" s="37">
        <v>5</v>
      </c>
      <c r="K185" s="24" t="s">
        <v>2129</v>
      </c>
      <c r="L185" s="24">
        <v>41183</v>
      </c>
      <c r="M185" s="24">
        <v>41072</v>
      </c>
      <c r="N185" s="22" t="s">
        <v>668</v>
      </c>
      <c r="O185">
        <v>9130623</v>
      </c>
      <c r="P185" s="22">
        <v>720</v>
      </c>
      <c r="Q185" s="22">
        <v>42</v>
      </c>
      <c r="R185" s="22" t="s">
        <v>2319</v>
      </c>
      <c r="S185" s="4"/>
      <c r="T185" s="4"/>
      <c r="U185" s="164"/>
      <c r="V185" s="4"/>
      <c r="Y185" s="28" t="e">
        <v>#REF!</v>
      </c>
      <c r="AA185" s="24" t="s">
        <v>393</v>
      </c>
      <c r="AB185" s="28">
        <v>41128</v>
      </c>
    </row>
    <row r="186" spans="1:28" ht="14.25" customHeight="1" x14ac:dyDescent="0.4">
      <c r="A186">
        <v>391</v>
      </c>
      <c r="B186" s="24">
        <v>0</v>
      </c>
      <c r="C186" s="24">
        <v>0</v>
      </c>
      <c r="D186" s="24">
        <v>0</v>
      </c>
      <c r="E186" s="24">
        <v>0</v>
      </c>
      <c r="F186" s="24">
        <v>0</v>
      </c>
      <c r="G186" s="24">
        <v>0</v>
      </c>
      <c r="H186" s="37">
        <v>273</v>
      </c>
      <c r="I186" s="23">
        <v>41214</v>
      </c>
      <c r="J186" s="37">
        <v>52</v>
      </c>
      <c r="K186" s="24" t="s">
        <v>2129</v>
      </c>
      <c r="L186" s="24">
        <v>41214</v>
      </c>
      <c r="M186" s="24">
        <v>41072</v>
      </c>
      <c r="N186" s="22" t="s">
        <v>668</v>
      </c>
      <c r="O186">
        <v>9130626</v>
      </c>
      <c r="P186" s="22">
        <v>720</v>
      </c>
      <c r="Q186" s="22">
        <v>42</v>
      </c>
      <c r="R186" s="22">
        <v>54398</v>
      </c>
      <c r="T186" s="4"/>
      <c r="U186" s="164"/>
      <c r="V186" s="4"/>
      <c r="W186" s="28"/>
      <c r="Y186" s="28" t="e">
        <v>#REF!</v>
      </c>
      <c r="AA186" s="24">
        <v>0</v>
      </c>
      <c r="AB186" s="28">
        <v>0</v>
      </c>
    </row>
    <row r="187" spans="1:28" ht="14.25" customHeight="1" x14ac:dyDescent="0.4">
      <c r="A187">
        <v>392</v>
      </c>
      <c r="B187" s="24">
        <v>0</v>
      </c>
      <c r="C187" s="24">
        <v>0</v>
      </c>
      <c r="D187" s="24">
        <v>0</v>
      </c>
      <c r="E187" s="24">
        <v>0</v>
      </c>
      <c r="F187" s="24">
        <v>0</v>
      </c>
      <c r="G187" s="24">
        <v>0</v>
      </c>
      <c r="H187" s="37">
        <v>274</v>
      </c>
      <c r="I187" s="23">
        <v>41214</v>
      </c>
      <c r="J187" s="37">
        <v>53</v>
      </c>
      <c r="K187" s="24" t="s">
        <v>2129</v>
      </c>
      <c r="L187" s="24">
        <v>41214</v>
      </c>
      <c r="M187" s="24">
        <v>41072</v>
      </c>
      <c r="N187" s="22" t="s">
        <v>668</v>
      </c>
      <c r="O187">
        <v>9130628</v>
      </c>
      <c r="P187" s="22">
        <v>720</v>
      </c>
      <c r="Q187" s="22">
        <v>42</v>
      </c>
      <c r="R187" s="22">
        <v>54399</v>
      </c>
      <c r="T187" s="4"/>
      <c r="U187" s="164"/>
      <c r="V187" s="4"/>
      <c r="W187" s="28"/>
      <c r="Y187" s="28" t="e">
        <v>#REF!</v>
      </c>
      <c r="AA187" s="24">
        <v>0</v>
      </c>
      <c r="AB187" s="28">
        <v>0</v>
      </c>
    </row>
    <row r="188" spans="1:28" ht="14.25" customHeight="1" x14ac:dyDescent="0.4">
      <c r="A188">
        <v>393</v>
      </c>
      <c r="B188" s="24">
        <v>0</v>
      </c>
      <c r="C188" s="24">
        <v>0</v>
      </c>
      <c r="D188" s="24">
        <v>0</v>
      </c>
      <c r="E188" s="24">
        <v>0</v>
      </c>
      <c r="F188" s="24">
        <v>0</v>
      </c>
      <c r="G188" s="24">
        <v>0</v>
      </c>
      <c r="H188" s="37">
        <v>325</v>
      </c>
      <c r="I188" s="23">
        <v>41244</v>
      </c>
      <c r="J188" s="37">
        <v>47</v>
      </c>
      <c r="K188" s="24" t="s">
        <v>2129</v>
      </c>
      <c r="L188" s="24">
        <v>41244</v>
      </c>
      <c r="M188" s="24">
        <v>41072</v>
      </c>
      <c r="N188" s="22" t="s">
        <v>668</v>
      </c>
      <c r="O188">
        <v>9130629</v>
      </c>
      <c r="P188" s="22">
        <v>720</v>
      </c>
      <c r="Q188" s="22">
        <v>42</v>
      </c>
      <c r="R188" s="22">
        <v>54406</v>
      </c>
      <c r="T188" s="4"/>
      <c r="U188" s="164"/>
      <c r="V188" s="4"/>
      <c r="Y188" s="28" t="e">
        <v>#REF!</v>
      </c>
      <c r="AA188" s="24">
        <v>0</v>
      </c>
      <c r="AB188" s="28">
        <v>0</v>
      </c>
    </row>
    <row r="189" spans="1:28" ht="14.25" customHeight="1" x14ac:dyDescent="0.4">
      <c r="A189">
        <v>394</v>
      </c>
      <c r="B189" s="24">
        <v>0</v>
      </c>
      <c r="C189" s="24">
        <v>0</v>
      </c>
      <c r="D189" s="24">
        <v>0</v>
      </c>
      <c r="E189" s="24">
        <v>0</v>
      </c>
      <c r="F189" s="24">
        <v>0</v>
      </c>
      <c r="G189" s="24">
        <v>0</v>
      </c>
      <c r="H189" s="37">
        <v>326</v>
      </c>
      <c r="I189" s="23">
        <v>41244</v>
      </c>
      <c r="J189" s="37">
        <v>48</v>
      </c>
      <c r="K189" s="24" t="s">
        <v>2129</v>
      </c>
      <c r="L189" s="24">
        <v>41244</v>
      </c>
      <c r="M189" s="24">
        <v>41072</v>
      </c>
      <c r="N189" s="22" t="s">
        <v>668</v>
      </c>
      <c r="O189">
        <v>9130631</v>
      </c>
      <c r="P189" s="22">
        <v>720</v>
      </c>
      <c r="Q189" s="22">
        <v>42</v>
      </c>
      <c r="R189" s="22">
        <v>54407</v>
      </c>
      <c r="T189" s="4"/>
      <c r="U189" s="164"/>
      <c r="V189" s="4"/>
      <c r="W189" s="28"/>
      <c r="Y189" s="28" t="e">
        <v>#REF!</v>
      </c>
      <c r="AA189" s="24">
        <v>0</v>
      </c>
      <c r="AB189" s="28">
        <v>0</v>
      </c>
    </row>
    <row r="190" spans="1:28" ht="14.25" customHeight="1" x14ac:dyDescent="0.4">
      <c r="A190">
        <v>395</v>
      </c>
      <c r="B190" s="22">
        <v>0</v>
      </c>
      <c r="C190" s="22" t="s">
        <v>2165</v>
      </c>
      <c r="D190" s="22">
        <v>0</v>
      </c>
      <c r="E190" s="24">
        <v>0</v>
      </c>
      <c r="F190" s="24">
        <v>0</v>
      </c>
      <c r="G190" s="24">
        <v>0</v>
      </c>
      <c r="H190" s="37">
        <v>392</v>
      </c>
      <c r="I190" s="23">
        <v>41275</v>
      </c>
      <c r="J190" s="37">
        <v>63</v>
      </c>
      <c r="K190" s="24" t="s">
        <v>2129</v>
      </c>
      <c r="L190" s="24">
        <v>41275</v>
      </c>
      <c r="M190" s="24">
        <v>41072</v>
      </c>
      <c r="N190" s="22" t="s">
        <v>668</v>
      </c>
      <c r="O190">
        <v>9130633</v>
      </c>
      <c r="P190" s="22">
        <v>720</v>
      </c>
      <c r="Q190" s="22">
        <v>42</v>
      </c>
      <c r="R190" s="22">
        <v>54414</v>
      </c>
      <c r="S190" s="190"/>
      <c r="T190" s="4"/>
      <c r="U190" s="193"/>
      <c r="V190" s="4"/>
      <c r="W190" s="194"/>
      <c r="Y190" s="28" t="e">
        <v>#REF!</v>
      </c>
      <c r="AA190" s="24">
        <v>0</v>
      </c>
      <c r="AB190" s="28">
        <v>0</v>
      </c>
    </row>
    <row r="191" spans="1:28" ht="14.25" customHeight="1" x14ac:dyDescent="0.4">
      <c r="A191">
        <v>484</v>
      </c>
      <c r="B191" s="24">
        <v>41150</v>
      </c>
      <c r="C191" s="24">
        <v>41150</v>
      </c>
      <c r="D191" s="24">
        <v>41150</v>
      </c>
      <c r="E191" s="24">
        <v>41150</v>
      </c>
      <c r="F191" s="24" t="s">
        <v>393</v>
      </c>
      <c r="G191" s="24">
        <v>41151</v>
      </c>
      <c r="H191" s="37">
        <v>92</v>
      </c>
      <c r="I191" s="23">
        <v>41122</v>
      </c>
      <c r="J191" s="37">
        <v>60</v>
      </c>
      <c r="K191" s="24" t="s">
        <v>2129</v>
      </c>
      <c r="L191" s="24">
        <v>41153</v>
      </c>
      <c r="M191" s="24">
        <v>41137</v>
      </c>
      <c r="N191" s="22" t="s">
        <v>1777</v>
      </c>
      <c r="O191">
        <v>9130793</v>
      </c>
      <c r="P191" s="22">
        <v>720</v>
      </c>
      <c r="Q191" s="22">
        <v>50</v>
      </c>
      <c r="R191" s="22" t="s">
        <v>1533</v>
      </c>
      <c r="S191" s="55"/>
      <c r="T191" s="4"/>
      <c r="U191" s="94"/>
      <c r="V191" s="4"/>
      <c r="W191" s="177"/>
      <c r="X191" s="74"/>
      <c r="Y191" s="28" t="e">
        <v>#REF!</v>
      </c>
      <c r="Z191" s="9"/>
      <c r="AA191" s="24" t="s">
        <v>393</v>
      </c>
      <c r="AB191" s="28">
        <v>41151</v>
      </c>
    </row>
    <row r="192" spans="1:28" ht="14.25" customHeight="1" x14ac:dyDescent="0.4">
      <c r="A192">
        <v>485</v>
      </c>
      <c r="B192" s="24">
        <v>0</v>
      </c>
      <c r="C192" s="24">
        <v>0</v>
      </c>
      <c r="D192" s="24">
        <v>0</v>
      </c>
      <c r="E192" s="24">
        <v>0</v>
      </c>
      <c r="F192" s="24">
        <v>0</v>
      </c>
      <c r="G192" s="24">
        <v>0</v>
      </c>
      <c r="H192" s="37">
        <v>184</v>
      </c>
      <c r="I192" s="23">
        <v>41183</v>
      </c>
      <c r="J192" s="37">
        <v>32</v>
      </c>
      <c r="K192" s="24" t="s">
        <v>2129</v>
      </c>
      <c r="L192" s="24">
        <v>41153</v>
      </c>
      <c r="M192" s="24">
        <v>41137</v>
      </c>
      <c r="N192" s="22" t="s">
        <v>1777</v>
      </c>
      <c r="O192">
        <v>9130794</v>
      </c>
      <c r="P192" s="22">
        <v>1220</v>
      </c>
      <c r="Q192" s="22">
        <v>50</v>
      </c>
      <c r="R192" s="22" t="s">
        <v>1541</v>
      </c>
      <c r="S192" s="192"/>
      <c r="T192" s="4"/>
      <c r="U192" s="42"/>
      <c r="V192" s="4"/>
      <c r="W192" s="191"/>
      <c r="X192" s="74"/>
      <c r="Y192" s="28" t="e">
        <v>#REF!</v>
      </c>
      <c r="Z192" s="28"/>
      <c r="AA192" s="24">
        <v>0</v>
      </c>
      <c r="AB192" s="28">
        <v>0</v>
      </c>
    </row>
    <row r="193" spans="1:28" ht="14.25" customHeight="1" x14ac:dyDescent="0.4">
      <c r="A193">
        <v>486</v>
      </c>
      <c r="B193" s="22">
        <v>0</v>
      </c>
      <c r="C193" s="22" t="s">
        <v>2165</v>
      </c>
      <c r="D193" s="22">
        <v>0</v>
      </c>
      <c r="E193" s="24">
        <v>41183</v>
      </c>
      <c r="F193" s="24" t="s">
        <v>422</v>
      </c>
      <c r="G193" s="24">
        <v>0</v>
      </c>
      <c r="H193" s="37">
        <v>156</v>
      </c>
      <c r="I193" s="23">
        <v>41183</v>
      </c>
      <c r="J193" s="37">
        <v>4</v>
      </c>
      <c r="K193" s="24" t="s">
        <v>2129</v>
      </c>
      <c r="L193" s="24">
        <v>41183</v>
      </c>
      <c r="M193" s="24">
        <v>41137</v>
      </c>
      <c r="N193" s="22" t="s">
        <v>1777</v>
      </c>
      <c r="O193">
        <v>9130797</v>
      </c>
      <c r="P193" s="22">
        <v>1025</v>
      </c>
      <c r="Q193" s="22">
        <v>50</v>
      </c>
      <c r="R193" s="22" t="s">
        <v>1542</v>
      </c>
      <c r="S193" s="55"/>
      <c r="T193" s="4"/>
      <c r="U193" s="94"/>
      <c r="V193" s="4"/>
      <c r="W193" s="92"/>
      <c r="X193" s="74"/>
      <c r="Y193" s="28" t="e">
        <v>#REF!</v>
      </c>
      <c r="Z193" s="9"/>
      <c r="AA193" s="24" t="s">
        <v>422</v>
      </c>
      <c r="AB193" s="28">
        <v>0</v>
      </c>
    </row>
    <row r="194" spans="1:28" ht="14.25" customHeight="1" x14ac:dyDescent="0.4">
      <c r="A194">
        <v>487</v>
      </c>
      <c r="B194" s="22">
        <v>0</v>
      </c>
      <c r="C194" s="22" t="s">
        <v>2165</v>
      </c>
      <c r="D194" s="22">
        <v>0</v>
      </c>
      <c r="E194" s="24">
        <v>0</v>
      </c>
      <c r="F194" s="24">
        <v>0</v>
      </c>
      <c r="G194" s="24">
        <v>0</v>
      </c>
      <c r="H194" s="37">
        <v>185</v>
      </c>
      <c r="I194" s="23">
        <v>41183</v>
      </c>
      <c r="J194" s="37">
        <v>33</v>
      </c>
      <c r="K194" s="24" t="s">
        <v>2129</v>
      </c>
      <c r="L194" s="24">
        <v>41153</v>
      </c>
      <c r="M194" s="24">
        <v>41137</v>
      </c>
      <c r="N194" s="22" t="s">
        <v>1777</v>
      </c>
      <c r="O194">
        <v>9130798</v>
      </c>
      <c r="P194" s="22">
        <v>1220</v>
      </c>
      <c r="Q194" s="22">
        <v>50</v>
      </c>
      <c r="R194" s="22" t="s">
        <v>1543</v>
      </c>
      <c r="S194" s="47"/>
      <c r="T194" s="4"/>
      <c r="U194" s="165"/>
      <c r="V194" s="4"/>
      <c r="W194" s="47"/>
      <c r="X194" s="86"/>
      <c r="Y194" s="28" t="e">
        <v>#REF!</v>
      </c>
      <c r="Z194" s="28"/>
      <c r="AA194" s="24">
        <v>0</v>
      </c>
      <c r="AB194" s="28">
        <v>0</v>
      </c>
    </row>
    <row r="195" spans="1:28" ht="14.25" customHeight="1" x14ac:dyDescent="0.4">
      <c r="A195">
        <v>488</v>
      </c>
      <c r="B195" s="22">
        <v>0</v>
      </c>
      <c r="C195" s="22" t="s">
        <v>2165</v>
      </c>
      <c r="D195" s="22">
        <v>0</v>
      </c>
      <c r="E195" s="24">
        <v>0</v>
      </c>
      <c r="F195" s="24">
        <v>0</v>
      </c>
      <c r="G195" s="24">
        <v>0</v>
      </c>
      <c r="H195" s="37">
        <v>186</v>
      </c>
      <c r="I195" s="23">
        <v>41183</v>
      </c>
      <c r="J195" s="37">
        <v>34</v>
      </c>
      <c r="K195" s="24" t="s">
        <v>2129</v>
      </c>
      <c r="L195" s="24">
        <v>41183</v>
      </c>
      <c r="M195" s="24">
        <v>41137</v>
      </c>
      <c r="N195" s="22" t="s">
        <v>1777</v>
      </c>
      <c r="O195">
        <v>9130799</v>
      </c>
      <c r="P195" s="22">
        <v>1220</v>
      </c>
      <c r="Q195" s="22">
        <v>50</v>
      </c>
      <c r="R195" s="22" t="s">
        <v>1544</v>
      </c>
      <c r="S195" s="4"/>
      <c r="T195" s="4"/>
      <c r="U195" s="44"/>
      <c r="V195" s="4"/>
      <c r="W195" s="4"/>
      <c r="X195" s="74"/>
      <c r="Y195" s="28" t="e">
        <v>#REF!</v>
      </c>
      <c r="Z195" s="28"/>
      <c r="AA195" s="24">
        <v>0</v>
      </c>
      <c r="AB195" s="28">
        <v>0</v>
      </c>
    </row>
    <row r="196" spans="1:28" ht="14.25" customHeight="1" x14ac:dyDescent="0.4">
      <c r="A196">
        <v>116</v>
      </c>
      <c r="B196" s="22">
        <v>0</v>
      </c>
      <c r="C196" s="22" t="s">
        <v>2165</v>
      </c>
      <c r="D196" s="22">
        <v>0</v>
      </c>
      <c r="E196" s="24">
        <v>0</v>
      </c>
      <c r="F196" s="24">
        <v>0</v>
      </c>
      <c r="G196" s="24">
        <v>0</v>
      </c>
      <c r="H196" s="37">
        <v>279</v>
      </c>
      <c r="I196" s="23">
        <v>41244</v>
      </c>
      <c r="J196" s="37">
        <v>1</v>
      </c>
      <c r="K196" s="24" t="s">
        <v>412</v>
      </c>
      <c r="L196" s="24">
        <v>41244</v>
      </c>
      <c r="M196" s="24">
        <v>41067</v>
      </c>
      <c r="N196" s="22" t="s">
        <v>563</v>
      </c>
      <c r="O196">
        <v>9130187</v>
      </c>
      <c r="P196" s="22">
        <v>1220</v>
      </c>
      <c r="Q196" s="22">
        <v>50</v>
      </c>
      <c r="R196" s="22">
        <v>1</v>
      </c>
      <c r="S196" s="4"/>
      <c r="T196" s="4"/>
      <c r="U196" s="44"/>
      <c r="V196" s="4"/>
      <c r="W196" s="9"/>
      <c r="X196" s="74"/>
      <c r="Y196" s="28" t="e">
        <v>#REF!</v>
      </c>
      <c r="Z196" s="9"/>
      <c r="AA196" s="24">
        <v>0</v>
      </c>
      <c r="AB196" s="28">
        <v>0</v>
      </c>
    </row>
    <row r="197" spans="1:28" ht="14.25" customHeight="1" x14ac:dyDescent="0.4">
      <c r="A197">
        <v>117</v>
      </c>
      <c r="B197" s="22">
        <v>0</v>
      </c>
      <c r="C197" s="22">
        <v>0</v>
      </c>
      <c r="D197" s="22">
        <v>0</v>
      </c>
      <c r="E197" s="24">
        <v>0</v>
      </c>
      <c r="F197" s="24">
        <v>0</v>
      </c>
      <c r="G197" s="24">
        <v>0</v>
      </c>
      <c r="H197" s="37">
        <v>280</v>
      </c>
      <c r="I197" s="23">
        <v>41244</v>
      </c>
      <c r="J197" s="37">
        <v>2</v>
      </c>
      <c r="K197" s="24" t="s">
        <v>412</v>
      </c>
      <c r="L197" s="24">
        <v>41244</v>
      </c>
      <c r="M197" s="24">
        <v>41067</v>
      </c>
      <c r="N197" s="22" t="s">
        <v>563</v>
      </c>
      <c r="O197">
        <v>9130189</v>
      </c>
      <c r="P197" s="22">
        <v>1220</v>
      </c>
      <c r="Q197" s="22">
        <v>50</v>
      </c>
      <c r="R197" s="22">
        <v>2</v>
      </c>
      <c r="S197" s="4"/>
      <c r="T197" s="4"/>
      <c r="U197" s="44"/>
      <c r="V197" s="4"/>
      <c r="W197" s="9"/>
      <c r="Y197" s="28" t="e">
        <v>#REF!</v>
      </c>
      <c r="Z197" s="28"/>
      <c r="AA197" s="24">
        <v>0</v>
      </c>
      <c r="AB197" s="28">
        <v>0</v>
      </c>
    </row>
    <row r="198" spans="1:28" ht="14.25" customHeight="1" x14ac:dyDescent="0.4">
      <c r="A198">
        <v>205</v>
      </c>
      <c r="B198" s="22">
        <v>0</v>
      </c>
      <c r="C198" s="22">
        <v>0</v>
      </c>
      <c r="D198" s="22">
        <v>0</v>
      </c>
      <c r="E198" s="24">
        <v>0</v>
      </c>
      <c r="F198" s="24">
        <v>0</v>
      </c>
      <c r="G198" s="24">
        <v>0</v>
      </c>
      <c r="H198" s="37">
        <v>183</v>
      </c>
      <c r="I198" s="23">
        <v>41183</v>
      </c>
      <c r="J198" s="37">
        <v>31</v>
      </c>
      <c r="K198" s="24" t="s">
        <v>412</v>
      </c>
      <c r="L198" s="24">
        <v>41275</v>
      </c>
      <c r="M198" s="24">
        <v>41071</v>
      </c>
      <c r="N198" s="22" t="s">
        <v>1878</v>
      </c>
      <c r="O198">
        <v>9130334</v>
      </c>
      <c r="P198" s="22" t="s">
        <v>2257</v>
      </c>
      <c r="Q198" s="22">
        <v>50</v>
      </c>
      <c r="R198" s="22" t="s">
        <v>2320</v>
      </c>
      <c r="S198" s="55" t="s">
        <v>1457</v>
      </c>
      <c r="T198" s="55" t="s">
        <v>404</v>
      </c>
      <c r="U198" s="94">
        <v>41150</v>
      </c>
      <c r="V198" s="4"/>
      <c r="W198" s="55"/>
      <c r="X198" s="74"/>
      <c r="Y198" s="28" t="e">
        <v>#REF!</v>
      </c>
      <c r="Z198" s="9"/>
      <c r="AA198" s="24">
        <v>0</v>
      </c>
      <c r="AB198" s="28">
        <v>0</v>
      </c>
    </row>
    <row r="199" spans="1:28" ht="14.25" customHeight="1" x14ac:dyDescent="0.4">
      <c r="A199">
        <v>206</v>
      </c>
      <c r="B199" s="24">
        <v>0</v>
      </c>
      <c r="C199" s="24">
        <v>0</v>
      </c>
      <c r="D199" s="24">
        <v>0</v>
      </c>
      <c r="E199" s="24">
        <v>0</v>
      </c>
      <c r="F199" s="24">
        <v>0</v>
      </c>
      <c r="G199" s="24">
        <v>0</v>
      </c>
      <c r="H199" s="37">
        <v>340</v>
      </c>
      <c r="I199" s="23">
        <v>41275</v>
      </c>
      <c r="J199" s="37">
        <v>11</v>
      </c>
      <c r="K199" s="24" t="s">
        <v>412</v>
      </c>
      <c r="L199" s="24">
        <v>41275</v>
      </c>
      <c r="M199" s="24">
        <v>41071</v>
      </c>
      <c r="N199" s="22" t="s">
        <v>1878</v>
      </c>
      <c r="O199">
        <v>9130335</v>
      </c>
      <c r="P199" s="22" t="s">
        <v>2257</v>
      </c>
      <c r="Q199" s="22">
        <v>50</v>
      </c>
      <c r="R199" s="22" t="s">
        <v>1517</v>
      </c>
      <c r="S199" s="155"/>
      <c r="T199" s="55"/>
      <c r="U199" s="94"/>
      <c r="V199" s="4"/>
      <c r="W199" s="94"/>
      <c r="X199" s="74">
        <v>0</v>
      </c>
      <c r="Y199" s="28" t="e">
        <v>#REF!</v>
      </c>
      <c r="Z199" s="9"/>
      <c r="AA199" s="24">
        <v>0</v>
      </c>
      <c r="AB199" s="28">
        <v>0</v>
      </c>
    </row>
    <row r="200" spans="1:28" ht="14.25" customHeight="1" x14ac:dyDescent="0.4">
      <c r="A200">
        <v>207</v>
      </c>
      <c r="B200" s="24">
        <v>0</v>
      </c>
      <c r="C200" s="24">
        <v>0</v>
      </c>
      <c r="D200" s="24">
        <v>0</v>
      </c>
      <c r="E200" s="24">
        <v>0</v>
      </c>
      <c r="F200" s="24">
        <v>0</v>
      </c>
      <c r="G200" s="24">
        <v>0</v>
      </c>
      <c r="H200" s="37">
        <v>462</v>
      </c>
      <c r="I200" s="23">
        <v>41334</v>
      </c>
      <c r="J200" s="37">
        <v>8</v>
      </c>
      <c r="K200" s="24" t="s">
        <v>412</v>
      </c>
      <c r="L200" s="24">
        <v>41334</v>
      </c>
      <c r="M200" s="24">
        <v>41071</v>
      </c>
      <c r="N200" s="22" t="s">
        <v>1878</v>
      </c>
      <c r="O200">
        <v>9130336</v>
      </c>
      <c r="P200" s="22" t="s">
        <v>2257</v>
      </c>
      <c r="Q200" s="22">
        <v>50</v>
      </c>
      <c r="R200" s="22" t="s">
        <v>2321</v>
      </c>
      <c r="S200" s="55"/>
      <c r="T200" s="55"/>
      <c r="U200" s="94"/>
      <c r="V200" s="4"/>
      <c r="W200" s="92"/>
      <c r="X200" s="74">
        <v>0</v>
      </c>
      <c r="Y200" s="28" t="e">
        <v>#REF!</v>
      </c>
      <c r="Z200" s="9"/>
      <c r="AA200" s="24">
        <v>0</v>
      </c>
      <c r="AB200" s="28">
        <v>0</v>
      </c>
    </row>
    <row r="201" spans="1:28" ht="14.25" customHeight="1" x14ac:dyDescent="0.4">
      <c r="A201">
        <v>208</v>
      </c>
      <c r="B201" s="22">
        <v>0</v>
      </c>
      <c r="C201" s="22" t="s">
        <v>2165</v>
      </c>
      <c r="D201" s="22">
        <v>0</v>
      </c>
      <c r="E201" s="24">
        <v>0</v>
      </c>
      <c r="F201" s="24">
        <v>0</v>
      </c>
      <c r="G201" s="24">
        <v>0</v>
      </c>
      <c r="H201" s="37">
        <v>281</v>
      </c>
      <c r="I201" s="23">
        <v>41244</v>
      </c>
      <c r="J201" s="37">
        <v>3</v>
      </c>
      <c r="K201" s="24" t="s">
        <v>412</v>
      </c>
      <c r="L201" s="24">
        <v>41244</v>
      </c>
      <c r="M201" s="24">
        <v>41071</v>
      </c>
      <c r="N201" s="22" t="s">
        <v>1878</v>
      </c>
      <c r="O201">
        <v>9130338</v>
      </c>
      <c r="P201" s="22" t="s">
        <v>2257</v>
      </c>
      <c r="Q201" s="22">
        <v>50</v>
      </c>
      <c r="R201" s="22" t="s">
        <v>68</v>
      </c>
      <c r="T201" s="55"/>
      <c r="U201" s="42"/>
      <c r="V201" s="4"/>
      <c r="W201" s="92"/>
      <c r="X201" s="74"/>
      <c r="Y201" s="28" t="e">
        <v>#REF!</v>
      </c>
      <c r="Z201" s="28"/>
      <c r="AA201" s="24">
        <v>0</v>
      </c>
      <c r="AB201" s="28">
        <v>0</v>
      </c>
    </row>
    <row r="202" spans="1:28" ht="14.25" customHeight="1" x14ac:dyDescent="0.4">
      <c r="A202">
        <v>209</v>
      </c>
      <c r="B202" s="22">
        <v>0</v>
      </c>
      <c r="C202" s="22" t="s">
        <v>2165</v>
      </c>
      <c r="D202" s="22">
        <v>0</v>
      </c>
      <c r="E202" s="24">
        <v>0</v>
      </c>
      <c r="F202" s="24">
        <v>0</v>
      </c>
      <c r="G202" s="24">
        <v>0</v>
      </c>
      <c r="H202" s="37">
        <v>182</v>
      </c>
      <c r="I202" s="23">
        <v>41183</v>
      </c>
      <c r="J202" s="37">
        <v>30</v>
      </c>
      <c r="K202" s="24" t="s">
        <v>412</v>
      </c>
      <c r="L202" s="24">
        <v>41244</v>
      </c>
      <c r="M202" s="24">
        <v>41071</v>
      </c>
      <c r="N202" s="22" t="s">
        <v>1878</v>
      </c>
      <c r="O202">
        <v>9130339</v>
      </c>
      <c r="P202" s="22" t="s">
        <v>2257</v>
      </c>
      <c r="Q202" s="22">
        <v>50</v>
      </c>
      <c r="R202" s="22" t="s">
        <v>69</v>
      </c>
      <c r="S202" s="3" t="s">
        <v>607</v>
      </c>
      <c r="T202" s="55" t="s">
        <v>404</v>
      </c>
      <c r="U202" s="42">
        <v>41180</v>
      </c>
      <c r="V202" s="4"/>
      <c r="W202" s="28"/>
      <c r="X202" s="74"/>
      <c r="Y202" s="28" t="e">
        <v>#REF!</v>
      </c>
      <c r="Z202" s="9"/>
      <c r="AA202" s="24">
        <v>0</v>
      </c>
      <c r="AB202" s="28">
        <v>0</v>
      </c>
    </row>
    <row r="203" spans="1:28" ht="14.25" customHeight="1" x14ac:dyDescent="0.4">
      <c r="A203">
        <v>210</v>
      </c>
      <c r="B203" s="22">
        <v>0</v>
      </c>
      <c r="C203" s="22" t="s">
        <v>2165</v>
      </c>
      <c r="D203" s="22">
        <v>0</v>
      </c>
      <c r="E203" s="24">
        <v>41141</v>
      </c>
      <c r="F203" s="24" t="s">
        <v>392</v>
      </c>
      <c r="G203" s="24">
        <v>41180</v>
      </c>
      <c r="H203" s="37">
        <v>70</v>
      </c>
      <c r="I203" s="23">
        <v>41122</v>
      </c>
      <c r="J203" s="37">
        <v>38</v>
      </c>
      <c r="K203" s="24" t="s">
        <v>412</v>
      </c>
      <c r="L203" s="24">
        <v>41091</v>
      </c>
      <c r="M203" s="24">
        <v>41071</v>
      </c>
      <c r="N203" s="22" t="s">
        <v>1878</v>
      </c>
      <c r="O203">
        <v>9130340</v>
      </c>
      <c r="P203" s="22" t="s">
        <v>2257</v>
      </c>
      <c r="Q203" s="22">
        <v>50</v>
      </c>
      <c r="R203" s="22" t="s">
        <v>2322</v>
      </c>
      <c r="S203" s="3" t="s">
        <v>476</v>
      </c>
      <c r="T203" s="55" t="s">
        <v>404</v>
      </c>
      <c r="U203" s="42">
        <v>41106</v>
      </c>
      <c r="V203" s="4"/>
      <c r="W203" s="62"/>
      <c r="X203" s="74"/>
      <c r="Y203" s="28" t="e">
        <v>#REF!</v>
      </c>
      <c r="Z203" s="28"/>
      <c r="AA203" s="24" t="s">
        <v>392</v>
      </c>
      <c r="AB203" s="28">
        <v>41180</v>
      </c>
    </row>
    <row r="204" spans="1:28" ht="14.25" customHeight="1" x14ac:dyDescent="0.4">
      <c r="A204">
        <v>211</v>
      </c>
      <c r="B204" s="22">
        <v>0</v>
      </c>
      <c r="C204" s="22" t="s">
        <v>2165</v>
      </c>
      <c r="D204" s="22">
        <v>0</v>
      </c>
      <c r="E204" s="24">
        <v>0</v>
      </c>
      <c r="F204" s="24">
        <v>0</v>
      </c>
      <c r="G204" s="24">
        <v>0</v>
      </c>
      <c r="H204" s="37">
        <v>225</v>
      </c>
      <c r="I204" s="23">
        <v>41214</v>
      </c>
      <c r="J204" s="37">
        <v>4</v>
      </c>
      <c r="K204" s="24" t="s">
        <v>412</v>
      </c>
      <c r="L204" s="24">
        <v>41214</v>
      </c>
      <c r="M204" s="24">
        <v>41071</v>
      </c>
      <c r="N204" s="22" t="s">
        <v>1878</v>
      </c>
      <c r="O204">
        <v>9130341</v>
      </c>
      <c r="P204" s="22" t="s">
        <v>2257</v>
      </c>
      <c r="Q204" s="22">
        <v>50</v>
      </c>
      <c r="R204" s="22" t="s">
        <v>2323</v>
      </c>
      <c r="T204" s="4"/>
      <c r="U204" s="94"/>
      <c r="V204" s="4"/>
      <c r="W204" s="92"/>
      <c r="X204" s="74"/>
      <c r="Y204" s="28" t="e">
        <v>#REF!</v>
      </c>
      <c r="Z204" s="9"/>
      <c r="AA204" s="24">
        <v>0</v>
      </c>
      <c r="AB204" s="28">
        <v>0</v>
      </c>
    </row>
    <row r="205" spans="1:28" ht="14.25" customHeight="1" x14ac:dyDescent="0.4">
      <c r="A205">
        <v>212</v>
      </c>
      <c r="B205" s="24">
        <v>0</v>
      </c>
      <c r="C205" s="24">
        <v>0</v>
      </c>
      <c r="D205" s="24">
        <v>0</v>
      </c>
      <c r="E205" s="24">
        <v>0</v>
      </c>
      <c r="F205" s="24">
        <v>0</v>
      </c>
      <c r="G205" s="24">
        <v>0</v>
      </c>
      <c r="H205" s="37">
        <v>226</v>
      </c>
      <c r="I205" s="23">
        <v>41214</v>
      </c>
      <c r="J205" s="37">
        <v>5</v>
      </c>
      <c r="K205" s="24" t="s">
        <v>412</v>
      </c>
      <c r="L205" s="24">
        <v>41214</v>
      </c>
      <c r="M205" s="24">
        <v>41071</v>
      </c>
      <c r="N205" s="22" t="s">
        <v>1878</v>
      </c>
      <c r="O205">
        <v>9130342</v>
      </c>
      <c r="P205" s="22" t="s">
        <v>2257</v>
      </c>
      <c r="Q205" s="22">
        <v>50</v>
      </c>
      <c r="R205" s="22" t="s">
        <v>1542</v>
      </c>
      <c r="S205" s="102"/>
      <c r="T205" s="4"/>
      <c r="U205" s="136"/>
      <c r="V205" s="4"/>
      <c r="W205" s="93"/>
      <c r="X205" s="74"/>
      <c r="Y205" s="28" t="e">
        <v>#REF!</v>
      </c>
      <c r="Z205" s="28"/>
      <c r="AA205" s="24">
        <v>0</v>
      </c>
      <c r="AB205" s="28">
        <v>0</v>
      </c>
    </row>
    <row r="206" spans="1:28" ht="14.25" customHeight="1" x14ac:dyDescent="0.4">
      <c r="A206">
        <v>213</v>
      </c>
      <c r="B206" s="24">
        <v>0</v>
      </c>
      <c r="C206" s="24">
        <v>0</v>
      </c>
      <c r="D206" s="24">
        <v>0</v>
      </c>
      <c r="E206" s="24">
        <v>0</v>
      </c>
      <c r="F206" s="24">
        <v>0</v>
      </c>
      <c r="G206" s="24">
        <v>0</v>
      </c>
      <c r="H206" s="37">
        <v>341</v>
      </c>
      <c r="I206" s="23">
        <v>41275</v>
      </c>
      <c r="J206" s="37">
        <v>12</v>
      </c>
      <c r="K206" s="24" t="s">
        <v>412</v>
      </c>
      <c r="L206" s="24">
        <v>41275</v>
      </c>
      <c r="M206" s="24">
        <v>41071</v>
      </c>
      <c r="N206" s="22" t="s">
        <v>1878</v>
      </c>
      <c r="O206">
        <v>9130343</v>
      </c>
      <c r="P206" s="22" t="s">
        <v>2257</v>
      </c>
      <c r="Q206" s="22">
        <v>50</v>
      </c>
      <c r="R206" s="22" t="s">
        <v>1543</v>
      </c>
      <c r="T206" s="4"/>
      <c r="U206" s="94"/>
      <c r="V206" s="4"/>
      <c r="W206" s="92"/>
      <c r="X206" s="74"/>
      <c r="Y206" s="28" t="e">
        <v>#REF!</v>
      </c>
      <c r="Z206" s="9"/>
      <c r="AA206" s="24">
        <v>0</v>
      </c>
      <c r="AB206" s="28">
        <v>0</v>
      </c>
    </row>
    <row r="207" spans="1:28" ht="14.25" customHeight="1" x14ac:dyDescent="0.4">
      <c r="A207">
        <v>214</v>
      </c>
      <c r="B207" s="22">
        <v>0</v>
      </c>
      <c r="C207" s="22" t="s">
        <v>2165</v>
      </c>
      <c r="D207" s="22">
        <v>0</v>
      </c>
      <c r="E207" s="24">
        <v>0</v>
      </c>
      <c r="F207" s="24">
        <v>0</v>
      </c>
      <c r="G207" s="24">
        <v>0</v>
      </c>
      <c r="H207" s="37">
        <v>399</v>
      </c>
      <c r="I207" s="23">
        <v>41306</v>
      </c>
      <c r="J207" s="37">
        <v>4</v>
      </c>
      <c r="K207" s="24" t="s">
        <v>412</v>
      </c>
      <c r="L207" s="24">
        <v>41306</v>
      </c>
      <c r="M207" s="24">
        <v>41071</v>
      </c>
      <c r="N207" s="22" t="s">
        <v>1878</v>
      </c>
      <c r="O207">
        <v>9130345</v>
      </c>
      <c r="P207" s="22" t="s">
        <v>2257</v>
      </c>
      <c r="Q207" s="22">
        <v>50</v>
      </c>
      <c r="R207" s="22" t="s">
        <v>1544</v>
      </c>
      <c r="S207" s="102"/>
      <c r="T207" s="4"/>
      <c r="U207" s="94"/>
      <c r="V207" s="4"/>
      <c r="W207" s="93"/>
      <c r="X207" s="74"/>
      <c r="Y207" s="28" t="e">
        <v>#REF!</v>
      </c>
      <c r="Z207" s="9"/>
      <c r="AA207" s="24">
        <v>0</v>
      </c>
      <c r="AB207" s="28">
        <v>0</v>
      </c>
    </row>
    <row r="208" spans="1:28" ht="14.25" customHeight="1" x14ac:dyDescent="0.4">
      <c r="A208">
        <v>215</v>
      </c>
      <c r="B208" s="22">
        <v>0</v>
      </c>
      <c r="C208" s="22" t="s">
        <v>2165</v>
      </c>
      <c r="D208" s="22">
        <v>0</v>
      </c>
      <c r="E208" s="24">
        <v>41110</v>
      </c>
      <c r="F208" s="24" t="s">
        <v>393</v>
      </c>
      <c r="G208" s="24">
        <v>41116</v>
      </c>
      <c r="H208" s="37">
        <v>19</v>
      </c>
      <c r="I208" s="23">
        <v>41091</v>
      </c>
      <c r="J208" s="37">
        <v>19</v>
      </c>
      <c r="K208" s="24" t="s">
        <v>412</v>
      </c>
      <c r="L208" s="24">
        <v>41091</v>
      </c>
      <c r="M208" s="24">
        <v>41071</v>
      </c>
      <c r="N208" s="22" t="s">
        <v>1878</v>
      </c>
      <c r="O208">
        <v>9130346</v>
      </c>
      <c r="P208" s="22" t="s">
        <v>2257</v>
      </c>
      <c r="Q208" s="22">
        <v>50</v>
      </c>
      <c r="R208" s="22" t="s">
        <v>68</v>
      </c>
      <c r="T208" s="4"/>
      <c r="U208" s="94"/>
      <c r="V208" s="4"/>
      <c r="W208" s="169"/>
      <c r="X208" s="86"/>
      <c r="Y208" s="28" t="e">
        <v>#REF!</v>
      </c>
      <c r="Z208" s="28"/>
      <c r="AA208" s="24" t="s">
        <v>393</v>
      </c>
      <c r="AB208" s="28">
        <v>41116</v>
      </c>
    </row>
    <row r="209" spans="1:28" ht="14.25" customHeight="1" x14ac:dyDescent="0.4">
      <c r="A209">
        <v>216</v>
      </c>
      <c r="B209" s="22">
        <v>0</v>
      </c>
      <c r="C209" s="22" t="s">
        <v>2165</v>
      </c>
      <c r="D209" s="22">
        <v>0</v>
      </c>
      <c r="E209" s="24">
        <v>41141</v>
      </c>
      <c r="F209" s="24" t="s">
        <v>392</v>
      </c>
      <c r="G209" s="24">
        <v>41180</v>
      </c>
      <c r="H209" s="37">
        <v>71</v>
      </c>
      <c r="I209" s="23">
        <v>41122</v>
      </c>
      <c r="J209" s="37">
        <v>39</v>
      </c>
      <c r="K209" s="24" t="s">
        <v>412</v>
      </c>
      <c r="L209" s="24">
        <v>41122</v>
      </c>
      <c r="M209" s="24">
        <v>41071</v>
      </c>
      <c r="N209" s="22" t="s">
        <v>1878</v>
      </c>
      <c r="O209">
        <v>9130347</v>
      </c>
      <c r="P209" s="22" t="s">
        <v>2257</v>
      </c>
      <c r="Q209" s="22">
        <v>50</v>
      </c>
      <c r="R209" s="22" t="s">
        <v>69</v>
      </c>
      <c r="S209" s="102"/>
      <c r="T209" s="4"/>
      <c r="U209" s="94"/>
      <c r="V209" s="4"/>
      <c r="W209" s="92"/>
      <c r="X209" s="74"/>
      <c r="Y209" s="28" t="e">
        <v>#REF!</v>
      </c>
      <c r="Z209" s="9"/>
      <c r="AA209" s="24" t="s">
        <v>392</v>
      </c>
      <c r="AB209" s="28">
        <v>41180</v>
      </c>
    </row>
    <row r="210" spans="1:28" ht="14.25" customHeight="1" x14ac:dyDescent="0.4">
      <c r="A210">
        <v>217</v>
      </c>
      <c r="B210" s="22">
        <v>0</v>
      </c>
      <c r="C210" s="22">
        <v>0</v>
      </c>
      <c r="D210" s="22">
        <v>0</v>
      </c>
      <c r="E210" s="24">
        <v>0</v>
      </c>
      <c r="F210" s="24" t="s">
        <v>530</v>
      </c>
      <c r="G210" s="24">
        <v>0</v>
      </c>
      <c r="H210" s="37">
        <v>158</v>
      </c>
      <c r="I210" s="23">
        <v>41183</v>
      </c>
      <c r="J210" s="37">
        <v>6</v>
      </c>
      <c r="K210" s="24" t="s">
        <v>412</v>
      </c>
      <c r="L210" s="24">
        <v>41183</v>
      </c>
      <c r="M210" s="24">
        <v>41071</v>
      </c>
      <c r="N210" s="22" t="s">
        <v>1878</v>
      </c>
      <c r="O210">
        <v>9130350</v>
      </c>
      <c r="P210" s="22">
        <v>1020</v>
      </c>
      <c r="Q210" s="22">
        <v>50</v>
      </c>
      <c r="R210" s="22" t="s">
        <v>2324</v>
      </c>
      <c r="T210" s="4"/>
      <c r="U210" s="42"/>
      <c r="V210" s="4"/>
      <c r="W210" s="28"/>
      <c r="X210" s="74"/>
      <c r="Y210" s="28" t="e">
        <v>#REF!</v>
      </c>
      <c r="Z210" s="28"/>
      <c r="AA210" s="24" t="s">
        <v>530</v>
      </c>
      <c r="AB210" s="28">
        <v>0</v>
      </c>
    </row>
    <row r="211" spans="1:28" ht="14.25" customHeight="1" x14ac:dyDescent="0.4">
      <c r="A211">
        <v>218</v>
      </c>
      <c r="B211" s="22">
        <v>0</v>
      </c>
      <c r="C211" s="22">
        <v>0</v>
      </c>
      <c r="D211" s="22">
        <v>0</v>
      </c>
      <c r="E211" s="24">
        <v>0</v>
      </c>
      <c r="F211" s="24">
        <v>0</v>
      </c>
      <c r="G211" s="24">
        <v>0</v>
      </c>
      <c r="H211" s="37">
        <v>245</v>
      </c>
      <c r="I211" s="23">
        <v>41214</v>
      </c>
      <c r="J211" s="37">
        <v>24</v>
      </c>
      <c r="K211" s="24" t="s">
        <v>412</v>
      </c>
      <c r="L211" s="24">
        <v>41214</v>
      </c>
      <c r="M211" s="24">
        <v>41071</v>
      </c>
      <c r="N211" s="22" t="s">
        <v>1878</v>
      </c>
      <c r="O211">
        <v>9130351</v>
      </c>
      <c r="P211" s="22">
        <v>1020</v>
      </c>
      <c r="Q211" s="22">
        <v>50</v>
      </c>
      <c r="R211" s="22" t="s">
        <v>2325</v>
      </c>
      <c r="T211" s="4"/>
      <c r="U211" s="42"/>
      <c r="V211" s="4"/>
      <c r="W211" s="92"/>
      <c r="X211" s="74"/>
      <c r="Y211" s="28" t="e">
        <v>#REF!</v>
      </c>
      <c r="Z211" s="28"/>
      <c r="AA211" s="24">
        <v>0</v>
      </c>
      <c r="AB211" s="28">
        <v>0</v>
      </c>
    </row>
    <row r="212" spans="1:28" ht="14.25" customHeight="1" x14ac:dyDescent="0.4">
      <c r="A212">
        <v>219</v>
      </c>
      <c r="B212" s="22">
        <v>0</v>
      </c>
      <c r="C212" s="22">
        <v>0</v>
      </c>
      <c r="D212" s="22">
        <v>0</v>
      </c>
      <c r="E212" s="24">
        <v>0</v>
      </c>
      <c r="F212" s="24">
        <v>0</v>
      </c>
      <c r="G212" s="24">
        <v>0</v>
      </c>
      <c r="H212" s="37">
        <v>296</v>
      </c>
      <c r="I212" s="23">
        <v>41244</v>
      </c>
      <c r="J212" s="37">
        <v>18</v>
      </c>
      <c r="K212" s="24" t="s">
        <v>412</v>
      </c>
      <c r="L212" s="24">
        <v>41244</v>
      </c>
      <c r="M212" s="24">
        <v>41071</v>
      </c>
      <c r="N212" s="22" t="s">
        <v>1878</v>
      </c>
      <c r="O212">
        <v>9130353</v>
      </c>
      <c r="P212" s="22">
        <v>1020</v>
      </c>
      <c r="Q212" s="22">
        <v>50</v>
      </c>
      <c r="R212" s="22" t="s">
        <v>2326</v>
      </c>
      <c r="S212" s="55"/>
      <c r="T212" s="4"/>
      <c r="U212" s="94"/>
      <c r="V212" s="4"/>
      <c r="W212" s="92"/>
      <c r="Y212" s="28" t="e">
        <v>#REF!</v>
      </c>
      <c r="Z212" s="9"/>
      <c r="AA212" s="24">
        <v>0</v>
      </c>
      <c r="AB212" s="28">
        <v>0</v>
      </c>
    </row>
    <row r="213" spans="1:28" ht="14.25" customHeight="1" x14ac:dyDescent="0.4">
      <c r="A213">
        <v>220</v>
      </c>
      <c r="B213" s="22">
        <v>0</v>
      </c>
      <c r="C213" s="22">
        <v>0</v>
      </c>
      <c r="D213" s="22">
        <v>0</v>
      </c>
      <c r="E213" s="24">
        <v>0</v>
      </c>
      <c r="F213" s="24">
        <v>0</v>
      </c>
      <c r="G213" s="24">
        <v>0</v>
      </c>
      <c r="H213" s="37">
        <v>355</v>
      </c>
      <c r="I213" s="23">
        <v>41275</v>
      </c>
      <c r="J213" s="37">
        <v>26</v>
      </c>
      <c r="K213" s="24" t="s">
        <v>412</v>
      </c>
      <c r="L213" s="24">
        <v>41275</v>
      </c>
      <c r="M213" s="24">
        <v>41071</v>
      </c>
      <c r="N213" s="22" t="s">
        <v>1878</v>
      </c>
      <c r="O213">
        <v>9130354</v>
      </c>
      <c r="P213" s="22">
        <v>1020</v>
      </c>
      <c r="Q213" s="22">
        <v>50</v>
      </c>
      <c r="R213" s="22" t="s">
        <v>2327</v>
      </c>
      <c r="T213" s="4"/>
      <c r="U213" s="94"/>
      <c r="V213" s="4"/>
      <c r="W213" s="92"/>
      <c r="X213" s="74"/>
      <c r="Y213" s="28" t="e">
        <v>#REF!</v>
      </c>
      <c r="Z213" s="9"/>
      <c r="AA213" s="24">
        <v>0</v>
      </c>
      <c r="AB213" s="28">
        <v>0</v>
      </c>
    </row>
    <row r="214" spans="1:28" ht="14.25" customHeight="1" x14ac:dyDescent="0.4">
      <c r="A214">
        <v>221</v>
      </c>
      <c r="B214" s="22">
        <v>0</v>
      </c>
      <c r="C214" s="22">
        <v>0</v>
      </c>
      <c r="D214" s="22">
        <v>0</v>
      </c>
      <c r="E214" s="24">
        <v>0</v>
      </c>
      <c r="F214" s="24">
        <v>0</v>
      </c>
      <c r="G214" s="24">
        <v>0</v>
      </c>
      <c r="H214" s="37">
        <v>356</v>
      </c>
      <c r="I214" s="23">
        <v>41275</v>
      </c>
      <c r="J214" s="37">
        <v>27</v>
      </c>
      <c r="K214" s="24" t="s">
        <v>412</v>
      </c>
      <c r="L214" s="24">
        <v>41275</v>
      </c>
      <c r="M214" s="24">
        <v>41071</v>
      </c>
      <c r="N214" s="22" t="s">
        <v>1878</v>
      </c>
      <c r="O214">
        <v>9130356</v>
      </c>
      <c r="P214" s="22">
        <v>1020</v>
      </c>
      <c r="Q214" s="22">
        <v>50</v>
      </c>
      <c r="R214" s="22" t="s">
        <v>2328</v>
      </c>
      <c r="T214" s="4"/>
      <c r="U214" s="94"/>
      <c r="V214" s="4"/>
      <c r="W214" s="92"/>
      <c r="X214" s="74"/>
      <c r="Y214" s="28" t="e">
        <v>#REF!</v>
      </c>
      <c r="Z214" s="9"/>
      <c r="AA214" s="24">
        <v>0</v>
      </c>
      <c r="AB214" s="28">
        <v>0</v>
      </c>
    </row>
    <row r="215" spans="1:28" ht="14.25" customHeight="1" x14ac:dyDescent="0.4">
      <c r="A215">
        <v>222</v>
      </c>
      <c r="B215" s="24">
        <v>0</v>
      </c>
      <c r="C215" s="24">
        <v>0</v>
      </c>
      <c r="D215" s="24">
        <v>0</v>
      </c>
      <c r="E215" s="24">
        <v>0</v>
      </c>
      <c r="F215" s="24">
        <v>0</v>
      </c>
      <c r="G215" s="24">
        <v>0</v>
      </c>
      <c r="H215" s="37">
        <v>357</v>
      </c>
      <c r="I215" s="23">
        <v>41275</v>
      </c>
      <c r="J215" s="37">
        <v>28</v>
      </c>
      <c r="K215" s="24" t="s">
        <v>412</v>
      </c>
      <c r="L215" s="24">
        <v>41275</v>
      </c>
      <c r="M215" s="24">
        <v>41071</v>
      </c>
      <c r="N215" s="22" t="s">
        <v>1878</v>
      </c>
      <c r="O215">
        <v>9130357</v>
      </c>
      <c r="P215" s="22">
        <v>1020</v>
      </c>
      <c r="Q215" s="22">
        <v>50</v>
      </c>
      <c r="R215" s="22" t="s">
        <v>2329</v>
      </c>
      <c r="T215" s="4"/>
      <c r="U215" s="94"/>
      <c r="V215" s="4"/>
      <c r="W215" s="28"/>
      <c r="X215" s="74"/>
      <c r="Y215" s="28" t="e">
        <v>#REF!</v>
      </c>
      <c r="Z215" s="9"/>
      <c r="AA215" s="24">
        <v>0</v>
      </c>
      <c r="AB215" s="28">
        <v>0</v>
      </c>
    </row>
    <row r="216" spans="1:28" ht="14.25" customHeight="1" x14ac:dyDescent="0.4">
      <c r="A216">
        <v>223</v>
      </c>
      <c r="B216" s="24">
        <v>0</v>
      </c>
      <c r="C216" s="24">
        <v>0</v>
      </c>
      <c r="D216" s="24">
        <v>0</v>
      </c>
      <c r="E216" s="24">
        <v>0</v>
      </c>
      <c r="F216" s="24">
        <v>0</v>
      </c>
      <c r="G216" s="24">
        <v>0</v>
      </c>
      <c r="H216" s="37">
        <v>358</v>
      </c>
      <c r="I216" s="23">
        <v>41275</v>
      </c>
      <c r="J216" s="37">
        <v>29</v>
      </c>
      <c r="K216" s="24" t="s">
        <v>412</v>
      </c>
      <c r="L216" s="24">
        <v>41275</v>
      </c>
      <c r="M216" s="24">
        <v>41071</v>
      </c>
      <c r="N216" s="22" t="s">
        <v>1878</v>
      </c>
      <c r="O216">
        <v>9130359</v>
      </c>
      <c r="P216" s="22">
        <v>1020</v>
      </c>
      <c r="Q216" s="22">
        <v>50</v>
      </c>
      <c r="R216" s="22" t="s">
        <v>2330</v>
      </c>
      <c r="S216" s="55"/>
      <c r="T216" s="4"/>
      <c r="U216" s="94"/>
      <c r="V216" s="4"/>
      <c r="W216" s="28"/>
      <c r="X216" s="74"/>
      <c r="Y216" s="28" t="e">
        <v>#REF!</v>
      </c>
      <c r="Z216" s="28"/>
      <c r="AA216" s="24">
        <v>0</v>
      </c>
      <c r="AB216" s="28">
        <v>0</v>
      </c>
    </row>
    <row r="217" spans="1:28" ht="14.25" customHeight="1" x14ac:dyDescent="0.4">
      <c r="A217">
        <v>224</v>
      </c>
      <c r="B217" s="24">
        <v>41171</v>
      </c>
      <c r="C217" s="24">
        <v>41171</v>
      </c>
      <c r="D217" s="24">
        <v>41171</v>
      </c>
      <c r="E217" s="24">
        <v>41171</v>
      </c>
      <c r="F217" s="24" t="s">
        <v>2316</v>
      </c>
      <c r="G217" s="24">
        <v>0</v>
      </c>
      <c r="H217" s="37">
        <v>130</v>
      </c>
      <c r="I217" s="23">
        <v>41153</v>
      </c>
      <c r="J217" s="37">
        <v>35</v>
      </c>
      <c r="K217" s="24" t="s">
        <v>412</v>
      </c>
      <c r="L217" s="24">
        <v>41306</v>
      </c>
      <c r="M217" s="24">
        <v>41071</v>
      </c>
      <c r="N217" s="22" t="s">
        <v>1878</v>
      </c>
      <c r="O217">
        <v>9130360</v>
      </c>
      <c r="P217" s="22">
        <v>1020</v>
      </c>
      <c r="Q217" s="22">
        <v>42</v>
      </c>
      <c r="R217" s="22" t="s">
        <v>2331</v>
      </c>
      <c r="S217" s="102" t="s">
        <v>1569</v>
      </c>
      <c r="T217" s="55" t="s">
        <v>404</v>
      </c>
      <c r="U217" s="42">
        <v>41158</v>
      </c>
      <c r="V217" s="4"/>
      <c r="W217" s="28"/>
      <c r="X217" s="74"/>
      <c r="Y217" s="28" t="e">
        <v>#REF!</v>
      </c>
      <c r="Z217" s="28"/>
      <c r="AA217" s="24" t="s">
        <v>2316</v>
      </c>
      <c r="AB217" s="28">
        <v>0</v>
      </c>
    </row>
    <row r="218" spans="1:28" ht="14.25" customHeight="1" x14ac:dyDescent="0.4">
      <c r="A218">
        <v>225</v>
      </c>
      <c r="B218" s="24">
        <v>0</v>
      </c>
      <c r="C218" s="24">
        <v>0</v>
      </c>
      <c r="D218" s="24">
        <v>0</v>
      </c>
      <c r="E218" s="24">
        <v>0</v>
      </c>
      <c r="F218" s="24">
        <v>0</v>
      </c>
      <c r="G218" s="24">
        <v>0</v>
      </c>
      <c r="H218" s="37">
        <v>339</v>
      </c>
      <c r="I218" s="23">
        <v>41275</v>
      </c>
      <c r="J218" s="37">
        <v>10</v>
      </c>
      <c r="K218" s="24" t="s">
        <v>412</v>
      </c>
      <c r="L218" s="24">
        <v>41306</v>
      </c>
      <c r="M218" s="24">
        <v>41071</v>
      </c>
      <c r="N218" s="22" t="s">
        <v>1878</v>
      </c>
      <c r="O218">
        <v>9130361</v>
      </c>
      <c r="P218" s="22">
        <v>1020</v>
      </c>
      <c r="Q218" s="22">
        <v>50</v>
      </c>
      <c r="R218" s="22" t="s">
        <v>2332</v>
      </c>
      <c r="S218" s="34"/>
      <c r="T218" s="4"/>
      <c r="U218" s="42"/>
      <c r="V218" s="4"/>
      <c r="W218" s="28"/>
      <c r="X218" s="74"/>
      <c r="Y218" s="28" t="e">
        <v>#REF!</v>
      </c>
      <c r="Z218" s="9"/>
      <c r="AA218" s="24">
        <v>0</v>
      </c>
      <c r="AB218" s="28">
        <v>0</v>
      </c>
    </row>
    <row r="219" spans="1:28" ht="14.25" customHeight="1" x14ac:dyDescent="0.4">
      <c r="A219">
        <v>226</v>
      </c>
      <c r="B219" s="22">
        <v>0</v>
      </c>
      <c r="C219" s="22" t="s">
        <v>2102</v>
      </c>
      <c r="D219" s="22">
        <v>0</v>
      </c>
      <c r="E219" s="24">
        <v>41171</v>
      </c>
      <c r="F219" s="24" t="s">
        <v>392</v>
      </c>
      <c r="G219" s="24">
        <v>41176</v>
      </c>
      <c r="H219" s="37">
        <v>131</v>
      </c>
      <c r="I219" s="23">
        <v>41153</v>
      </c>
      <c r="J219" s="37">
        <v>36</v>
      </c>
      <c r="K219" s="24" t="s">
        <v>412</v>
      </c>
      <c r="L219" s="24">
        <v>41306</v>
      </c>
      <c r="M219" s="24">
        <v>41071</v>
      </c>
      <c r="N219" s="22" t="s">
        <v>1878</v>
      </c>
      <c r="O219">
        <v>9130362</v>
      </c>
      <c r="P219" s="22">
        <v>1020</v>
      </c>
      <c r="Q219" s="22">
        <v>50</v>
      </c>
      <c r="R219" s="22" t="s">
        <v>2333</v>
      </c>
      <c r="S219" s="1"/>
      <c r="T219" s="4"/>
      <c r="U219" s="94"/>
      <c r="V219" s="4"/>
      <c r="W219" s="92"/>
      <c r="Y219" s="28" t="e">
        <v>#REF!</v>
      </c>
      <c r="Z219" s="9"/>
      <c r="AA219" s="24" t="s">
        <v>392</v>
      </c>
      <c r="AB219" s="28">
        <v>41176</v>
      </c>
    </row>
    <row r="220" spans="1:28" ht="14.25" customHeight="1" x14ac:dyDescent="0.4">
      <c r="A220">
        <v>227</v>
      </c>
      <c r="B220" s="22">
        <v>0</v>
      </c>
      <c r="C220" s="22" t="s">
        <v>2165</v>
      </c>
      <c r="D220" s="22">
        <v>0</v>
      </c>
      <c r="E220" s="24">
        <v>0</v>
      </c>
      <c r="F220" s="24" t="s">
        <v>529</v>
      </c>
      <c r="G220" s="24">
        <v>0</v>
      </c>
      <c r="H220" s="37">
        <v>159</v>
      </c>
      <c r="I220" s="23">
        <v>41183</v>
      </c>
      <c r="J220" s="37">
        <v>7</v>
      </c>
      <c r="K220" s="24" t="s">
        <v>412</v>
      </c>
      <c r="L220" s="24">
        <v>41183</v>
      </c>
      <c r="M220" s="24">
        <v>41071</v>
      </c>
      <c r="N220" s="22" t="s">
        <v>1878</v>
      </c>
      <c r="O220">
        <v>9130363</v>
      </c>
      <c r="P220" s="22" t="s">
        <v>2312</v>
      </c>
      <c r="Q220" s="22">
        <v>50</v>
      </c>
      <c r="R220" s="22" t="s">
        <v>2324</v>
      </c>
      <c r="S220" s="1"/>
      <c r="T220" s="4"/>
      <c r="U220" s="94"/>
      <c r="V220" s="4"/>
      <c r="W220" s="92"/>
      <c r="Y220" s="28" t="e">
        <v>#REF!</v>
      </c>
      <c r="Z220" s="9"/>
      <c r="AA220" s="24" t="s">
        <v>529</v>
      </c>
      <c r="AB220" s="28">
        <v>0</v>
      </c>
    </row>
    <row r="221" spans="1:28" ht="14.25" customHeight="1" x14ac:dyDescent="0.4">
      <c r="A221">
        <v>228</v>
      </c>
      <c r="B221" s="22">
        <v>0</v>
      </c>
      <c r="C221" s="22">
        <v>0</v>
      </c>
      <c r="D221" s="22">
        <v>0</v>
      </c>
      <c r="E221" s="24">
        <v>0</v>
      </c>
      <c r="F221" s="24">
        <v>0</v>
      </c>
      <c r="G221" s="24">
        <v>0</v>
      </c>
      <c r="H221" s="37">
        <v>246</v>
      </c>
      <c r="I221" s="23">
        <v>41214</v>
      </c>
      <c r="J221" s="37">
        <v>25</v>
      </c>
      <c r="K221" s="24" t="s">
        <v>412</v>
      </c>
      <c r="L221" s="24">
        <v>41214</v>
      </c>
      <c r="M221" s="24">
        <v>41071</v>
      </c>
      <c r="N221" s="22" t="s">
        <v>1878</v>
      </c>
      <c r="O221">
        <v>9130364</v>
      </c>
      <c r="P221" s="22" t="s">
        <v>2312</v>
      </c>
      <c r="Q221" s="22">
        <v>50</v>
      </c>
      <c r="R221" s="22" t="s">
        <v>2325</v>
      </c>
      <c r="S221" s="1"/>
      <c r="T221" s="4"/>
      <c r="U221" s="94"/>
      <c r="V221" s="4"/>
      <c r="W221" s="92"/>
      <c r="X221" s="74"/>
      <c r="Y221" s="28" t="e">
        <v>#REF!</v>
      </c>
      <c r="Z221" s="28"/>
      <c r="AA221" s="24">
        <v>0</v>
      </c>
      <c r="AB221" s="28">
        <v>0</v>
      </c>
    </row>
    <row r="222" spans="1:28" s="6" customFormat="1" ht="14.25" customHeight="1" x14ac:dyDescent="0.4">
      <c r="A222">
        <v>229</v>
      </c>
      <c r="B222" s="22">
        <v>0</v>
      </c>
      <c r="C222" s="22">
        <v>0</v>
      </c>
      <c r="D222" s="22">
        <v>0</v>
      </c>
      <c r="E222" s="24">
        <v>0</v>
      </c>
      <c r="F222" s="24">
        <v>0</v>
      </c>
      <c r="G222" s="24">
        <v>0</v>
      </c>
      <c r="H222" s="37">
        <v>297</v>
      </c>
      <c r="I222" s="23">
        <v>41244</v>
      </c>
      <c r="J222" s="37">
        <v>19</v>
      </c>
      <c r="K222" s="24" t="s">
        <v>412</v>
      </c>
      <c r="L222" s="24">
        <v>41244</v>
      </c>
      <c r="M222" s="24">
        <v>41071</v>
      </c>
      <c r="N222" s="22" t="s">
        <v>1878</v>
      </c>
      <c r="O222">
        <v>9130365</v>
      </c>
      <c r="P222" s="22" t="s">
        <v>2312</v>
      </c>
      <c r="Q222" s="22">
        <v>50</v>
      </c>
      <c r="R222" s="22" t="s">
        <v>2326</v>
      </c>
      <c r="S222" s="102"/>
      <c r="T222" s="4"/>
      <c r="U222" s="94"/>
      <c r="V222" s="4"/>
      <c r="W222" s="92"/>
      <c r="X222" s="74"/>
      <c r="Y222" s="28" t="e">
        <v>#REF!</v>
      </c>
      <c r="Z222" s="28"/>
      <c r="AA222" s="24">
        <v>0</v>
      </c>
      <c r="AB222" s="28">
        <v>0</v>
      </c>
    </row>
    <row r="223" spans="1:28" ht="14.25" customHeight="1" x14ac:dyDescent="0.4">
      <c r="A223">
        <v>230</v>
      </c>
      <c r="B223" s="24">
        <v>0</v>
      </c>
      <c r="C223" s="24">
        <v>0</v>
      </c>
      <c r="D223" s="24">
        <v>0</v>
      </c>
      <c r="E223" s="24">
        <v>0</v>
      </c>
      <c r="F223" s="24">
        <v>0</v>
      </c>
      <c r="G223" s="24">
        <v>0</v>
      </c>
      <c r="H223" s="37">
        <v>359</v>
      </c>
      <c r="I223" s="23">
        <v>41275</v>
      </c>
      <c r="J223" s="37">
        <v>30</v>
      </c>
      <c r="K223" s="24" t="s">
        <v>412</v>
      </c>
      <c r="L223" s="24">
        <v>41275</v>
      </c>
      <c r="M223" s="24">
        <v>41071</v>
      </c>
      <c r="N223" s="22" t="s">
        <v>1878</v>
      </c>
      <c r="O223">
        <v>9130366</v>
      </c>
      <c r="P223" s="22" t="s">
        <v>2312</v>
      </c>
      <c r="Q223" s="22">
        <v>50</v>
      </c>
      <c r="R223" s="22" t="s">
        <v>2327</v>
      </c>
      <c r="S223" s="1"/>
      <c r="T223" s="4"/>
      <c r="U223" s="94"/>
      <c r="V223" s="4"/>
      <c r="W223" s="28"/>
      <c r="X223" s="74">
        <v>0</v>
      </c>
      <c r="Y223" s="28" t="e">
        <v>#REF!</v>
      </c>
      <c r="Z223" s="9"/>
      <c r="AA223" s="24">
        <v>0</v>
      </c>
      <c r="AB223" s="28">
        <v>0</v>
      </c>
    </row>
    <row r="224" spans="1:28" s="6" customFormat="1" ht="14.25" customHeight="1" x14ac:dyDescent="0.4">
      <c r="A224">
        <v>231</v>
      </c>
      <c r="B224" s="24">
        <v>41151</v>
      </c>
      <c r="C224" s="24">
        <v>41151</v>
      </c>
      <c r="D224" s="24">
        <v>41151</v>
      </c>
      <c r="E224" s="24">
        <v>41151</v>
      </c>
      <c r="F224" s="24" t="s">
        <v>2316</v>
      </c>
      <c r="G224" s="24">
        <v>0</v>
      </c>
      <c r="H224" s="37">
        <v>94</v>
      </c>
      <c r="I224" s="23">
        <v>41122</v>
      </c>
      <c r="J224" s="37">
        <v>62</v>
      </c>
      <c r="K224" s="24" t="s">
        <v>412</v>
      </c>
      <c r="L224" s="24">
        <v>41306</v>
      </c>
      <c r="M224" s="24">
        <v>41071</v>
      </c>
      <c r="N224" s="22" t="s">
        <v>1878</v>
      </c>
      <c r="O224">
        <v>9130367</v>
      </c>
      <c r="P224" s="22" t="s">
        <v>2312</v>
      </c>
      <c r="Q224" s="22">
        <v>50</v>
      </c>
      <c r="R224" s="22" t="s">
        <v>2328</v>
      </c>
      <c r="S224" s="102"/>
      <c r="T224" s="4"/>
      <c r="U224" s="94"/>
      <c r="V224" s="4"/>
      <c r="W224" s="92"/>
      <c r="X224" s="74">
        <v>0</v>
      </c>
      <c r="Y224" s="28" t="e">
        <v>#REF!</v>
      </c>
      <c r="Z224" s="9"/>
      <c r="AA224" s="24" t="s">
        <v>2316</v>
      </c>
      <c r="AB224" s="28">
        <v>0</v>
      </c>
    </row>
    <row r="225" spans="1:28" ht="14.25" customHeight="1" x14ac:dyDescent="0.4">
      <c r="A225">
        <v>232</v>
      </c>
      <c r="B225" s="24">
        <v>41151</v>
      </c>
      <c r="C225" s="24">
        <v>41151</v>
      </c>
      <c r="D225" s="24">
        <v>41151</v>
      </c>
      <c r="E225" s="24">
        <v>41151</v>
      </c>
      <c r="F225" s="24" t="s">
        <v>392</v>
      </c>
      <c r="G225" s="24">
        <v>41170</v>
      </c>
      <c r="H225" s="37">
        <v>95</v>
      </c>
      <c r="I225" s="23">
        <v>41122</v>
      </c>
      <c r="J225" s="37">
        <v>63</v>
      </c>
      <c r="K225" s="24" t="s">
        <v>412</v>
      </c>
      <c r="L225" s="24">
        <v>41306</v>
      </c>
      <c r="M225" s="24">
        <v>41071</v>
      </c>
      <c r="N225" s="22" t="s">
        <v>1878</v>
      </c>
      <c r="O225">
        <v>9130368</v>
      </c>
      <c r="P225" s="22" t="s">
        <v>2312</v>
      </c>
      <c r="Q225" s="22">
        <v>50</v>
      </c>
      <c r="R225" s="22" t="s">
        <v>2329</v>
      </c>
      <c r="S225" s="55"/>
      <c r="T225" s="4"/>
      <c r="U225" s="94"/>
      <c r="V225" s="4"/>
      <c r="W225" s="28"/>
      <c r="X225" s="74">
        <v>0</v>
      </c>
      <c r="Y225" s="28" t="e">
        <v>#REF!</v>
      </c>
      <c r="Z225" s="9"/>
      <c r="AA225" s="24" t="s">
        <v>392</v>
      </c>
      <c r="AB225" s="28">
        <v>41170</v>
      </c>
    </row>
    <row r="226" spans="1:28" ht="14.25" customHeight="1" x14ac:dyDescent="0.4">
      <c r="A226">
        <v>233</v>
      </c>
      <c r="B226" s="24">
        <v>0</v>
      </c>
      <c r="C226" s="24">
        <v>0</v>
      </c>
      <c r="D226" s="24">
        <v>0</v>
      </c>
      <c r="E226" s="24">
        <v>0</v>
      </c>
      <c r="F226" s="24">
        <v>0</v>
      </c>
      <c r="G226" s="24">
        <v>0</v>
      </c>
      <c r="H226" s="37">
        <v>412</v>
      </c>
      <c r="I226" s="23">
        <v>41306</v>
      </c>
      <c r="J226" s="37">
        <v>17</v>
      </c>
      <c r="K226" s="24" t="s">
        <v>412</v>
      </c>
      <c r="L226" s="24">
        <v>41306</v>
      </c>
      <c r="M226" s="24">
        <v>41071</v>
      </c>
      <c r="N226" s="22" t="s">
        <v>1878</v>
      </c>
      <c r="O226">
        <v>9130369</v>
      </c>
      <c r="P226" s="22" t="s">
        <v>2312</v>
      </c>
      <c r="Q226" s="22">
        <v>50</v>
      </c>
      <c r="R226" s="22" t="s">
        <v>2330</v>
      </c>
      <c r="S226" s="102"/>
      <c r="T226" s="4"/>
      <c r="U226" s="94"/>
      <c r="V226" s="4"/>
      <c r="W226" s="92"/>
      <c r="X226" s="74">
        <v>0</v>
      </c>
      <c r="Y226" s="28" t="e">
        <v>#REF!</v>
      </c>
      <c r="Z226" s="9"/>
      <c r="AA226" s="24">
        <v>0</v>
      </c>
      <c r="AB226" s="28">
        <v>0</v>
      </c>
    </row>
    <row r="227" spans="1:28" ht="14.25" customHeight="1" x14ac:dyDescent="0.4">
      <c r="A227">
        <v>234</v>
      </c>
      <c r="B227" s="22">
        <v>0</v>
      </c>
      <c r="C227" s="22">
        <v>0</v>
      </c>
      <c r="D227" s="22">
        <v>0</v>
      </c>
      <c r="E227" s="24">
        <v>0</v>
      </c>
      <c r="F227" s="24">
        <v>0</v>
      </c>
      <c r="G227" s="24">
        <v>0</v>
      </c>
      <c r="H227" s="37">
        <v>413</v>
      </c>
      <c r="I227" s="23">
        <v>41306</v>
      </c>
      <c r="J227" s="37">
        <v>18</v>
      </c>
      <c r="K227" s="24" t="s">
        <v>412</v>
      </c>
      <c r="L227" s="24">
        <v>41306</v>
      </c>
      <c r="M227" s="24">
        <v>41071</v>
      </c>
      <c r="N227" s="22" t="s">
        <v>1878</v>
      </c>
      <c r="O227">
        <v>9130371</v>
      </c>
      <c r="P227" s="22" t="s">
        <v>2312</v>
      </c>
      <c r="Q227" s="22">
        <v>50</v>
      </c>
      <c r="R227" s="22" t="s">
        <v>2334</v>
      </c>
      <c r="S227" s="102"/>
      <c r="T227" s="4"/>
      <c r="U227" s="42"/>
      <c r="V227" s="4"/>
      <c r="W227" s="28"/>
      <c r="X227" s="74"/>
      <c r="Y227" s="28" t="e">
        <v>#REF!</v>
      </c>
      <c r="Z227" s="28"/>
      <c r="AA227" s="24">
        <v>0</v>
      </c>
      <c r="AB227" s="28">
        <v>0</v>
      </c>
    </row>
    <row r="228" spans="1:28" ht="14.25" customHeight="1" x14ac:dyDescent="0.4">
      <c r="A228">
        <v>235</v>
      </c>
      <c r="B228" s="22">
        <v>0</v>
      </c>
      <c r="C228" s="22">
        <v>0</v>
      </c>
      <c r="D228" s="22">
        <v>0</v>
      </c>
      <c r="E228" s="24">
        <v>0</v>
      </c>
      <c r="F228" s="24">
        <v>0</v>
      </c>
      <c r="G228" s="24">
        <v>0</v>
      </c>
      <c r="H228" s="37">
        <v>414</v>
      </c>
      <c r="I228" s="23">
        <v>41306</v>
      </c>
      <c r="J228" s="37">
        <v>19</v>
      </c>
      <c r="K228" s="24" t="s">
        <v>412</v>
      </c>
      <c r="L228" s="24">
        <v>41306</v>
      </c>
      <c r="M228" s="24">
        <v>41071</v>
      </c>
      <c r="N228" s="22" t="s">
        <v>1878</v>
      </c>
      <c r="O228">
        <v>9130372</v>
      </c>
      <c r="P228" s="22" t="s">
        <v>2312</v>
      </c>
      <c r="Q228" s="22">
        <v>50</v>
      </c>
      <c r="R228" s="22" t="s">
        <v>2332</v>
      </c>
      <c r="S228" s="102"/>
      <c r="T228" s="4"/>
      <c r="U228" s="42"/>
      <c r="V228" s="4"/>
      <c r="W228" s="28"/>
      <c r="X228" s="74"/>
      <c r="Y228" s="28" t="e">
        <v>#REF!</v>
      </c>
      <c r="Z228" s="9"/>
      <c r="AA228" s="24">
        <v>0</v>
      </c>
      <c r="AB228" s="28">
        <v>0</v>
      </c>
    </row>
    <row r="229" spans="1:28" ht="14.25" customHeight="1" x14ac:dyDescent="0.4">
      <c r="A229">
        <v>236</v>
      </c>
      <c r="B229" s="22">
        <v>0</v>
      </c>
      <c r="C229" s="22">
        <v>0</v>
      </c>
      <c r="D229" s="22">
        <v>0</v>
      </c>
      <c r="E229" s="24">
        <v>0</v>
      </c>
      <c r="F229" s="24">
        <v>0</v>
      </c>
      <c r="G229" s="24">
        <v>0</v>
      </c>
      <c r="H229" s="37">
        <v>415</v>
      </c>
      <c r="I229" s="23">
        <v>41306</v>
      </c>
      <c r="J229" s="37">
        <v>20</v>
      </c>
      <c r="K229" s="24" t="s">
        <v>412</v>
      </c>
      <c r="L229" s="24">
        <v>41306</v>
      </c>
      <c r="M229" s="24">
        <v>41071</v>
      </c>
      <c r="N229" s="22" t="s">
        <v>1878</v>
      </c>
      <c r="O229">
        <v>9130373</v>
      </c>
      <c r="P229" s="22" t="s">
        <v>2312</v>
      </c>
      <c r="Q229" s="22">
        <v>50</v>
      </c>
      <c r="R229" s="22" t="s">
        <v>2333</v>
      </c>
      <c r="S229" s="102"/>
      <c r="T229" s="4"/>
      <c r="U229" s="42"/>
      <c r="V229" s="4"/>
      <c r="W229" s="28"/>
      <c r="X229" s="74"/>
      <c r="Y229" s="28" t="e">
        <v>#REF!</v>
      </c>
      <c r="Z229" s="28"/>
      <c r="AA229" s="24">
        <v>0</v>
      </c>
      <c r="AB229" s="28">
        <v>0</v>
      </c>
    </row>
    <row r="230" spans="1:28" ht="14.25" customHeight="1" x14ac:dyDescent="0.4">
      <c r="A230">
        <v>237</v>
      </c>
      <c r="B230" s="22">
        <v>0</v>
      </c>
      <c r="C230" s="22">
        <v>0</v>
      </c>
      <c r="D230" s="22">
        <v>0</v>
      </c>
      <c r="E230" s="24">
        <v>0</v>
      </c>
      <c r="F230" s="24">
        <v>0</v>
      </c>
      <c r="G230" s="24">
        <v>0</v>
      </c>
      <c r="H230" s="37">
        <v>360</v>
      </c>
      <c r="I230" s="23">
        <v>41275</v>
      </c>
      <c r="J230" s="37">
        <v>31</v>
      </c>
      <c r="K230" s="24" t="s">
        <v>412</v>
      </c>
      <c r="L230" s="24">
        <v>41275</v>
      </c>
      <c r="M230" s="24">
        <v>41071</v>
      </c>
      <c r="N230" s="22" t="s">
        <v>1878</v>
      </c>
      <c r="O230">
        <v>9130374</v>
      </c>
      <c r="P230" s="22">
        <v>1020</v>
      </c>
      <c r="Q230" s="22">
        <v>50</v>
      </c>
      <c r="R230" s="22" t="s">
        <v>2335</v>
      </c>
      <c r="S230" s="102"/>
      <c r="T230" s="4"/>
      <c r="U230" s="42"/>
      <c r="V230" s="4"/>
      <c r="W230" s="28"/>
      <c r="X230" s="74"/>
      <c r="Y230" s="28" t="e">
        <v>#REF!</v>
      </c>
      <c r="Z230" s="28"/>
      <c r="AA230" s="24">
        <v>0</v>
      </c>
      <c r="AB230" s="28">
        <v>0</v>
      </c>
    </row>
    <row r="231" spans="1:28" ht="14.25" customHeight="1" x14ac:dyDescent="0.4">
      <c r="A231">
        <v>238</v>
      </c>
      <c r="B231" s="22">
        <v>0</v>
      </c>
      <c r="C231" s="22" t="s">
        <v>2102</v>
      </c>
      <c r="D231" s="22">
        <v>0</v>
      </c>
      <c r="E231" s="24">
        <v>0</v>
      </c>
      <c r="F231" s="24">
        <v>0</v>
      </c>
      <c r="G231" s="24">
        <v>0</v>
      </c>
      <c r="H231" s="37">
        <v>416</v>
      </c>
      <c r="I231" s="23">
        <v>41306</v>
      </c>
      <c r="J231" s="37">
        <v>21</v>
      </c>
      <c r="K231" s="24" t="s">
        <v>412</v>
      </c>
      <c r="L231" s="24">
        <v>41306</v>
      </c>
      <c r="M231" s="24">
        <v>41071</v>
      </c>
      <c r="N231" s="22" t="s">
        <v>1878</v>
      </c>
      <c r="O231">
        <v>9130376</v>
      </c>
      <c r="P231" s="22">
        <v>1020</v>
      </c>
      <c r="Q231" s="22">
        <v>50</v>
      </c>
      <c r="R231" s="22" t="s">
        <v>1517</v>
      </c>
      <c r="S231" s="102"/>
      <c r="T231" s="4"/>
      <c r="U231" s="94"/>
      <c r="V231" s="4"/>
      <c r="W231" s="92"/>
      <c r="X231" s="74"/>
      <c r="Y231" s="28" t="e">
        <v>#REF!</v>
      </c>
      <c r="Z231" s="9"/>
      <c r="AA231" s="24">
        <v>0</v>
      </c>
      <c r="AB231" s="28">
        <v>0</v>
      </c>
    </row>
    <row r="232" spans="1:28" ht="14.25" customHeight="1" x14ac:dyDescent="0.4">
      <c r="A232">
        <v>239</v>
      </c>
      <c r="B232" s="22">
        <v>0</v>
      </c>
      <c r="C232" s="22">
        <v>0</v>
      </c>
      <c r="D232" s="22">
        <v>0</v>
      </c>
      <c r="E232" s="24">
        <v>0</v>
      </c>
      <c r="F232" s="24">
        <v>0</v>
      </c>
      <c r="G232" s="24">
        <v>0</v>
      </c>
      <c r="H232" s="37">
        <v>417</v>
      </c>
      <c r="I232" s="23">
        <v>41306</v>
      </c>
      <c r="J232" s="37">
        <v>22</v>
      </c>
      <c r="K232" s="24" t="s">
        <v>412</v>
      </c>
      <c r="L232" s="24">
        <v>41306</v>
      </c>
      <c r="M232" s="24">
        <v>41071</v>
      </c>
      <c r="N232" s="22" t="s">
        <v>1878</v>
      </c>
      <c r="O232">
        <v>9130377</v>
      </c>
      <c r="P232" s="22">
        <v>1020</v>
      </c>
      <c r="Q232" s="22">
        <v>50</v>
      </c>
      <c r="R232" s="22" t="s">
        <v>2321</v>
      </c>
      <c r="S232" s="102"/>
      <c r="T232" s="4"/>
      <c r="U232" s="94"/>
      <c r="V232" s="4"/>
      <c r="W232" s="94"/>
      <c r="Y232" s="28" t="e">
        <v>#REF!</v>
      </c>
      <c r="Z232" s="9"/>
      <c r="AA232" s="24">
        <v>0</v>
      </c>
      <c r="AB232" s="28">
        <v>0</v>
      </c>
    </row>
    <row r="233" spans="1:28" ht="14.25" customHeight="1" x14ac:dyDescent="0.4">
      <c r="A233">
        <v>240</v>
      </c>
      <c r="B233" s="24">
        <v>41137</v>
      </c>
      <c r="C233" s="24">
        <v>41137</v>
      </c>
      <c r="D233" s="24">
        <v>41137</v>
      </c>
      <c r="E233" s="24">
        <v>41137</v>
      </c>
      <c r="F233" s="24" t="s">
        <v>392</v>
      </c>
      <c r="G233" s="24">
        <v>41150</v>
      </c>
      <c r="H233" s="37">
        <v>64</v>
      </c>
      <c r="I233" s="23">
        <v>41122</v>
      </c>
      <c r="J233" s="37">
        <v>32</v>
      </c>
      <c r="K233" s="24" t="s">
        <v>412</v>
      </c>
      <c r="L233" s="24">
        <v>41122</v>
      </c>
      <c r="M233" s="24">
        <v>41071</v>
      </c>
      <c r="N233" s="22" t="s">
        <v>1878</v>
      </c>
      <c r="O233">
        <v>9130378</v>
      </c>
      <c r="P233" s="22" t="s">
        <v>2312</v>
      </c>
      <c r="Q233" s="22">
        <v>50</v>
      </c>
      <c r="R233" s="22" t="s">
        <v>2335</v>
      </c>
      <c r="T233" s="4"/>
      <c r="U233" s="167"/>
      <c r="V233" s="4"/>
      <c r="W233" s="42"/>
      <c r="Y233" s="28" t="e">
        <v>#REF!</v>
      </c>
      <c r="AA233" s="24" t="s">
        <v>392</v>
      </c>
      <c r="AB233" s="28">
        <v>41150</v>
      </c>
    </row>
    <row r="234" spans="1:28" s="4" customFormat="1" ht="14.25" customHeight="1" x14ac:dyDescent="0.4">
      <c r="A234">
        <v>241</v>
      </c>
      <c r="B234" s="24">
        <v>0</v>
      </c>
      <c r="C234" s="24">
        <v>0</v>
      </c>
      <c r="D234" s="24">
        <v>0</v>
      </c>
      <c r="E234" s="24">
        <v>0</v>
      </c>
      <c r="F234" s="24">
        <v>0</v>
      </c>
      <c r="G234" s="24">
        <v>0</v>
      </c>
      <c r="H234" s="37">
        <v>361</v>
      </c>
      <c r="I234" s="23">
        <v>41275</v>
      </c>
      <c r="J234" s="37">
        <v>32</v>
      </c>
      <c r="K234" s="24" t="s">
        <v>412</v>
      </c>
      <c r="L234" s="24">
        <v>41275</v>
      </c>
      <c r="M234" s="24">
        <v>41071</v>
      </c>
      <c r="N234" s="22" t="s">
        <v>1878</v>
      </c>
      <c r="O234">
        <v>9130380</v>
      </c>
      <c r="P234" s="22" t="s">
        <v>2312</v>
      </c>
      <c r="Q234" s="22">
        <v>50</v>
      </c>
      <c r="R234" s="22" t="s">
        <v>1517</v>
      </c>
      <c r="S234" s="3"/>
      <c r="U234" s="167"/>
      <c r="W234" s="42"/>
      <c r="X234" s="75"/>
      <c r="Y234" s="28" t="e">
        <v>#REF!</v>
      </c>
      <c r="Z234" s="1"/>
      <c r="AA234" s="24">
        <v>0</v>
      </c>
      <c r="AB234" s="28">
        <v>0</v>
      </c>
    </row>
    <row r="235" spans="1:28" s="4" customFormat="1" ht="14.25" customHeight="1" x14ac:dyDescent="0.4">
      <c r="A235">
        <v>242</v>
      </c>
      <c r="B235" s="24">
        <v>0</v>
      </c>
      <c r="C235" s="24">
        <v>0</v>
      </c>
      <c r="D235" s="24">
        <v>0</v>
      </c>
      <c r="E235" s="24">
        <v>0</v>
      </c>
      <c r="F235" s="24">
        <v>0</v>
      </c>
      <c r="G235" s="24">
        <v>0</v>
      </c>
      <c r="H235" s="37">
        <v>478</v>
      </c>
      <c r="I235" s="23">
        <v>41334</v>
      </c>
      <c r="J235" s="37">
        <v>24</v>
      </c>
      <c r="K235" s="24" t="s">
        <v>412</v>
      </c>
      <c r="L235" s="24">
        <v>41334</v>
      </c>
      <c r="M235" s="24">
        <v>41071</v>
      </c>
      <c r="N235" s="22" t="s">
        <v>1878</v>
      </c>
      <c r="O235">
        <v>9130383</v>
      </c>
      <c r="P235" s="22" t="s">
        <v>2312</v>
      </c>
      <c r="Q235" s="22">
        <v>50</v>
      </c>
      <c r="R235" s="22" t="s">
        <v>2321</v>
      </c>
      <c r="S235" s="3"/>
      <c r="U235" s="167"/>
      <c r="W235" s="42"/>
      <c r="X235" s="75"/>
      <c r="Y235" s="28" t="e">
        <v>#REF!</v>
      </c>
      <c r="Z235" s="1"/>
      <c r="AA235" s="24">
        <v>0</v>
      </c>
      <c r="AB235" s="28">
        <v>0</v>
      </c>
    </row>
    <row r="236" spans="1:28" s="4" customFormat="1" ht="14.25" customHeight="1" x14ac:dyDescent="0.4">
      <c r="A236">
        <v>243</v>
      </c>
      <c r="B236" s="24">
        <v>0</v>
      </c>
      <c r="C236" s="24">
        <v>0</v>
      </c>
      <c r="D236" s="24">
        <v>0</v>
      </c>
      <c r="E236" s="24">
        <v>0</v>
      </c>
      <c r="F236" s="24">
        <v>0</v>
      </c>
      <c r="G236" s="24">
        <v>0</v>
      </c>
      <c r="H236" s="37">
        <v>247</v>
      </c>
      <c r="I236" s="23">
        <v>41214</v>
      </c>
      <c r="J236" s="37">
        <v>26</v>
      </c>
      <c r="K236" s="24" t="s">
        <v>412</v>
      </c>
      <c r="L236" s="24">
        <v>41214</v>
      </c>
      <c r="M236" s="24">
        <v>41071</v>
      </c>
      <c r="N236" s="22" t="s">
        <v>1878</v>
      </c>
      <c r="O236">
        <v>9130385</v>
      </c>
      <c r="P236" s="22">
        <v>1020</v>
      </c>
      <c r="Q236" s="22">
        <v>50</v>
      </c>
      <c r="R236" s="22" t="s">
        <v>1545</v>
      </c>
      <c r="S236" s="3"/>
      <c r="U236" s="167"/>
      <c r="W236" s="42"/>
      <c r="X236" s="75"/>
      <c r="Y236" s="28" t="e">
        <v>#REF!</v>
      </c>
      <c r="Z236" s="1"/>
      <c r="AA236" s="24">
        <v>0</v>
      </c>
      <c r="AB236" s="28">
        <v>0</v>
      </c>
    </row>
    <row r="237" spans="1:28" ht="14.25" customHeight="1" x14ac:dyDescent="0.4">
      <c r="A237">
        <v>244</v>
      </c>
      <c r="B237" s="24">
        <v>0</v>
      </c>
      <c r="C237" s="24">
        <v>0</v>
      </c>
      <c r="D237" s="24">
        <v>0</v>
      </c>
      <c r="E237" s="24">
        <v>0</v>
      </c>
      <c r="F237" s="24">
        <v>0</v>
      </c>
      <c r="G237" s="24">
        <v>0</v>
      </c>
      <c r="H237" s="37">
        <v>298</v>
      </c>
      <c r="I237" s="23">
        <v>41244</v>
      </c>
      <c r="J237" s="37">
        <v>20</v>
      </c>
      <c r="K237" s="24" t="s">
        <v>412</v>
      </c>
      <c r="L237" s="24">
        <v>41244</v>
      </c>
      <c r="M237" s="24">
        <v>41071</v>
      </c>
      <c r="N237" s="22" t="s">
        <v>1878</v>
      </c>
      <c r="O237">
        <v>9130386</v>
      </c>
      <c r="P237" s="22">
        <v>1020</v>
      </c>
      <c r="Q237" s="22">
        <v>50</v>
      </c>
      <c r="R237" s="22" t="s">
        <v>1546</v>
      </c>
      <c r="T237" s="4"/>
      <c r="U237" s="167"/>
      <c r="V237" s="4"/>
      <c r="W237" s="42"/>
      <c r="Y237" s="28" t="e">
        <v>#REF!</v>
      </c>
      <c r="AA237" s="24">
        <v>0</v>
      </c>
      <c r="AB237" s="28">
        <v>0</v>
      </c>
    </row>
    <row r="238" spans="1:28" ht="14.25" customHeight="1" x14ac:dyDescent="0.4">
      <c r="A238">
        <v>245</v>
      </c>
      <c r="B238" s="24">
        <v>0</v>
      </c>
      <c r="C238" s="24">
        <v>0</v>
      </c>
      <c r="D238" s="24">
        <v>0</v>
      </c>
      <c r="E238" s="24">
        <v>0</v>
      </c>
      <c r="F238" s="24">
        <v>0</v>
      </c>
      <c r="G238" s="24">
        <v>0</v>
      </c>
      <c r="H238" s="37">
        <v>362</v>
      </c>
      <c r="I238" s="23">
        <v>41275</v>
      </c>
      <c r="J238" s="37">
        <v>33</v>
      </c>
      <c r="K238" s="24" t="s">
        <v>412</v>
      </c>
      <c r="L238" s="24">
        <v>41275</v>
      </c>
      <c r="M238" s="24">
        <v>41071</v>
      </c>
      <c r="N238" s="22" t="s">
        <v>1878</v>
      </c>
      <c r="O238">
        <v>9130387</v>
      </c>
      <c r="P238" s="22">
        <v>1020</v>
      </c>
      <c r="Q238" s="22">
        <v>50</v>
      </c>
      <c r="R238" s="22" t="s">
        <v>1547</v>
      </c>
      <c r="T238" s="4"/>
      <c r="U238" s="167"/>
      <c r="V238" s="4"/>
      <c r="W238" s="42"/>
      <c r="Y238" s="28" t="e">
        <v>#REF!</v>
      </c>
      <c r="AA238" s="24">
        <v>0</v>
      </c>
      <c r="AB238" s="28">
        <v>0</v>
      </c>
    </row>
    <row r="239" spans="1:28" s="6" customFormat="1" ht="14.25" customHeight="1" x14ac:dyDescent="0.4">
      <c r="A239">
        <v>246</v>
      </c>
      <c r="B239" s="24">
        <v>0</v>
      </c>
      <c r="C239" s="24">
        <v>0</v>
      </c>
      <c r="D239" s="24">
        <v>0</v>
      </c>
      <c r="E239" s="24">
        <v>0</v>
      </c>
      <c r="F239" s="24">
        <v>0</v>
      </c>
      <c r="G239" s="24">
        <v>0</v>
      </c>
      <c r="H239" s="37">
        <v>363</v>
      </c>
      <c r="I239" s="23">
        <v>41275</v>
      </c>
      <c r="J239" s="37">
        <v>34</v>
      </c>
      <c r="K239" s="24" t="s">
        <v>412</v>
      </c>
      <c r="L239" s="24">
        <v>41275</v>
      </c>
      <c r="M239" s="24">
        <v>41071</v>
      </c>
      <c r="N239" s="22" t="s">
        <v>1878</v>
      </c>
      <c r="O239">
        <v>9130388</v>
      </c>
      <c r="P239" s="22">
        <v>1020</v>
      </c>
      <c r="Q239" s="22">
        <v>50</v>
      </c>
      <c r="R239" s="22" t="s">
        <v>1548</v>
      </c>
      <c r="S239" s="3"/>
      <c r="T239" s="4"/>
      <c r="U239" s="167"/>
      <c r="V239" s="4"/>
      <c r="W239" s="42"/>
      <c r="X239" s="75"/>
      <c r="Y239" s="28" t="e">
        <v>#REF!</v>
      </c>
      <c r="Z239" s="1"/>
      <c r="AA239" s="24">
        <v>0</v>
      </c>
      <c r="AB239" s="28">
        <v>0</v>
      </c>
    </row>
    <row r="240" spans="1:28" s="4" customFormat="1" ht="14.25" customHeight="1" x14ac:dyDescent="0.4">
      <c r="A240">
        <v>247</v>
      </c>
      <c r="B240" s="24">
        <v>0</v>
      </c>
      <c r="C240" s="24">
        <v>0</v>
      </c>
      <c r="D240" s="24">
        <v>0</v>
      </c>
      <c r="E240" s="24">
        <v>0</v>
      </c>
      <c r="F240" s="24">
        <v>0</v>
      </c>
      <c r="G240" s="24">
        <v>0</v>
      </c>
      <c r="H240" s="37">
        <v>418</v>
      </c>
      <c r="I240" s="23">
        <v>41306</v>
      </c>
      <c r="J240" s="37">
        <v>23</v>
      </c>
      <c r="K240" s="24" t="s">
        <v>412</v>
      </c>
      <c r="L240" s="24">
        <v>41306</v>
      </c>
      <c r="M240" s="24">
        <v>41071</v>
      </c>
      <c r="N240" s="22" t="s">
        <v>1878</v>
      </c>
      <c r="O240">
        <v>9130389</v>
      </c>
      <c r="P240" s="22">
        <v>1020</v>
      </c>
      <c r="Q240" s="22">
        <v>50</v>
      </c>
      <c r="R240" s="22" t="s">
        <v>1549</v>
      </c>
      <c r="S240" s="3"/>
      <c r="U240" s="167"/>
      <c r="W240" s="42"/>
      <c r="X240" s="75"/>
      <c r="Y240" s="28" t="e">
        <v>#REF!</v>
      </c>
      <c r="Z240" s="1"/>
      <c r="AA240" s="24">
        <v>0</v>
      </c>
      <c r="AB240" s="28">
        <v>0</v>
      </c>
    </row>
    <row r="241" spans="1:28" s="4" customFormat="1" ht="14.25" customHeight="1" x14ac:dyDescent="0.4">
      <c r="A241">
        <v>248</v>
      </c>
      <c r="B241" s="24">
        <v>0</v>
      </c>
      <c r="C241" s="24">
        <v>0</v>
      </c>
      <c r="D241" s="24">
        <v>0</v>
      </c>
      <c r="E241" s="24">
        <v>0</v>
      </c>
      <c r="F241" s="24">
        <v>0</v>
      </c>
      <c r="G241" s="24">
        <v>0</v>
      </c>
      <c r="H241" s="37">
        <v>419</v>
      </c>
      <c r="I241" s="23">
        <v>41306</v>
      </c>
      <c r="J241" s="37">
        <v>24</v>
      </c>
      <c r="K241" s="24" t="s">
        <v>412</v>
      </c>
      <c r="L241" s="24">
        <v>41306</v>
      </c>
      <c r="M241" s="24">
        <v>41071</v>
      </c>
      <c r="N241" s="22" t="s">
        <v>1878</v>
      </c>
      <c r="O241">
        <v>9130390</v>
      </c>
      <c r="P241" s="22">
        <v>1020</v>
      </c>
      <c r="Q241" s="22">
        <v>50</v>
      </c>
      <c r="R241" s="22" t="s">
        <v>1550</v>
      </c>
      <c r="S241" s="3"/>
      <c r="U241" s="167"/>
      <c r="W241" s="42"/>
      <c r="X241" s="75"/>
      <c r="Y241" s="28" t="e">
        <v>#REF!</v>
      </c>
      <c r="Z241" s="1"/>
      <c r="AA241" s="24">
        <v>0</v>
      </c>
      <c r="AB241" s="28">
        <v>0</v>
      </c>
    </row>
    <row r="242" spans="1:28" s="4" customFormat="1" ht="14.25" customHeight="1" x14ac:dyDescent="0.4">
      <c r="A242">
        <v>249</v>
      </c>
      <c r="B242" s="24">
        <v>0</v>
      </c>
      <c r="C242" s="24">
        <v>0</v>
      </c>
      <c r="D242" s="24">
        <v>0</v>
      </c>
      <c r="E242" s="24">
        <v>0</v>
      </c>
      <c r="F242" s="24">
        <v>0</v>
      </c>
      <c r="G242" s="24">
        <v>0</v>
      </c>
      <c r="H242" s="37">
        <v>248</v>
      </c>
      <c r="I242" s="23">
        <v>41214</v>
      </c>
      <c r="J242" s="37">
        <v>27</v>
      </c>
      <c r="K242" s="24" t="s">
        <v>412</v>
      </c>
      <c r="L242" s="24">
        <v>41214</v>
      </c>
      <c r="M242" s="24">
        <v>41071</v>
      </c>
      <c r="N242" s="22" t="s">
        <v>1878</v>
      </c>
      <c r="O242">
        <v>9130391</v>
      </c>
      <c r="P242" s="22" t="s">
        <v>2312</v>
      </c>
      <c r="Q242" s="22">
        <v>50</v>
      </c>
      <c r="R242" s="22" t="s">
        <v>1545</v>
      </c>
      <c r="S242" s="3"/>
      <c r="U242" s="167"/>
      <c r="W242" s="42"/>
      <c r="X242" s="75"/>
      <c r="Y242" s="28" t="e">
        <v>#REF!</v>
      </c>
      <c r="Z242" s="1"/>
      <c r="AA242" s="24">
        <v>0</v>
      </c>
      <c r="AB242" s="28">
        <v>0</v>
      </c>
    </row>
    <row r="243" spans="1:28" ht="14.25" customHeight="1" x14ac:dyDescent="0.4">
      <c r="A243">
        <v>250</v>
      </c>
      <c r="B243" s="24">
        <v>0</v>
      </c>
      <c r="C243" s="24">
        <v>0</v>
      </c>
      <c r="D243" s="24">
        <v>0</v>
      </c>
      <c r="E243" s="24">
        <v>0</v>
      </c>
      <c r="F243" s="24">
        <v>0</v>
      </c>
      <c r="G243" s="24">
        <v>0</v>
      </c>
      <c r="H243" s="37">
        <v>299</v>
      </c>
      <c r="I243" s="23">
        <v>41244</v>
      </c>
      <c r="J243" s="37">
        <v>21</v>
      </c>
      <c r="K243" s="24" t="s">
        <v>412</v>
      </c>
      <c r="L243" s="24">
        <v>41244</v>
      </c>
      <c r="M243" s="24">
        <v>41071</v>
      </c>
      <c r="N243" s="22" t="s">
        <v>1878</v>
      </c>
      <c r="O243">
        <v>9130392</v>
      </c>
      <c r="P243" s="22" t="s">
        <v>2312</v>
      </c>
      <c r="Q243" s="22">
        <v>50</v>
      </c>
      <c r="R243" s="22" t="s">
        <v>1546</v>
      </c>
      <c r="S243" s="102"/>
      <c r="T243" s="4"/>
      <c r="U243" s="94"/>
      <c r="V243" s="4"/>
      <c r="W243" s="42"/>
      <c r="X243" s="74">
        <v>0</v>
      </c>
      <c r="Y243" s="28" t="e">
        <v>#REF!</v>
      </c>
      <c r="Z243" s="9"/>
      <c r="AA243" s="24">
        <v>0</v>
      </c>
      <c r="AB243" s="28">
        <v>0</v>
      </c>
    </row>
    <row r="244" spans="1:28" s="4" customFormat="1" ht="14.25" customHeight="1" x14ac:dyDescent="0.4">
      <c r="A244">
        <v>251</v>
      </c>
      <c r="B244" s="24">
        <v>0</v>
      </c>
      <c r="C244" s="24">
        <v>0</v>
      </c>
      <c r="D244" s="24">
        <v>0</v>
      </c>
      <c r="E244" s="24">
        <v>0</v>
      </c>
      <c r="F244" s="24">
        <v>0</v>
      </c>
      <c r="G244" s="24">
        <v>0</v>
      </c>
      <c r="H244" s="37">
        <v>364</v>
      </c>
      <c r="I244" s="23">
        <v>41275</v>
      </c>
      <c r="J244" s="37">
        <v>35</v>
      </c>
      <c r="K244" s="24" t="s">
        <v>412</v>
      </c>
      <c r="L244" s="24">
        <v>41275</v>
      </c>
      <c r="M244" s="24">
        <v>41071</v>
      </c>
      <c r="N244" s="22" t="s">
        <v>1878</v>
      </c>
      <c r="O244">
        <v>9130393</v>
      </c>
      <c r="P244" s="22" t="s">
        <v>2312</v>
      </c>
      <c r="Q244" s="22">
        <v>50</v>
      </c>
      <c r="R244" s="22" t="s">
        <v>1547</v>
      </c>
      <c r="S244" s="3"/>
      <c r="U244" s="164"/>
      <c r="W244" s="164"/>
      <c r="X244" s="75"/>
      <c r="Y244" s="28" t="e">
        <v>#REF!</v>
      </c>
      <c r="Z244" s="1"/>
      <c r="AA244" s="24">
        <v>0</v>
      </c>
      <c r="AB244" s="28">
        <v>0</v>
      </c>
    </row>
    <row r="245" spans="1:28" s="4" customFormat="1" ht="14.25" customHeight="1" x14ac:dyDescent="0.4">
      <c r="A245">
        <v>252</v>
      </c>
      <c r="B245" s="24">
        <v>0</v>
      </c>
      <c r="C245" s="24">
        <v>0</v>
      </c>
      <c r="D245" s="24">
        <v>0</v>
      </c>
      <c r="E245" s="24">
        <v>0</v>
      </c>
      <c r="F245" s="24">
        <v>0</v>
      </c>
      <c r="G245" s="24">
        <v>0</v>
      </c>
      <c r="H245" s="37">
        <v>365</v>
      </c>
      <c r="I245" s="23">
        <v>41275</v>
      </c>
      <c r="J245" s="37">
        <v>36</v>
      </c>
      <c r="K245" s="24" t="s">
        <v>412</v>
      </c>
      <c r="L245" s="24">
        <v>41275</v>
      </c>
      <c r="M245" s="24">
        <v>41071</v>
      </c>
      <c r="N245" s="22" t="s">
        <v>1878</v>
      </c>
      <c r="O245">
        <v>9130394</v>
      </c>
      <c r="P245" s="22" t="s">
        <v>2312</v>
      </c>
      <c r="Q245" s="22">
        <v>50</v>
      </c>
      <c r="R245" s="22" t="s">
        <v>1548</v>
      </c>
      <c r="S245" s="3"/>
      <c r="U245" s="164"/>
      <c r="W245" s="28"/>
      <c r="X245" s="75"/>
      <c r="Y245" s="28" t="e">
        <v>#REF!</v>
      </c>
      <c r="Z245" s="1"/>
      <c r="AA245" s="24">
        <v>0</v>
      </c>
      <c r="AB245" s="28">
        <v>0</v>
      </c>
    </row>
    <row r="246" spans="1:28" s="4" customFormat="1" ht="14.25" customHeight="1" x14ac:dyDescent="0.4">
      <c r="A246">
        <v>253</v>
      </c>
      <c r="B246" s="22">
        <v>0</v>
      </c>
      <c r="C246" s="22" t="s">
        <v>2165</v>
      </c>
      <c r="D246" s="22">
        <v>0</v>
      </c>
      <c r="E246" s="24">
        <v>0</v>
      </c>
      <c r="F246" s="24">
        <v>0</v>
      </c>
      <c r="G246" s="24">
        <v>0</v>
      </c>
      <c r="H246" s="37">
        <v>420</v>
      </c>
      <c r="I246" s="23">
        <v>41306</v>
      </c>
      <c r="J246" s="37">
        <v>25</v>
      </c>
      <c r="K246" s="24" t="s">
        <v>412</v>
      </c>
      <c r="L246" s="24">
        <v>41306</v>
      </c>
      <c r="M246" s="24">
        <v>41071</v>
      </c>
      <c r="N246" s="22" t="s">
        <v>1878</v>
      </c>
      <c r="O246">
        <v>9130395</v>
      </c>
      <c r="P246" s="22" t="s">
        <v>2312</v>
      </c>
      <c r="Q246" s="22">
        <v>50</v>
      </c>
      <c r="R246" s="22" t="s">
        <v>1549</v>
      </c>
      <c r="S246" s="55"/>
      <c r="U246" s="164"/>
      <c r="W246" s="164"/>
      <c r="X246" s="74"/>
      <c r="Y246" s="28" t="e">
        <v>#REF!</v>
      </c>
      <c r="Z246" s="28"/>
      <c r="AA246" s="24">
        <v>0</v>
      </c>
      <c r="AB246" s="28">
        <v>0</v>
      </c>
    </row>
    <row r="247" spans="1:28" ht="14.25" customHeight="1" x14ac:dyDescent="0.4">
      <c r="A247">
        <v>254</v>
      </c>
      <c r="B247" s="24">
        <v>0</v>
      </c>
      <c r="C247" s="24">
        <v>0</v>
      </c>
      <c r="D247" s="24">
        <v>0</v>
      </c>
      <c r="E247" s="24">
        <v>0</v>
      </c>
      <c r="F247" s="24">
        <v>0</v>
      </c>
      <c r="G247" s="24">
        <v>0</v>
      </c>
      <c r="H247" s="37">
        <v>421</v>
      </c>
      <c r="I247" s="23">
        <v>41306</v>
      </c>
      <c r="J247" s="37">
        <v>26</v>
      </c>
      <c r="K247" s="24" t="s">
        <v>412</v>
      </c>
      <c r="L247" s="24">
        <v>41306</v>
      </c>
      <c r="M247" s="24">
        <v>41071</v>
      </c>
      <c r="N247" s="22" t="s">
        <v>1878</v>
      </c>
      <c r="O247">
        <v>9130396</v>
      </c>
      <c r="P247" s="22" t="s">
        <v>2312</v>
      </c>
      <c r="Q247" s="22">
        <v>50</v>
      </c>
      <c r="R247" s="22" t="s">
        <v>1550</v>
      </c>
      <c r="S247" s="102"/>
      <c r="T247" s="4"/>
      <c r="U247" s="94"/>
      <c r="V247" s="4"/>
      <c r="W247" s="92"/>
      <c r="X247" s="74">
        <v>0</v>
      </c>
      <c r="Y247" s="28" t="e">
        <v>#REF!</v>
      </c>
      <c r="Z247" s="9"/>
      <c r="AA247" s="24">
        <v>0</v>
      </c>
      <c r="AB247" s="28">
        <v>0</v>
      </c>
    </row>
    <row r="248" spans="1:28" ht="14.25" customHeight="1" x14ac:dyDescent="0.4">
      <c r="A248">
        <v>255</v>
      </c>
      <c r="B248" s="22">
        <v>0</v>
      </c>
      <c r="C248" s="22" t="s">
        <v>2165</v>
      </c>
      <c r="D248" s="22">
        <v>0</v>
      </c>
      <c r="E248" s="24">
        <v>0</v>
      </c>
      <c r="F248" s="24">
        <v>0</v>
      </c>
      <c r="G248" s="24">
        <v>0</v>
      </c>
      <c r="H248" s="37">
        <v>443</v>
      </c>
      <c r="I248" s="23">
        <v>41306</v>
      </c>
      <c r="J248" s="37">
        <v>48</v>
      </c>
      <c r="K248" s="24" t="s">
        <v>412</v>
      </c>
      <c r="L248" s="24">
        <v>41306</v>
      </c>
      <c r="M248" s="24">
        <v>41071</v>
      </c>
      <c r="N248" s="22" t="s">
        <v>1878</v>
      </c>
      <c r="O248">
        <v>9130397</v>
      </c>
      <c r="P248" s="22">
        <v>720</v>
      </c>
      <c r="Q248" s="22">
        <v>50</v>
      </c>
      <c r="R248" s="22" t="s">
        <v>68</v>
      </c>
      <c r="S248" s="55"/>
      <c r="T248" s="4"/>
      <c r="U248" s="164"/>
      <c r="V248" s="4"/>
      <c r="W248" s="164"/>
      <c r="X248" s="74"/>
      <c r="Y248" s="28" t="e">
        <v>#REF!</v>
      </c>
      <c r="Z248" s="9"/>
      <c r="AA248" s="24">
        <v>0</v>
      </c>
      <c r="AB248" s="28">
        <v>0</v>
      </c>
    </row>
    <row r="249" spans="1:28" ht="14.25" customHeight="1" x14ac:dyDescent="0.4">
      <c r="A249">
        <v>256</v>
      </c>
      <c r="B249" s="22">
        <v>0</v>
      </c>
      <c r="C249" s="22" t="s">
        <v>2165</v>
      </c>
      <c r="D249" s="22">
        <v>0</v>
      </c>
      <c r="E249" s="24">
        <v>0</v>
      </c>
      <c r="F249" s="24">
        <v>0</v>
      </c>
      <c r="G249" s="24">
        <v>0</v>
      </c>
      <c r="H249" s="37">
        <v>444</v>
      </c>
      <c r="I249" s="23">
        <v>41306</v>
      </c>
      <c r="J249" s="37">
        <v>49</v>
      </c>
      <c r="K249" s="24" t="s">
        <v>412</v>
      </c>
      <c r="L249" s="24">
        <v>41306</v>
      </c>
      <c r="M249" s="24">
        <v>41071</v>
      </c>
      <c r="N249" s="22" t="s">
        <v>1878</v>
      </c>
      <c r="O249">
        <v>9130399</v>
      </c>
      <c r="P249" s="22">
        <v>720</v>
      </c>
      <c r="Q249" s="22">
        <v>50</v>
      </c>
      <c r="R249" s="22" t="s">
        <v>69</v>
      </c>
      <c r="S249" s="102"/>
      <c r="T249" s="4"/>
      <c r="U249" s="94"/>
      <c r="V249" s="4"/>
      <c r="W249" s="92"/>
      <c r="X249" s="74"/>
      <c r="Y249" s="28" t="e">
        <v>#REF!</v>
      </c>
      <c r="Z249" s="9"/>
      <c r="AA249" s="24">
        <v>0</v>
      </c>
      <c r="AB249" s="28">
        <v>0</v>
      </c>
    </row>
    <row r="250" spans="1:28" s="4" customFormat="1" ht="14.25" customHeight="1" x14ac:dyDescent="0.4">
      <c r="A250">
        <v>396</v>
      </c>
      <c r="B250" s="22">
        <v>0</v>
      </c>
      <c r="C250" s="22">
        <v>0</v>
      </c>
      <c r="D250" s="22">
        <v>0</v>
      </c>
      <c r="E250" s="24">
        <v>0</v>
      </c>
      <c r="F250" s="24">
        <v>0</v>
      </c>
      <c r="G250" s="24">
        <v>0</v>
      </c>
      <c r="H250" s="37">
        <v>327</v>
      </c>
      <c r="I250" s="23">
        <v>41244</v>
      </c>
      <c r="J250" s="37">
        <v>49</v>
      </c>
      <c r="K250" s="24" t="s">
        <v>412</v>
      </c>
      <c r="L250" s="24">
        <v>41244</v>
      </c>
      <c r="M250" s="24">
        <v>41072</v>
      </c>
      <c r="N250" s="22" t="s">
        <v>674</v>
      </c>
      <c r="O250">
        <v>9130634</v>
      </c>
      <c r="P250" s="22">
        <v>720</v>
      </c>
      <c r="Q250" s="22">
        <v>42</v>
      </c>
      <c r="R250" s="22" t="s">
        <v>2336</v>
      </c>
      <c r="S250" s="3"/>
      <c r="U250" s="164"/>
      <c r="W250" s="1"/>
      <c r="X250" s="75"/>
      <c r="Y250" s="28" t="e">
        <v>#REF!</v>
      </c>
      <c r="Z250" s="1"/>
      <c r="AA250" s="24">
        <v>0</v>
      </c>
      <c r="AB250" s="28">
        <v>0</v>
      </c>
    </row>
    <row r="251" spans="1:28" s="4" customFormat="1" ht="14.25" customHeight="1" x14ac:dyDescent="0.4">
      <c r="A251">
        <v>397</v>
      </c>
      <c r="B251" s="22">
        <v>0</v>
      </c>
      <c r="C251" s="22">
        <v>0</v>
      </c>
      <c r="D251" s="22">
        <v>0</v>
      </c>
      <c r="E251" s="24">
        <v>0</v>
      </c>
      <c r="F251" s="24">
        <v>0</v>
      </c>
      <c r="G251" s="24">
        <v>0</v>
      </c>
      <c r="H251" s="37">
        <v>328</v>
      </c>
      <c r="I251" s="23">
        <v>41244</v>
      </c>
      <c r="J251" s="37">
        <v>50</v>
      </c>
      <c r="K251" s="24" t="s">
        <v>412</v>
      </c>
      <c r="L251" s="24">
        <v>41244</v>
      </c>
      <c r="M251" s="24">
        <v>41072</v>
      </c>
      <c r="N251" s="22" t="s">
        <v>674</v>
      </c>
      <c r="O251">
        <v>9130635</v>
      </c>
      <c r="P251" s="22">
        <v>720</v>
      </c>
      <c r="Q251" s="22">
        <v>42</v>
      </c>
      <c r="R251" s="22" t="s">
        <v>2337</v>
      </c>
      <c r="S251" s="3"/>
      <c r="U251" s="164"/>
      <c r="W251" s="1"/>
      <c r="X251" s="75"/>
      <c r="Y251" s="28" t="e">
        <v>#REF!</v>
      </c>
      <c r="Z251" s="1"/>
      <c r="AA251" s="24">
        <v>0</v>
      </c>
      <c r="AB251" s="28">
        <v>0</v>
      </c>
    </row>
    <row r="252" spans="1:28" s="4" customFormat="1" ht="14.25" customHeight="1" x14ac:dyDescent="0.4">
      <c r="A252">
        <v>398</v>
      </c>
      <c r="B252" s="24">
        <v>0</v>
      </c>
      <c r="C252" s="24">
        <v>0</v>
      </c>
      <c r="D252" s="24">
        <v>0</v>
      </c>
      <c r="E252" s="24">
        <v>0</v>
      </c>
      <c r="F252" s="24">
        <v>0</v>
      </c>
      <c r="G252" s="24">
        <v>0</v>
      </c>
      <c r="H252" s="37">
        <v>300</v>
      </c>
      <c r="I252" s="23">
        <v>41244</v>
      </c>
      <c r="J252" s="37">
        <v>22</v>
      </c>
      <c r="K252" s="24" t="s">
        <v>412</v>
      </c>
      <c r="L252" s="24">
        <v>41306</v>
      </c>
      <c r="M252" s="24">
        <v>41072</v>
      </c>
      <c r="N252" s="22" t="s">
        <v>674</v>
      </c>
      <c r="O252">
        <v>9130636</v>
      </c>
      <c r="P252" s="22">
        <v>720</v>
      </c>
      <c r="Q252" s="22">
        <v>42</v>
      </c>
      <c r="R252" s="22" t="s">
        <v>2338</v>
      </c>
      <c r="U252" s="44"/>
      <c r="W252" s="9"/>
      <c r="X252" s="74"/>
      <c r="Y252" s="28" t="e">
        <v>#REF!</v>
      </c>
      <c r="Z252" s="9"/>
      <c r="AA252" s="24">
        <v>0</v>
      </c>
      <c r="AB252" s="28">
        <v>0</v>
      </c>
    </row>
    <row r="253" spans="1:28" s="4" customFormat="1" ht="14.25" customHeight="1" x14ac:dyDescent="0.4">
      <c r="A253">
        <v>399</v>
      </c>
      <c r="B253" s="24">
        <v>0</v>
      </c>
      <c r="C253" s="24">
        <v>0</v>
      </c>
      <c r="D253" s="24">
        <v>0</v>
      </c>
      <c r="E253" s="24">
        <v>0</v>
      </c>
      <c r="F253" s="24">
        <v>0</v>
      </c>
      <c r="G253" s="24">
        <v>0</v>
      </c>
      <c r="H253" s="37">
        <v>448</v>
      </c>
      <c r="I253" s="23">
        <v>41306</v>
      </c>
      <c r="J253" s="37">
        <v>53</v>
      </c>
      <c r="K253" s="24" t="s">
        <v>412</v>
      </c>
      <c r="L253" s="24">
        <v>41306</v>
      </c>
      <c r="M253" s="24">
        <v>41072</v>
      </c>
      <c r="N253" s="22" t="s">
        <v>674</v>
      </c>
      <c r="O253">
        <v>9130637</v>
      </c>
      <c r="P253" s="22">
        <v>720</v>
      </c>
      <c r="Q253" s="22">
        <v>42</v>
      </c>
      <c r="R253" s="22" t="s">
        <v>2339</v>
      </c>
      <c r="U253" s="44"/>
      <c r="W253" s="9"/>
      <c r="X253" s="74">
        <v>0</v>
      </c>
      <c r="Y253" s="28" t="e">
        <v>#REF!</v>
      </c>
      <c r="Z253" s="9"/>
      <c r="AA253" s="24">
        <v>0</v>
      </c>
      <c r="AB253" s="28">
        <v>0</v>
      </c>
    </row>
    <row r="254" spans="1:28" s="4" customFormat="1" ht="14.25" customHeight="1" x14ac:dyDescent="0.4">
      <c r="A254">
        <v>400</v>
      </c>
      <c r="B254" s="24">
        <v>0</v>
      </c>
      <c r="C254" s="24">
        <v>0</v>
      </c>
      <c r="D254" s="24">
        <v>0</v>
      </c>
      <c r="E254" s="24">
        <v>0</v>
      </c>
      <c r="F254" s="24">
        <v>0</v>
      </c>
      <c r="G254" s="24">
        <v>0</v>
      </c>
      <c r="H254" s="37">
        <v>449</v>
      </c>
      <c r="I254" s="23">
        <v>41306</v>
      </c>
      <c r="J254" s="37">
        <v>54</v>
      </c>
      <c r="K254" s="24" t="s">
        <v>412</v>
      </c>
      <c r="L254" s="24">
        <v>41306</v>
      </c>
      <c r="M254" s="24">
        <v>41072</v>
      </c>
      <c r="N254" s="22" t="s">
        <v>674</v>
      </c>
      <c r="O254">
        <v>9130638</v>
      </c>
      <c r="P254" s="22">
        <v>720</v>
      </c>
      <c r="Q254" s="22">
        <v>42</v>
      </c>
      <c r="R254" s="22" t="s">
        <v>2340</v>
      </c>
      <c r="U254" s="44"/>
      <c r="W254" s="59"/>
      <c r="X254" s="74"/>
      <c r="Y254" s="28" t="e">
        <v>#REF!</v>
      </c>
      <c r="Z254" s="9"/>
      <c r="AA254" s="24">
        <v>0</v>
      </c>
      <c r="AB254" s="28">
        <v>0</v>
      </c>
    </row>
    <row r="255" spans="1:28" s="4" customFormat="1" ht="14.25" customHeight="1" x14ac:dyDescent="0.4">
      <c r="A255">
        <v>401</v>
      </c>
      <c r="B255" s="24">
        <v>0</v>
      </c>
      <c r="C255" s="24">
        <v>0</v>
      </c>
      <c r="D255" s="24">
        <v>0</v>
      </c>
      <c r="E255" s="24">
        <v>0</v>
      </c>
      <c r="F255" s="24">
        <v>0</v>
      </c>
      <c r="G255" s="24">
        <v>0</v>
      </c>
      <c r="H255" s="37">
        <v>450</v>
      </c>
      <c r="I255" s="23">
        <v>41306</v>
      </c>
      <c r="J255" s="37">
        <v>55</v>
      </c>
      <c r="K255" s="24" t="s">
        <v>412</v>
      </c>
      <c r="L255" s="24">
        <v>41306</v>
      </c>
      <c r="M255" s="24">
        <v>41072</v>
      </c>
      <c r="N255" s="22" t="s">
        <v>674</v>
      </c>
      <c r="O255">
        <v>9130639</v>
      </c>
      <c r="P255" s="22">
        <v>720</v>
      </c>
      <c r="Q255" s="22">
        <v>50</v>
      </c>
      <c r="R255" s="22" t="s">
        <v>1524</v>
      </c>
      <c r="U255" s="44"/>
      <c r="W255" s="59"/>
      <c r="X255" s="74"/>
      <c r="Y255" s="28" t="e">
        <v>#REF!</v>
      </c>
      <c r="Z255" s="9"/>
      <c r="AA255" s="24">
        <v>0</v>
      </c>
      <c r="AB255" s="28">
        <v>0</v>
      </c>
    </row>
    <row r="256" spans="1:28" s="4" customFormat="1" ht="14.25" customHeight="1" x14ac:dyDescent="0.4">
      <c r="A256">
        <v>402</v>
      </c>
      <c r="B256" s="22">
        <v>0</v>
      </c>
      <c r="C256" s="22" t="s">
        <v>2165</v>
      </c>
      <c r="D256" s="22">
        <v>0</v>
      </c>
      <c r="E256" s="24">
        <v>0</v>
      </c>
      <c r="F256" s="24">
        <v>0</v>
      </c>
      <c r="G256" s="24">
        <v>0</v>
      </c>
      <c r="H256" s="37">
        <v>451</v>
      </c>
      <c r="I256" s="23">
        <v>41306</v>
      </c>
      <c r="J256" s="37">
        <v>56</v>
      </c>
      <c r="K256" s="24" t="s">
        <v>412</v>
      </c>
      <c r="L256" s="24">
        <v>41306</v>
      </c>
      <c r="M256" s="24">
        <v>41072</v>
      </c>
      <c r="N256" s="22" t="s">
        <v>674</v>
      </c>
      <c r="O256">
        <v>9130640</v>
      </c>
      <c r="P256" s="22">
        <v>720</v>
      </c>
      <c r="Q256" s="22">
        <v>50</v>
      </c>
      <c r="R256" s="22" t="s">
        <v>1525</v>
      </c>
      <c r="U256" s="44"/>
      <c r="W256" s="127"/>
      <c r="X256" s="74"/>
      <c r="Y256" s="28" t="e">
        <v>#REF!</v>
      </c>
      <c r="Z256" s="9"/>
      <c r="AA256" s="24">
        <v>0</v>
      </c>
      <c r="AB256" s="28">
        <v>0</v>
      </c>
    </row>
    <row r="257" spans="1:28" s="4" customFormat="1" ht="14.25" customHeight="1" x14ac:dyDescent="0.4">
      <c r="A257">
        <v>403</v>
      </c>
      <c r="B257" s="22">
        <v>0</v>
      </c>
      <c r="C257" s="22">
        <v>0</v>
      </c>
      <c r="D257" s="22">
        <v>0</v>
      </c>
      <c r="E257" s="24">
        <v>0</v>
      </c>
      <c r="F257" s="24">
        <v>0</v>
      </c>
      <c r="G257" s="24">
        <v>0</v>
      </c>
      <c r="H257" s="37">
        <v>503</v>
      </c>
      <c r="I257" s="23">
        <v>41334</v>
      </c>
      <c r="J257" s="37">
        <v>49</v>
      </c>
      <c r="K257" s="24" t="s">
        <v>412</v>
      </c>
      <c r="L257" s="24">
        <v>41334</v>
      </c>
      <c r="M257" s="24">
        <v>41072</v>
      </c>
      <c r="N257" s="22" t="s">
        <v>674</v>
      </c>
      <c r="O257">
        <v>9130641</v>
      </c>
      <c r="P257" s="22">
        <v>720</v>
      </c>
      <c r="Q257" s="22">
        <v>50</v>
      </c>
      <c r="R257" s="22" t="s">
        <v>1529</v>
      </c>
      <c r="S257" s="1"/>
      <c r="U257" s="94"/>
      <c r="W257" s="92"/>
      <c r="X257" s="74"/>
      <c r="Y257" s="28" t="e">
        <v>#REF!</v>
      </c>
      <c r="Z257" s="28"/>
      <c r="AA257" s="24">
        <v>0</v>
      </c>
      <c r="AB257" s="28">
        <v>0</v>
      </c>
    </row>
    <row r="258" spans="1:28" s="4" customFormat="1" ht="14.25" customHeight="1" x14ac:dyDescent="0.4">
      <c r="A258">
        <v>404</v>
      </c>
      <c r="B258" s="22">
        <v>0</v>
      </c>
      <c r="C258" s="22">
        <v>0</v>
      </c>
      <c r="D258" s="22">
        <v>0</v>
      </c>
      <c r="E258" s="24">
        <v>0</v>
      </c>
      <c r="F258" s="24">
        <v>0</v>
      </c>
      <c r="G258" s="24">
        <v>0</v>
      </c>
      <c r="H258" s="37">
        <v>504</v>
      </c>
      <c r="I258" s="23">
        <v>41334</v>
      </c>
      <c r="J258" s="37">
        <v>50</v>
      </c>
      <c r="K258" s="24" t="s">
        <v>412</v>
      </c>
      <c r="L258" s="24">
        <v>41334</v>
      </c>
      <c r="M258" s="24">
        <v>41072</v>
      </c>
      <c r="N258" s="22" t="s">
        <v>674</v>
      </c>
      <c r="O258">
        <v>9130642</v>
      </c>
      <c r="P258" s="22">
        <v>720</v>
      </c>
      <c r="Q258" s="22">
        <v>50</v>
      </c>
      <c r="R258" s="22" t="s">
        <v>1530</v>
      </c>
      <c r="S258" s="3"/>
      <c r="U258" s="94"/>
      <c r="W258" s="92"/>
      <c r="X258" s="74"/>
      <c r="Y258" s="28" t="e">
        <v>#REF!</v>
      </c>
      <c r="Z258" s="9"/>
      <c r="AA258" s="24">
        <v>0</v>
      </c>
      <c r="AB258" s="28">
        <v>0</v>
      </c>
    </row>
    <row r="259" spans="1:28" s="4" customFormat="1" ht="14.25" customHeight="1" x14ac:dyDescent="0.4">
      <c r="A259">
        <v>405</v>
      </c>
      <c r="B259" s="22">
        <v>0</v>
      </c>
      <c r="C259" s="22" t="s">
        <v>2102</v>
      </c>
      <c r="D259" s="22">
        <v>0</v>
      </c>
      <c r="E259" s="24">
        <v>0</v>
      </c>
      <c r="F259" s="24">
        <v>0</v>
      </c>
      <c r="G259" s="24">
        <v>0</v>
      </c>
      <c r="H259" s="37">
        <v>505</v>
      </c>
      <c r="I259" s="23">
        <v>41334</v>
      </c>
      <c r="J259" s="37">
        <v>51</v>
      </c>
      <c r="K259" s="24" t="s">
        <v>412</v>
      </c>
      <c r="L259" s="24">
        <v>41334</v>
      </c>
      <c r="M259" s="24">
        <v>41072</v>
      </c>
      <c r="N259" s="22" t="s">
        <v>674</v>
      </c>
      <c r="O259">
        <v>9130643</v>
      </c>
      <c r="P259" s="22">
        <v>720</v>
      </c>
      <c r="Q259" s="22">
        <v>50</v>
      </c>
      <c r="R259" s="22" t="s">
        <v>1531</v>
      </c>
      <c r="S259" s="1"/>
      <c r="U259" s="94"/>
      <c r="W259" s="92"/>
      <c r="X259" s="74"/>
      <c r="Y259" s="28" t="e">
        <v>#REF!</v>
      </c>
      <c r="Z259" s="9"/>
      <c r="AA259" s="24">
        <v>0</v>
      </c>
      <c r="AB259" s="28">
        <v>0</v>
      </c>
    </row>
    <row r="260" spans="1:28" s="4" customFormat="1" ht="14.25" customHeight="1" x14ac:dyDescent="0.4">
      <c r="A260">
        <v>406</v>
      </c>
      <c r="B260" s="22">
        <v>0</v>
      </c>
      <c r="C260" s="22">
        <v>0</v>
      </c>
      <c r="D260" s="22">
        <v>0</v>
      </c>
      <c r="E260" s="24">
        <v>0</v>
      </c>
      <c r="F260" s="24">
        <v>0</v>
      </c>
      <c r="G260" s="24">
        <v>0</v>
      </c>
      <c r="H260" s="37">
        <v>506</v>
      </c>
      <c r="I260" s="23">
        <v>41334</v>
      </c>
      <c r="J260" s="37">
        <v>52</v>
      </c>
      <c r="K260" s="24" t="s">
        <v>412</v>
      </c>
      <c r="L260" s="24">
        <v>41334</v>
      </c>
      <c r="M260" s="24">
        <v>41072</v>
      </c>
      <c r="N260" s="22" t="s">
        <v>674</v>
      </c>
      <c r="O260">
        <v>9130646</v>
      </c>
      <c r="P260" s="22">
        <v>720</v>
      </c>
      <c r="Q260" s="22">
        <v>50</v>
      </c>
      <c r="R260" s="22" t="s">
        <v>1532</v>
      </c>
      <c r="U260" s="44"/>
      <c r="W260" s="57"/>
      <c r="X260" s="74"/>
      <c r="Y260" s="28" t="e">
        <v>#REF!</v>
      </c>
      <c r="Z260" s="28"/>
      <c r="AA260" s="24">
        <v>0</v>
      </c>
      <c r="AB260" s="28">
        <v>0</v>
      </c>
    </row>
    <row r="261" spans="1:28" s="4" customFormat="1" ht="14.25" customHeight="1" x14ac:dyDescent="0.4">
      <c r="A261">
        <v>409</v>
      </c>
      <c r="B261" s="22">
        <v>0</v>
      </c>
      <c r="C261" s="22">
        <v>0</v>
      </c>
      <c r="D261" s="22">
        <v>0</v>
      </c>
      <c r="E261" s="24">
        <v>0</v>
      </c>
      <c r="F261" s="24">
        <v>0</v>
      </c>
      <c r="G261" s="24">
        <v>0</v>
      </c>
      <c r="H261" s="37">
        <v>301</v>
      </c>
      <c r="I261" s="23">
        <v>41244</v>
      </c>
      <c r="J261" s="37">
        <v>23</v>
      </c>
      <c r="K261" s="24" t="s">
        <v>412</v>
      </c>
      <c r="L261" s="24">
        <v>41244</v>
      </c>
      <c r="M261" s="24">
        <v>41072</v>
      </c>
      <c r="N261" s="22" t="s">
        <v>674</v>
      </c>
      <c r="O261">
        <v>9130651</v>
      </c>
      <c r="P261" s="22">
        <v>720</v>
      </c>
      <c r="Q261" s="22">
        <v>42</v>
      </c>
      <c r="R261" s="22" t="s">
        <v>2341</v>
      </c>
      <c r="U261" s="42"/>
      <c r="W261" s="28"/>
      <c r="X261" s="74"/>
      <c r="Y261" s="28" t="e">
        <v>#REF!</v>
      </c>
      <c r="Z261" s="28"/>
      <c r="AA261" s="24">
        <v>0</v>
      </c>
      <c r="AB261" s="28">
        <v>0</v>
      </c>
    </row>
    <row r="262" spans="1:28" s="4" customFormat="1" ht="14.25" customHeight="1" x14ac:dyDescent="0.4">
      <c r="A262">
        <v>410</v>
      </c>
      <c r="B262" s="22">
        <v>0</v>
      </c>
      <c r="C262" s="22">
        <v>0</v>
      </c>
      <c r="D262" s="22">
        <v>0</v>
      </c>
      <c r="E262" s="24">
        <v>0</v>
      </c>
      <c r="F262" s="24">
        <v>0</v>
      </c>
      <c r="G262" s="24">
        <v>0</v>
      </c>
      <c r="H262" s="37">
        <v>329</v>
      </c>
      <c r="I262" s="23">
        <v>41244</v>
      </c>
      <c r="J262" s="37">
        <v>51</v>
      </c>
      <c r="K262" s="24" t="s">
        <v>412</v>
      </c>
      <c r="L262" s="24">
        <v>41244</v>
      </c>
      <c r="M262" s="24">
        <v>41072</v>
      </c>
      <c r="N262" s="22" t="s">
        <v>674</v>
      </c>
      <c r="O262">
        <v>9130652</v>
      </c>
      <c r="P262" s="22">
        <v>720</v>
      </c>
      <c r="Q262" s="22">
        <v>42</v>
      </c>
      <c r="R262" s="22" t="s">
        <v>2342</v>
      </c>
      <c r="U262" s="42"/>
      <c r="W262" s="28"/>
      <c r="X262" s="74"/>
      <c r="Y262" s="28" t="e">
        <v>#REF!</v>
      </c>
      <c r="Z262" s="28"/>
      <c r="AA262" s="24">
        <v>0</v>
      </c>
      <c r="AB262" s="28">
        <v>0</v>
      </c>
    </row>
    <row r="263" spans="1:28" s="4" customFormat="1" ht="14.25" customHeight="1" x14ac:dyDescent="0.4">
      <c r="A263">
        <v>411</v>
      </c>
      <c r="B263" s="22">
        <v>0</v>
      </c>
      <c r="C263" s="22" t="s">
        <v>2165</v>
      </c>
      <c r="D263" s="22">
        <v>0</v>
      </c>
      <c r="E263" s="24">
        <v>0</v>
      </c>
      <c r="F263" s="24">
        <v>0</v>
      </c>
      <c r="G263" s="24">
        <v>0</v>
      </c>
      <c r="H263" s="37">
        <v>452</v>
      </c>
      <c r="I263" s="23">
        <v>41306</v>
      </c>
      <c r="J263" s="37">
        <v>57</v>
      </c>
      <c r="K263" s="24" t="s">
        <v>412</v>
      </c>
      <c r="L263" s="24">
        <v>41306</v>
      </c>
      <c r="M263" s="24">
        <v>41072</v>
      </c>
      <c r="N263" s="22" t="s">
        <v>674</v>
      </c>
      <c r="O263">
        <v>9130656</v>
      </c>
      <c r="P263" s="22">
        <v>720</v>
      </c>
      <c r="Q263" s="22">
        <v>50</v>
      </c>
      <c r="R263" s="22" t="s">
        <v>1526</v>
      </c>
      <c r="S263" s="3"/>
      <c r="U263" s="164"/>
      <c r="W263" s="1"/>
      <c r="X263" s="75"/>
      <c r="Y263" s="28" t="e">
        <v>#REF!</v>
      </c>
      <c r="Z263" s="1"/>
      <c r="AA263" s="24">
        <v>0</v>
      </c>
      <c r="AB263" s="28">
        <v>0</v>
      </c>
    </row>
    <row r="264" spans="1:28" s="4" customFormat="1" ht="14.25" customHeight="1" x14ac:dyDescent="0.4">
      <c r="A264">
        <v>412</v>
      </c>
      <c r="B264" s="22">
        <v>0</v>
      </c>
      <c r="C264" s="22">
        <v>0</v>
      </c>
      <c r="D264" s="22">
        <v>0</v>
      </c>
      <c r="E264" s="24">
        <v>0</v>
      </c>
      <c r="F264" s="24">
        <v>0</v>
      </c>
      <c r="G264" s="24">
        <v>0</v>
      </c>
      <c r="H264" s="37">
        <v>453</v>
      </c>
      <c r="I264" s="23">
        <v>41306</v>
      </c>
      <c r="J264" s="37">
        <v>58</v>
      </c>
      <c r="K264" s="24" t="s">
        <v>412</v>
      </c>
      <c r="L264" s="24">
        <v>41306</v>
      </c>
      <c r="M264" s="24">
        <v>41072</v>
      </c>
      <c r="N264" s="22" t="s">
        <v>674</v>
      </c>
      <c r="O264">
        <v>9130657</v>
      </c>
      <c r="P264" s="22">
        <v>720</v>
      </c>
      <c r="Q264" s="22">
        <v>50</v>
      </c>
      <c r="R264" s="22" t="s">
        <v>2343</v>
      </c>
      <c r="S264" s="3"/>
      <c r="U264" s="164"/>
      <c r="W264" s="1"/>
      <c r="X264" s="75"/>
      <c r="Y264" s="28" t="e">
        <v>#REF!</v>
      </c>
      <c r="Z264" s="1"/>
      <c r="AA264" s="24">
        <v>0</v>
      </c>
      <c r="AB264" s="28">
        <v>0</v>
      </c>
    </row>
    <row r="265" spans="1:28" s="4" customFormat="1" ht="14.25" customHeight="1" x14ac:dyDescent="0.4">
      <c r="A265">
        <v>413</v>
      </c>
      <c r="B265" s="22">
        <v>0</v>
      </c>
      <c r="C265" s="22" t="s">
        <v>2165</v>
      </c>
      <c r="D265" s="22">
        <v>0</v>
      </c>
      <c r="E265" s="24">
        <v>0</v>
      </c>
      <c r="F265" s="24">
        <v>0</v>
      </c>
      <c r="G265" s="24">
        <v>0</v>
      </c>
      <c r="H265" s="37">
        <v>454</v>
      </c>
      <c r="I265" s="23">
        <v>41306</v>
      </c>
      <c r="J265" s="37">
        <v>59</v>
      </c>
      <c r="K265" s="24" t="s">
        <v>412</v>
      </c>
      <c r="L265" s="24">
        <v>41306</v>
      </c>
      <c r="M265" s="24">
        <v>41072</v>
      </c>
      <c r="N265" s="22" t="s">
        <v>674</v>
      </c>
      <c r="O265">
        <v>9130659</v>
      </c>
      <c r="P265" s="22">
        <v>720</v>
      </c>
      <c r="Q265" s="22">
        <v>50</v>
      </c>
      <c r="R265" s="22" t="s">
        <v>2344</v>
      </c>
      <c r="S265" s="3"/>
      <c r="U265" s="164"/>
      <c r="W265" s="1"/>
      <c r="X265" s="75"/>
      <c r="Y265" s="28" t="e">
        <v>#REF!</v>
      </c>
      <c r="Z265" s="1"/>
      <c r="AA265" s="24">
        <v>0</v>
      </c>
      <c r="AB265" s="28">
        <v>0</v>
      </c>
    </row>
    <row r="266" spans="1:28" s="4" customFormat="1" ht="14.25" customHeight="1" x14ac:dyDescent="0.4">
      <c r="A266">
        <v>414</v>
      </c>
      <c r="B266" s="22">
        <v>0</v>
      </c>
      <c r="C266" s="22" t="s">
        <v>2165</v>
      </c>
      <c r="D266" s="22">
        <v>0</v>
      </c>
      <c r="E266" s="24">
        <v>0</v>
      </c>
      <c r="F266" s="24">
        <v>0</v>
      </c>
      <c r="G266" s="24">
        <v>0</v>
      </c>
      <c r="H266" s="37">
        <v>302</v>
      </c>
      <c r="I266" s="23">
        <v>41244</v>
      </c>
      <c r="J266" s="37">
        <v>24</v>
      </c>
      <c r="K266" s="24" t="s">
        <v>412</v>
      </c>
      <c r="L266" s="24">
        <v>41244</v>
      </c>
      <c r="M266" s="24">
        <v>41072</v>
      </c>
      <c r="N266" s="22" t="s">
        <v>674</v>
      </c>
      <c r="O266">
        <v>9130662</v>
      </c>
      <c r="P266" s="22">
        <v>1020</v>
      </c>
      <c r="Q266" s="22">
        <v>42</v>
      </c>
      <c r="R266" s="22" t="s">
        <v>2345</v>
      </c>
      <c r="U266" s="44"/>
      <c r="W266" s="9"/>
      <c r="X266" s="74"/>
      <c r="Y266" s="28" t="e">
        <v>#REF!</v>
      </c>
      <c r="Z266" s="9"/>
      <c r="AA266" s="24">
        <v>0</v>
      </c>
      <c r="AB266" s="28">
        <v>0</v>
      </c>
    </row>
    <row r="267" spans="1:28" ht="14.25" customHeight="1" x14ac:dyDescent="0.4">
      <c r="A267">
        <v>415</v>
      </c>
      <c r="B267" s="22">
        <v>0</v>
      </c>
      <c r="C267" s="22" t="s">
        <v>2165</v>
      </c>
      <c r="D267" s="22">
        <v>0</v>
      </c>
      <c r="E267" s="24">
        <v>0</v>
      </c>
      <c r="F267" s="24">
        <v>0</v>
      </c>
      <c r="G267" s="24">
        <v>0</v>
      </c>
      <c r="H267" s="37">
        <v>315</v>
      </c>
      <c r="I267" s="23">
        <v>41244</v>
      </c>
      <c r="J267" s="37">
        <v>37</v>
      </c>
      <c r="K267" s="24" t="s">
        <v>412</v>
      </c>
      <c r="L267" s="24">
        <v>41244</v>
      </c>
      <c r="M267" s="24">
        <v>41072</v>
      </c>
      <c r="N267" s="22" t="s">
        <v>674</v>
      </c>
      <c r="O267">
        <v>9130663</v>
      </c>
      <c r="P267" s="22">
        <v>1020</v>
      </c>
      <c r="Q267" s="22">
        <v>42</v>
      </c>
      <c r="R267" s="22" t="s">
        <v>2346</v>
      </c>
      <c r="S267" s="4"/>
      <c r="T267" s="4"/>
      <c r="U267" s="44"/>
      <c r="V267" s="4"/>
      <c r="W267" s="9"/>
      <c r="X267" s="74"/>
      <c r="Y267" s="28" t="e">
        <v>#REF!</v>
      </c>
      <c r="Z267" s="9"/>
      <c r="AA267" s="24">
        <v>0</v>
      </c>
      <c r="AB267" s="28">
        <v>0</v>
      </c>
    </row>
    <row r="268" spans="1:28" s="5" customFormat="1" ht="14.25" customHeight="1" x14ac:dyDescent="0.4">
      <c r="A268">
        <v>416</v>
      </c>
      <c r="B268" s="22">
        <v>0</v>
      </c>
      <c r="C268" s="22">
        <v>0</v>
      </c>
      <c r="D268" s="22">
        <v>0</v>
      </c>
      <c r="E268" s="24">
        <v>41115</v>
      </c>
      <c r="F268" s="24" t="s">
        <v>393</v>
      </c>
      <c r="G268" s="24">
        <v>41121</v>
      </c>
      <c r="H268" s="37">
        <v>28</v>
      </c>
      <c r="I268" s="23">
        <v>41091</v>
      </c>
      <c r="J268" s="37">
        <v>28</v>
      </c>
      <c r="K268" s="24" t="s">
        <v>412</v>
      </c>
      <c r="L268" s="24">
        <v>41306</v>
      </c>
      <c r="M268" s="24">
        <v>41072</v>
      </c>
      <c r="N268" s="22" t="s">
        <v>674</v>
      </c>
      <c r="O268">
        <v>9130664</v>
      </c>
      <c r="P268" s="22">
        <v>1020</v>
      </c>
      <c r="Q268" s="22">
        <v>50</v>
      </c>
      <c r="R268" s="22" t="s">
        <v>1556</v>
      </c>
      <c r="S268" s="102"/>
      <c r="T268" s="4"/>
      <c r="U268" s="94"/>
      <c r="V268" s="4"/>
      <c r="W268" s="92"/>
      <c r="X268" s="74"/>
      <c r="Y268" s="28" t="e">
        <v>#REF!</v>
      </c>
      <c r="Z268" s="9"/>
      <c r="AA268" s="24" t="s">
        <v>393</v>
      </c>
      <c r="AB268" s="28">
        <v>41121</v>
      </c>
    </row>
    <row r="269" spans="1:28" ht="14.25" customHeight="1" x14ac:dyDescent="0.4">
      <c r="A269">
        <v>417</v>
      </c>
      <c r="B269" s="24">
        <v>0</v>
      </c>
      <c r="C269" s="24">
        <v>0</v>
      </c>
      <c r="D269" s="24">
        <v>0</v>
      </c>
      <c r="E269" s="24">
        <v>0</v>
      </c>
      <c r="F269" s="24">
        <v>0</v>
      </c>
      <c r="G269" s="24">
        <v>0</v>
      </c>
      <c r="H269" s="37">
        <v>430</v>
      </c>
      <c r="I269" s="23">
        <v>41306</v>
      </c>
      <c r="J269" s="37">
        <v>35</v>
      </c>
      <c r="K269" s="24" t="s">
        <v>412</v>
      </c>
      <c r="L269" s="24">
        <v>41306</v>
      </c>
      <c r="M269" s="24">
        <v>41072</v>
      </c>
      <c r="N269" s="22" t="s">
        <v>674</v>
      </c>
      <c r="O269">
        <v>9130665</v>
      </c>
      <c r="P269" s="22">
        <v>1020</v>
      </c>
      <c r="Q269" s="22">
        <v>42</v>
      </c>
      <c r="R269" s="22" t="s">
        <v>2347</v>
      </c>
      <c r="T269" s="4"/>
      <c r="U269" s="164"/>
      <c r="V269" s="4"/>
      <c r="Y269" s="28" t="e">
        <v>#REF!</v>
      </c>
      <c r="AA269" s="24">
        <v>0</v>
      </c>
      <c r="AB269" s="28">
        <v>0</v>
      </c>
    </row>
    <row r="270" spans="1:28" ht="14.25" customHeight="1" x14ac:dyDescent="0.4">
      <c r="A270">
        <v>418</v>
      </c>
      <c r="B270" s="24">
        <v>0</v>
      </c>
      <c r="C270" s="24">
        <v>0</v>
      </c>
      <c r="D270" s="24">
        <v>0</v>
      </c>
      <c r="E270" s="24">
        <v>0</v>
      </c>
      <c r="F270" s="24">
        <v>0</v>
      </c>
      <c r="G270" s="24">
        <v>0</v>
      </c>
      <c r="H270" s="37">
        <v>431</v>
      </c>
      <c r="I270" s="23">
        <v>41306</v>
      </c>
      <c r="J270" s="37">
        <v>36</v>
      </c>
      <c r="K270" s="24" t="s">
        <v>412</v>
      </c>
      <c r="L270" s="24">
        <v>41306</v>
      </c>
      <c r="M270" s="24">
        <v>41072</v>
      </c>
      <c r="N270" s="22" t="s">
        <v>674</v>
      </c>
      <c r="O270">
        <v>9130668</v>
      </c>
      <c r="P270" s="22">
        <v>1020</v>
      </c>
      <c r="Q270" s="22">
        <v>42</v>
      </c>
      <c r="R270" s="22" t="s">
        <v>2348</v>
      </c>
      <c r="S270" s="102"/>
      <c r="T270" s="4"/>
      <c r="U270" s="94"/>
      <c r="V270" s="4"/>
      <c r="W270" s="28"/>
      <c r="X270" s="74"/>
      <c r="Y270" s="28" t="e">
        <v>#REF!</v>
      </c>
      <c r="Z270" s="9"/>
      <c r="AA270" s="24">
        <v>0</v>
      </c>
      <c r="AB270" s="28">
        <v>0</v>
      </c>
    </row>
    <row r="271" spans="1:28" ht="14.25" customHeight="1" x14ac:dyDescent="0.4">
      <c r="A271">
        <v>419</v>
      </c>
      <c r="B271" s="24">
        <v>0</v>
      </c>
      <c r="C271" s="24">
        <v>0</v>
      </c>
      <c r="D271" s="24">
        <v>0</v>
      </c>
      <c r="E271" s="24">
        <v>0</v>
      </c>
      <c r="F271" s="24">
        <v>0</v>
      </c>
      <c r="G271" s="24">
        <v>0</v>
      </c>
      <c r="H271" s="37">
        <v>432</v>
      </c>
      <c r="I271" s="23">
        <v>41306</v>
      </c>
      <c r="J271" s="37">
        <v>37</v>
      </c>
      <c r="K271" s="24" t="s">
        <v>412</v>
      </c>
      <c r="L271" s="24">
        <v>41306</v>
      </c>
      <c r="M271" s="24">
        <v>41072</v>
      </c>
      <c r="N271" s="22" t="s">
        <v>674</v>
      </c>
      <c r="O271">
        <v>9130669</v>
      </c>
      <c r="P271" s="22">
        <v>1020</v>
      </c>
      <c r="Q271" s="22">
        <v>42</v>
      </c>
      <c r="R271" s="22" t="s">
        <v>2349</v>
      </c>
      <c r="S271" s="102"/>
      <c r="T271" s="4"/>
      <c r="U271" s="42"/>
      <c r="V271" s="4"/>
      <c r="W271" s="28"/>
      <c r="X271" s="74"/>
      <c r="Y271" s="28" t="e">
        <v>#REF!</v>
      </c>
      <c r="Z271" s="28"/>
      <c r="AA271" s="24">
        <v>0</v>
      </c>
      <c r="AB271" s="28">
        <v>0</v>
      </c>
    </row>
    <row r="272" spans="1:28" s="4" customFormat="1" ht="14.25" customHeight="1" x14ac:dyDescent="0.4">
      <c r="A272">
        <v>420</v>
      </c>
      <c r="B272" s="22">
        <v>0</v>
      </c>
      <c r="C272" s="22">
        <v>0</v>
      </c>
      <c r="D272" s="22">
        <v>0</v>
      </c>
      <c r="E272" s="24">
        <v>0</v>
      </c>
      <c r="F272" s="24">
        <v>0</v>
      </c>
      <c r="G272" s="24">
        <v>0</v>
      </c>
      <c r="H272" s="37">
        <v>484</v>
      </c>
      <c r="I272" s="23">
        <v>41334</v>
      </c>
      <c r="J272" s="37">
        <v>30</v>
      </c>
      <c r="K272" s="24" t="s">
        <v>412</v>
      </c>
      <c r="L272" s="24">
        <v>41334</v>
      </c>
      <c r="M272" s="24">
        <v>41072</v>
      </c>
      <c r="N272" s="22" t="s">
        <v>674</v>
      </c>
      <c r="O272">
        <v>9130670</v>
      </c>
      <c r="P272" s="22">
        <v>1020</v>
      </c>
      <c r="Q272" s="22">
        <v>42</v>
      </c>
      <c r="R272" s="22" t="s">
        <v>2350</v>
      </c>
      <c r="U272" s="44"/>
      <c r="W272" s="9"/>
      <c r="X272" s="74"/>
      <c r="Y272" s="28" t="e">
        <v>#REF!</v>
      </c>
      <c r="Z272" s="9"/>
      <c r="AA272" s="24">
        <v>0</v>
      </c>
      <c r="AB272" s="28">
        <v>0</v>
      </c>
    </row>
    <row r="273" spans="1:28" s="4" customFormat="1" ht="14.25" customHeight="1" x14ac:dyDescent="0.4">
      <c r="A273">
        <v>421</v>
      </c>
      <c r="B273" s="22">
        <v>0</v>
      </c>
      <c r="C273" s="22">
        <v>0</v>
      </c>
      <c r="D273" s="22">
        <v>0</v>
      </c>
      <c r="E273" s="24">
        <v>0</v>
      </c>
      <c r="F273" s="24">
        <v>0</v>
      </c>
      <c r="G273" s="24">
        <v>0</v>
      </c>
      <c r="H273" s="37">
        <v>485</v>
      </c>
      <c r="I273" s="23">
        <v>41334</v>
      </c>
      <c r="J273" s="37">
        <v>31</v>
      </c>
      <c r="K273" s="24" t="s">
        <v>412</v>
      </c>
      <c r="L273" s="24">
        <v>41334</v>
      </c>
      <c r="M273" s="24">
        <v>41072</v>
      </c>
      <c r="N273" s="22" t="s">
        <v>674</v>
      </c>
      <c r="O273">
        <v>9130671</v>
      </c>
      <c r="P273" s="22">
        <v>1020</v>
      </c>
      <c r="Q273" s="22">
        <v>42</v>
      </c>
      <c r="R273" s="22" t="s">
        <v>2351</v>
      </c>
      <c r="S273" s="102"/>
      <c r="U273" s="42"/>
      <c r="X273" s="74"/>
      <c r="Y273" s="28" t="e">
        <v>#REF!</v>
      </c>
      <c r="Z273" s="9"/>
      <c r="AA273" s="24">
        <v>0</v>
      </c>
      <c r="AB273" s="28">
        <v>0</v>
      </c>
    </row>
    <row r="274" spans="1:28" s="4" customFormat="1" ht="14.25" customHeight="1" x14ac:dyDescent="0.4">
      <c r="A274">
        <v>422</v>
      </c>
      <c r="B274" s="22">
        <v>0</v>
      </c>
      <c r="C274" s="22">
        <v>0</v>
      </c>
      <c r="D274" s="22">
        <v>0</v>
      </c>
      <c r="E274" s="24">
        <v>0</v>
      </c>
      <c r="F274" s="24">
        <v>0</v>
      </c>
      <c r="G274" s="24">
        <v>0</v>
      </c>
      <c r="H274" s="37">
        <v>486</v>
      </c>
      <c r="I274" s="23">
        <v>41334</v>
      </c>
      <c r="J274" s="37">
        <v>32</v>
      </c>
      <c r="K274" s="24" t="s">
        <v>412</v>
      </c>
      <c r="L274" s="24">
        <v>41334</v>
      </c>
      <c r="M274" s="24">
        <v>41072</v>
      </c>
      <c r="N274" s="22" t="s">
        <v>674</v>
      </c>
      <c r="O274">
        <v>9130672</v>
      </c>
      <c r="P274" s="22">
        <v>1020</v>
      </c>
      <c r="Q274" s="22">
        <v>50</v>
      </c>
      <c r="R274" s="22" t="s">
        <v>1545</v>
      </c>
      <c r="U274" s="44"/>
      <c r="W274" s="9"/>
      <c r="X274" s="74"/>
      <c r="Y274" s="28" t="e">
        <v>#REF!</v>
      </c>
      <c r="Z274" s="9"/>
      <c r="AA274" s="24">
        <v>0</v>
      </c>
      <c r="AB274" s="28">
        <v>0</v>
      </c>
    </row>
    <row r="275" spans="1:28" s="4" customFormat="1" ht="14.25" customHeight="1" x14ac:dyDescent="0.4">
      <c r="A275">
        <v>423</v>
      </c>
      <c r="B275" s="22">
        <v>0</v>
      </c>
      <c r="C275" s="22" t="s">
        <v>2165</v>
      </c>
      <c r="D275" s="22">
        <v>0</v>
      </c>
      <c r="E275" s="24">
        <v>0</v>
      </c>
      <c r="F275" s="24">
        <v>0</v>
      </c>
      <c r="G275" s="24">
        <v>0</v>
      </c>
      <c r="H275" s="37">
        <v>487</v>
      </c>
      <c r="I275" s="23">
        <v>41334</v>
      </c>
      <c r="J275" s="37">
        <v>33</v>
      </c>
      <c r="K275" s="24" t="s">
        <v>412</v>
      </c>
      <c r="L275" s="24">
        <v>41334</v>
      </c>
      <c r="M275" s="24">
        <v>41072</v>
      </c>
      <c r="N275" s="22" t="s">
        <v>674</v>
      </c>
      <c r="O275">
        <v>9130673</v>
      </c>
      <c r="P275" s="22">
        <v>1020</v>
      </c>
      <c r="Q275" s="22">
        <v>50</v>
      </c>
      <c r="R275" s="22" t="s">
        <v>1546</v>
      </c>
      <c r="U275" s="44"/>
      <c r="W275" s="28"/>
      <c r="X275" s="74"/>
      <c r="Y275" s="28" t="e">
        <v>#REF!</v>
      </c>
      <c r="Z275" s="9"/>
      <c r="AA275" s="24">
        <v>0</v>
      </c>
      <c r="AB275" s="28">
        <v>0</v>
      </c>
    </row>
    <row r="276" spans="1:28" ht="14.25" customHeight="1" x14ac:dyDescent="0.4">
      <c r="A276">
        <v>424</v>
      </c>
      <c r="B276" s="22">
        <v>0</v>
      </c>
      <c r="C276" s="22">
        <v>0</v>
      </c>
      <c r="D276" s="22">
        <v>0</v>
      </c>
      <c r="E276" s="24">
        <v>0</v>
      </c>
      <c r="F276" s="24">
        <v>0</v>
      </c>
      <c r="G276" s="24">
        <v>0</v>
      </c>
      <c r="H276" s="37">
        <v>488</v>
      </c>
      <c r="I276" s="23">
        <v>41334</v>
      </c>
      <c r="J276" s="37">
        <v>34</v>
      </c>
      <c r="K276" s="24" t="s">
        <v>412</v>
      </c>
      <c r="L276" s="24">
        <v>41334</v>
      </c>
      <c r="M276" s="24">
        <v>41072</v>
      </c>
      <c r="N276" s="22" t="s">
        <v>674</v>
      </c>
      <c r="O276">
        <v>9130677</v>
      </c>
      <c r="P276" s="22">
        <v>1020</v>
      </c>
      <c r="Q276" s="22">
        <v>50</v>
      </c>
      <c r="R276" s="22" t="s">
        <v>1547</v>
      </c>
      <c r="S276" s="4"/>
      <c r="T276" s="4"/>
      <c r="U276" s="44"/>
      <c r="V276" s="4"/>
      <c r="W276" s="9"/>
      <c r="Y276" s="28" t="e">
        <v>#REF!</v>
      </c>
      <c r="Z276" s="28"/>
      <c r="AA276" s="24">
        <v>0</v>
      </c>
      <c r="AB276" s="28">
        <v>0</v>
      </c>
    </row>
    <row r="277" spans="1:28" s="4" customFormat="1" ht="14.25" customHeight="1" x14ac:dyDescent="0.4">
      <c r="A277">
        <v>425</v>
      </c>
      <c r="B277" s="22">
        <v>0</v>
      </c>
      <c r="C277" s="22" t="s">
        <v>2102</v>
      </c>
      <c r="D277" s="22">
        <v>0</v>
      </c>
      <c r="E277" s="24">
        <v>0</v>
      </c>
      <c r="F277" s="24">
        <v>0</v>
      </c>
      <c r="G277" s="24">
        <v>0</v>
      </c>
      <c r="H277" s="37">
        <v>489</v>
      </c>
      <c r="I277" s="23">
        <v>41334</v>
      </c>
      <c r="J277" s="37">
        <v>35</v>
      </c>
      <c r="K277" s="24" t="s">
        <v>412</v>
      </c>
      <c r="L277" s="24">
        <v>41334</v>
      </c>
      <c r="M277" s="24">
        <v>41072</v>
      </c>
      <c r="N277" s="22" t="s">
        <v>674</v>
      </c>
      <c r="O277">
        <v>9130679</v>
      </c>
      <c r="P277" s="22">
        <v>1020</v>
      </c>
      <c r="Q277" s="22">
        <v>50</v>
      </c>
      <c r="R277" s="22" t="s">
        <v>1548</v>
      </c>
      <c r="U277" s="44"/>
      <c r="W277" s="9"/>
      <c r="X277" s="74"/>
      <c r="Y277" s="28" t="e">
        <v>#REF!</v>
      </c>
      <c r="Z277" s="9"/>
      <c r="AA277" s="24">
        <v>0</v>
      </c>
      <c r="AB277" s="28">
        <v>0</v>
      </c>
    </row>
    <row r="278" spans="1:28" s="4" customFormat="1" ht="14.25" customHeight="1" x14ac:dyDescent="0.4">
      <c r="A278">
        <v>426</v>
      </c>
      <c r="B278" s="22">
        <v>0</v>
      </c>
      <c r="C278" s="22">
        <v>0</v>
      </c>
      <c r="D278" s="22">
        <v>0</v>
      </c>
      <c r="E278" s="24">
        <v>0</v>
      </c>
      <c r="F278" s="24">
        <v>0</v>
      </c>
      <c r="G278" s="24">
        <v>0</v>
      </c>
      <c r="H278" s="37">
        <v>490</v>
      </c>
      <c r="I278" s="23">
        <v>41334</v>
      </c>
      <c r="J278" s="37">
        <v>36</v>
      </c>
      <c r="K278" s="24" t="s">
        <v>412</v>
      </c>
      <c r="L278" s="24">
        <v>41334</v>
      </c>
      <c r="M278" s="24">
        <v>41072</v>
      </c>
      <c r="N278" s="22" t="s">
        <v>674</v>
      </c>
      <c r="O278">
        <v>9130681</v>
      </c>
      <c r="P278" s="22">
        <v>1020</v>
      </c>
      <c r="Q278" s="22">
        <v>50</v>
      </c>
      <c r="R278" s="22" t="s">
        <v>1549</v>
      </c>
      <c r="S278" s="3"/>
      <c r="U278" s="164"/>
      <c r="W278" s="1"/>
      <c r="X278" s="75"/>
      <c r="Y278" s="28" t="e">
        <v>#REF!</v>
      </c>
      <c r="Z278" s="1"/>
      <c r="AA278" s="24">
        <v>0</v>
      </c>
      <c r="AB278" s="28">
        <v>0</v>
      </c>
    </row>
    <row r="279" spans="1:28" s="4" customFormat="1" ht="14.25" customHeight="1" x14ac:dyDescent="0.4">
      <c r="A279">
        <v>427</v>
      </c>
      <c r="B279" s="22">
        <v>0</v>
      </c>
      <c r="C279" s="22">
        <v>0</v>
      </c>
      <c r="D279" s="22">
        <v>0</v>
      </c>
      <c r="E279" s="24">
        <v>0</v>
      </c>
      <c r="F279" s="24">
        <v>0</v>
      </c>
      <c r="G279" s="24">
        <v>0</v>
      </c>
      <c r="H279" s="37">
        <v>491</v>
      </c>
      <c r="I279" s="23">
        <v>41334</v>
      </c>
      <c r="J279" s="37">
        <v>37</v>
      </c>
      <c r="K279" s="24" t="s">
        <v>412</v>
      </c>
      <c r="L279" s="24">
        <v>41334</v>
      </c>
      <c r="M279" s="24">
        <v>41072</v>
      </c>
      <c r="N279" s="22" t="s">
        <v>674</v>
      </c>
      <c r="O279">
        <v>9130683</v>
      </c>
      <c r="P279" s="22">
        <v>1020</v>
      </c>
      <c r="Q279" s="22">
        <v>50</v>
      </c>
      <c r="R279" s="22" t="s">
        <v>1550</v>
      </c>
      <c r="S279" s="3"/>
      <c r="U279" s="164"/>
      <c r="W279" s="1"/>
      <c r="X279" s="75"/>
      <c r="Y279" s="28" t="e">
        <v>#REF!</v>
      </c>
      <c r="Z279" s="1"/>
      <c r="AA279" s="24">
        <v>0</v>
      </c>
      <c r="AB279" s="28">
        <v>0</v>
      </c>
    </row>
    <row r="280" spans="1:28" s="4" customFormat="1" ht="14.25" customHeight="1" x14ac:dyDescent="0.4">
      <c r="A280">
        <v>601</v>
      </c>
      <c r="B280" s="22">
        <v>0</v>
      </c>
      <c r="C280" s="22" t="s">
        <v>2165</v>
      </c>
      <c r="D280" s="22">
        <v>0</v>
      </c>
      <c r="E280" s="24">
        <v>0</v>
      </c>
      <c r="F280" s="24">
        <v>0</v>
      </c>
      <c r="G280" s="24">
        <v>0</v>
      </c>
      <c r="H280" s="37">
        <v>316</v>
      </c>
      <c r="I280" s="23">
        <v>41244</v>
      </c>
      <c r="J280" s="37">
        <v>38</v>
      </c>
      <c r="K280" s="24" t="s">
        <v>412</v>
      </c>
      <c r="L280" s="24">
        <v>41244</v>
      </c>
      <c r="M280" s="24">
        <v>41072</v>
      </c>
      <c r="N280" s="22" t="s">
        <v>674</v>
      </c>
      <c r="O280">
        <v>9130684</v>
      </c>
      <c r="P280" s="22">
        <v>1020</v>
      </c>
      <c r="Q280" s="22">
        <v>42</v>
      </c>
      <c r="R280" s="22" t="s">
        <v>2352</v>
      </c>
      <c r="S280" s="3"/>
      <c r="U280"/>
      <c r="W280" s="1"/>
      <c r="X280" s="75"/>
      <c r="Y280" s="1"/>
      <c r="Z280" s="1"/>
      <c r="AA280" s="24">
        <v>0</v>
      </c>
      <c r="AB280" s="28">
        <v>0</v>
      </c>
    </row>
    <row r="281" spans="1:28" ht="14.25" customHeight="1" x14ac:dyDescent="0.4">
      <c r="A281">
        <v>602</v>
      </c>
      <c r="B281" s="22">
        <v>0</v>
      </c>
      <c r="C281" s="22">
        <v>0</v>
      </c>
      <c r="D281" s="22">
        <v>0</v>
      </c>
      <c r="E281" s="24">
        <v>0</v>
      </c>
      <c r="F281" s="24">
        <v>0</v>
      </c>
      <c r="G281" s="24">
        <v>0</v>
      </c>
      <c r="H281" s="37">
        <v>317</v>
      </c>
      <c r="I281" s="23">
        <v>41244</v>
      </c>
      <c r="J281" s="37">
        <v>39</v>
      </c>
      <c r="K281" s="24" t="s">
        <v>412</v>
      </c>
      <c r="L281" s="24">
        <v>41244</v>
      </c>
      <c r="M281" s="24">
        <v>41072</v>
      </c>
      <c r="N281" s="22" t="s">
        <v>674</v>
      </c>
      <c r="O281">
        <v>9130685</v>
      </c>
      <c r="P281" s="22">
        <v>1020</v>
      </c>
      <c r="Q281" s="22">
        <v>42</v>
      </c>
      <c r="R281" s="22" t="s">
        <v>2353</v>
      </c>
      <c r="T281" s="4"/>
      <c r="V281" s="4"/>
      <c r="AA281" s="24">
        <v>0</v>
      </c>
      <c r="AB281" s="28">
        <v>0</v>
      </c>
    </row>
    <row r="282" spans="1:28" ht="14.25" customHeight="1" x14ac:dyDescent="0.4">
      <c r="A282">
        <v>435</v>
      </c>
      <c r="B282" s="24">
        <v>0</v>
      </c>
      <c r="C282" s="24">
        <v>0</v>
      </c>
      <c r="D282" s="24">
        <v>0</v>
      </c>
      <c r="E282" s="24">
        <v>0</v>
      </c>
      <c r="F282" s="24">
        <v>0</v>
      </c>
      <c r="G282" s="24">
        <v>0</v>
      </c>
      <c r="H282" s="37">
        <v>433</v>
      </c>
      <c r="I282" s="23">
        <v>41306</v>
      </c>
      <c r="J282" s="37">
        <v>38</v>
      </c>
      <c r="K282" s="24" t="s">
        <v>412</v>
      </c>
      <c r="L282" s="24">
        <v>41306</v>
      </c>
      <c r="M282" s="24">
        <v>41072</v>
      </c>
      <c r="N282" s="22" t="s">
        <v>674</v>
      </c>
      <c r="O282">
        <v>9130687</v>
      </c>
      <c r="P282" s="22">
        <v>1020</v>
      </c>
      <c r="Q282" s="22">
        <v>42</v>
      </c>
      <c r="R282" s="22" t="s">
        <v>2354</v>
      </c>
      <c r="T282" s="4"/>
      <c r="U282" s="44"/>
      <c r="V282" s="4"/>
      <c r="Y282" s="28" t="e">
        <v>#REF!</v>
      </c>
      <c r="AA282" s="24">
        <v>0</v>
      </c>
      <c r="AB282" s="28">
        <v>0</v>
      </c>
    </row>
    <row r="283" spans="1:28" ht="14.25" customHeight="1" x14ac:dyDescent="0.4">
      <c r="A283">
        <v>428</v>
      </c>
      <c r="B283" s="22">
        <v>0</v>
      </c>
      <c r="C283" s="22">
        <v>0</v>
      </c>
      <c r="D283" s="22">
        <v>0</v>
      </c>
      <c r="E283" s="24">
        <v>0</v>
      </c>
      <c r="F283" s="24">
        <v>0</v>
      </c>
      <c r="G283" s="24">
        <v>0</v>
      </c>
      <c r="H283" s="37">
        <v>434</v>
      </c>
      <c r="I283" s="23">
        <v>41306</v>
      </c>
      <c r="J283" s="37">
        <v>39</v>
      </c>
      <c r="K283" s="24" t="s">
        <v>412</v>
      </c>
      <c r="L283" s="24">
        <v>41306</v>
      </c>
      <c r="M283" s="24">
        <v>41072</v>
      </c>
      <c r="N283" s="22" t="s">
        <v>674</v>
      </c>
      <c r="O283">
        <v>9130688</v>
      </c>
      <c r="P283" s="22">
        <v>1020</v>
      </c>
      <c r="Q283" s="22">
        <v>42</v>
      </c>
      <c r="R283" s="22" t="s">
        <v>2355</v>
      </c>
      <c r="S283" s="4"/>
      <c r="T283" s="4"/>
      <c r="U283" s="44"/>
      <c r="V283" s="4"/>
      <c r="W283" s="9"/>
      <c r="Y283" s="28" t="e">
        <v>#REF!</v>
      </c>
      <c r="Z283" s="9"/>
      <c r="AA283" s="24">
        <v>0</v>
      </c>
      <c r="AB283" s="28">
        <v>0</v>
      </c>
    </row>
    <row r="284" spans="1:28" ht="14.25" customHeight="1" x14ac:dyDescent="0.4">
      <c r="A284">
        <v>429</v>
      </c>
      <c r="B284" s="24">
        <v>0</v>
      </c>
      <c r="C284" s="24">
        <v>0</v>
      </c>
      <c r="D284" s="24">
        <v>0</v>
      </c>
      <c r="E284" s="24">
        <v>0</v>
      </c>
      <c r="F284" s="24">
        <v>0</v>
      </c>
      <c r="G284" s="24">
        <v>0</v>
      </c>
      <c r="H284" s="37">
        <v>492</v>
      </c>
      <c r="I284" s="23">
        <v>41334</v>
      </c>
      <c r="J284" s="37">
        <v>38</v>
      </c>
      <c r="K284" s="24" t="s">
        <v>412</v>
      </c>
      <c r="L284" s="24">
        <v>41334</v>
      </c>
      <c r="M284" s="24">
        <v>41072</v>
      </c>
      <c r="N284" s="22" t="s">
        <v>674</v>
      </c>
      <c r="O284">
        <v>9130689</v>
      </c>
      <c r="P284" s="22">
        <v>1020</v>
      </c>
      <c r="Q284" s="22">
        <v>42</v>
      </c>
      <c r="R284" s="22" t="s">
        <v>2356</v>
      </c>
      <c r="T284" s="4"/>
      <c r="U284" s="44"/>
      <c r="V284" s="4"/>
      <c r="Y284" s="28" t="e">
        <v>#REF!</v>
      </c>
      <c r="AA284" s="24">
        <v>0</v>
      </c>
      <c r="AB284" s="28">
        <v>0</v>
      </c>
    </row>
    <row r="285" spans="1:28" ht="14.25" customHeight="1" x14ac:dyDescent="0.4">
      <c r="A285">
        <v>97</v>
      </c>
      <c r="B285" s="22">
        <v>0</v>
      </c>
      <c r="C285" s="22">
        <v>0</v>
      </c>
      <c r="D285" s="22">
        <v>0</v>
      </c>
      <c r="E285" s="24">
        <v>41130</v>
      </c>
      <c r="F285" s="24" t="s">
        <v>393</v>
      </c>
      <c r="G285" s="24">
        <v>41137</v>
      </c>
      <c r="H285" s="37">
        <v>48</v>
      </c>
      <c r="I285" s="23">
        <v>41122</v>
      </c>
      <c r="J285" s="37">
        <v>16</v>
      </c>
      <c r="K285" s="24" t="s">
        <v>550</v>
      </c>
      <c r="L285" s="24">
        <v>41122</v>
      </c>
      <c r="M285" s="24">
        <v>41067</v>
      </c>
      <c r="N285" s="22" t="s">
        <v>576</v>
      </c>
      <c r="O285">
        <v>9130144</v>
      </c>
      <c r="P285" s="22">
        <v>1025</v>
      </c>
      <c r="Q285" s="22">
        <v>50</v>
      </c>
      <c r="R285" s="22" t="s">
        <v>2357</v>
      </c>
      <c r="T285" s="4"/>
      <c r="U285" s="164"/>
      <c r="V285" s="4"/>
      <c r="Y285" s="28" t="e">
        <v>#REF!</v>
      </c>
      <c r="AA285" s="24" t="s">
        <v>393</v>
      </c>
      <c r="AB285" s="28">
        <v>41137</v>
      </c>
    </row>
    <row r="286" spans="1:28" ht="14.25" customHeight="1" x14ac:dyDescent="0.4">
      <c r="A286">
        <v>98</v>
      </c>
      <c r="B286" s="22">
        <v>0</v>
      </c>
      <c r="C286" s="22">
        <v>0</v>
      </c>
      <c r="D286" s="22">
        <v>0</v>
      </c>
      <c r="E286" s="24">
        <v>0</v>
      </c>
      <c r="F286" s="24">
        <v>0</v>
      </c>
      <c r="G286" s="24">
        <v>0</v>
      </c>
      <c r="H286" s="37">
        <v>348</v>
      </c>
      <c r="I286" s="23">
        <v>41275</v>
      </c>
      <c r="J286" s="37">
        <v>19</v>
      </c>
      <c r="K286" s="24" t="s">
        <v>550</v>
      </c>
      <c r="L286" s="24">
        <v>41275</v>
      </c>
      <c r="M286" s="24">
        <v>41067</v>
      </c>
      <c r="N286" s="22" t="s">
        <v>576</v>
      </c>
      <c r="O286">
        <v>9130147</v>
      </c>
      <c r="P286" s="22">
        <v>1025</v>
      </c>
      <c r="Q286" s="22">
        <v>50</v>
      </c>
      <c r="R286" s="22" t="s">
        <v>2358</v>
      </c>
      <c r="T286" s="4"/>
      <c r="U286" s="164"/>
      <c r="V286" s="4"/>
      <c r="Y286" s="28" t="e">
        <v>#REF!</v>
      </c>
      <c r="AA286" s="24">
        <v>0</v>
      </c>
      <c r="AB286" s="28">
        <v>0</v>
      </c>
    </row>
    <row r="287" spans="1:28" s="4" customFormat="1" ht="14.25" customHeight="1" x14ac:dyDescent="0.4">
      <c r="A287">
        <v>99</v>
      </c>
      <c r="B287" s="22">
        <v>0</v>
      </c>
      <c r="C287" s="22">
        <v>0</v>
      </c>
      <c r="D287" s="22">
        <v>0</v>
      </c>
      <c r="E287" s="24">
        <v>41159</v>
      </c>
      <c r="F287" s="24" t="s">
        <v>392</v>
      </c>
      <c r="G287" s="24">
        <v>41179</v>
      </c>
      <c r="H287" s="37">
        <v>108</v>
      </c>
      <c r="I287" s="23">
        <v>41153</v>
      </c>
      <c r="J287" s="37">
        <v>13</v>
      </c>
      <c r="K287" s="24" t="s">
        <v>550</v>
      </c>
      <c r="L287" s="24">
        <v>41122</v>
      </c>
      <c r="M287" s="24">
        <v>41067</v>
      </c>
      <c r="N287" s="22" t="s">
        <v>576</v>
      </c>
      <c r="O287">
        <v>9130150</v>
      </c>
      <c r="P287" s="22">
        <v>1025</v>
      </c>
      <c r="Q287" s="22">
        <v>42</v>
      </c>
      <c r="R287" s="22" t="s">
        <v>2359</v>
      </c>
      <c r="S287" s="3"/>
      <c r="U287" s="44"/>
      <c r="W287" s="1"/>
      <c r="X287" s="75"/>
      <c r="Y287" s="28" t="e">
        <v>#REF!</v>
      </c>
      <c r="Z287" s="1"/>
      <c r="AA287" s="24" t="s">
        <v>392</v>
      </c>
      <c r="AB287" s="28">
        <v>41179</v>
      </c>
    </row>
    <row r="288" spans="1:28" ht="14.25" customHeight="1" x14ac:dyDescent="0.4">
      <c r="A288">
        <v>575</v>
      </c>
      <c r="B288" s="22">
        <v>0</v>
      </c>
      <c r="C288" s="22" t="s">
        <v>2165</v>
      </c>
      <c r="D288" s="22">
        <v>0</v>
      </c>
      <c r="E288" s="24">
        <v>41165</v>
      </c>
      <c r="F288" s="24" t="s">
        <v>392</v>
      </c>
      <c r="G288" s="24">
        <v>41179</v>
      </c>
      <c r="H288" s="37">
        <v>120</v>
      </c>
      <c r="I288" s="23">
        <v>41153</v>
      </c>
      <c r="J288" s="37">
        <v>25</v>
      </c>
      <c r="K288" s="24" t="s">
        <v>550</v>
      </c>
      <c r="L288" s="24">
        <v>41153</v>
      </c>
      <c r="M288" s="24">
        <v>41067</v>
      </c>
      <c r="N288" s="22" t="s">
        <v>576</v>
      </c>
      <c r="O288">
        <v>9130151</v>
      </c>
      <c r="P288" s="22">
        <v>1025</v>
      </c>
      <c r="Q288" s="22">
        <v>42</v>
      </c>
      <c r="R288" s="22" t="s">
        <v>2360</v>
      </c>
      <c r="T288" s="4"/>
      <c r="U288" s="44"/>
      <c r="V288" s="4"/>
      <c r="AA288" s="24" t="s">
        <v>392</v>
      </c>
      <c r="AB288" s="28">
        <v>41179</v>
      </c>
    </row>
    <row r="289" spans="1:28" s="4" customFormat="1" ht="14.25" customHeight="1" x14ac:dyDescent="0.4">
      <c r="A289">
        <v>576</v>
      </c>
      <c r="B289" s="22">
        <v>0</v>
      </c>
      <c r="C289" s="22">
        <v>0</v>
      </c>
      <c r="D289" s="22">
        <v>0</v>
      </c>
      <c r="E289" s="24">
        <v>41183</v>
      </c>
      <c r="F289" s="24" t="s">
        <v>2316</v>
      </c>
      <c r="G289" s="24">
        <v>0</v>
      </c>
      <c r="H289" s="37">
        <v>155</v>
      </c>
      <c r="I289" s="23">
        <v>41183</v>
      </c>
      <c r="J289" s="37">
        <v>3</v>
      </c>
      <c r="K289" s="24" t="s">
        <v>550</v>
      </c>
      <c r="L289" s="24">
        <v>41183</v>
      </c>
      <c r="M289" s="24">
        <v>41067</v>
      </c>
      <c r="N289" s="22" t="s">
        <v>576</v>
      </c>
      <c r="O289">
        <v>9130154</v>
      </c>
      <c r="P289" s="22">
        <v>1025</v>
      </c>
      <c r="Q289" s="22">
        <v>42</v>
      </c>
      <c r="R289" s="22" t="s">
        <v>2361</v>
      </c>
      <c r="S289" s="3"/>
      <c r="U289" s="44"/>
      <c r="W289" s="1"/>
      <c r="X289" s="75"/>
      <c r="Y289" s="1"/>
      <c r="Z289" s="1"/>
      <c r="AA289" s="24" t="s">
        <v>2316</v>
      </c>
      <c r="AB289" s="28">
        <v>0</v>
      </c>
    </row>
    <row r="290" spans="1:28" ht="14.25" customHeight="1" x14ac:dyDescent="0.4">
      <c r="A290">
        <v>578</v>
      </c>
      <c r="B290" s="22">
        <v>0</v>
      </c>
      <c r="C290" s="22" t="s">
        <v>2165</v>
      </c>
      <c r="D290" s="22">
        <v>0</v>
      </c>
      <c r="E290" s="24">
        <v>0</v>
      </c>
      <c r="F290" s="24">
        <v>0</v>
      </c>
      <c r="G290" s="24">
        <v>0</v>
      </c>
      <c r="H290" s="37">
        <v>293</v>
      </c>
      <c r="I290" s="23">
        <v>41244</v>
      </c>
      <c r="J290" s="37">
        <v>15</v>
      </c>
      <c r="K290" s="24" t="s">
        <v>550</v>
      </c>
      <c r="L290" s="24">
        <v>41244</v>
      </c>
      <c r="M290" s="24">
        <v>41067</v>
      </c>
      <c r="N290" s="22" t="s">
        <v>576</v>
      </c>
      <c r="O290">
        <v>9130155</v>
      </c>
      <c r="P290" s="22">
        <v>1220</v>
      </c>
      <c r="Q290" s="22">
        <v>50</v>
      </c>
      <c r="R290" s="22" t="s">
        <v>2362</v>
      </c>
      <c r="S290" s="38" t="s">
        <v>278</v>
      </c>
      <c r="T290" s="4" t="s">
        <v>404</v>
      </c>
      <c r="U290" s="44">
        <v>41178</v>
      </c>
      <c r="V290" s="4"/>
      <c r="AA290" s="24">
        <v>0</v>
      </c>
      <c r="AB290" s="28">
        <v>0</v>
      </c>
    </row>
    <row r="291" spans="1:28" ht="14.25" customHeight="1" x14ac:dyDescent="0.4">
      <c r="A291">
        <v>579</v>
      </c>
      <c r="B291" s="22">
        <v>0</v>
      </c>
      <c r="C291" s="22">
        <v>0</v>
      </c>
      <c r="D291" s="22">
        <v>0</v>
      </c>
      <c r="E291" s="24">
        <v>0</v>
      </c>
      <c r="F291" s="24">
        <v>0</v>
      </c>
      <c r="G291" s="24">
        <v>0</v>
      </c>
      <c r="H291" s="37">
        <v>294</v>
      </c>
      <c r="I291" s="23">
        <v>41244</v>
      </c>
      <c r="J291" s="37">
        <v>16</v>
      </c>
      <c r="K291" s="24" t="s">
        <v>550</v>
      </c>
      <c r="L291" s="24">
        <v>41244</v>
      </c>
      <c r="M291" s="24">
        <v>41067</v>
      </c>
      <c r="N291" s="22" t="s">
        <v>576</v>
      </c>
      <c r="O291">
        <v>9130157</v>
      </c>
      <c r="P291" s="22">
        <v>1025</v>
      </c>
      <c r="Q291" s="22">
        <v>50</v>
      </c>
      <c r="R291" s="22" t="s">
        <v>2363</v>
      </c>
      <c r="S291" s="3" t="s">
        <v>599</v>
      </c>
      <c r="T291" s="4" t="s">
        <v>404</v>
      </c>
      <c r="U291" s="44">
        <v>41133</v>
      </c>
      <c r="V291" s="4"/>
      <c r="AA291" s="24">
        <v>0</v>
      </c>
      <c r="AB291" s="28">
        <v>0</v>
      </c>
    </row>
    <row r="292" spans="1:28" ht="14.25" customHeight="1" x14ac:dyDescent="0.4">
      <c r="A292">
        <v>580</v>
      </c>
      <c r="B292" s="22">
        <v>0</v>
      </c>
      <c r="C292" s="22">
        <v>0</v>
      </c>
      <c r="D292" s="22">
        <v>0</v>
      </c>
      <c r="E292" s="24">
        <v>0</v>
      </c>
      <c r="F292" s="24">
        <v>0</v>
      </c>
      <c r="G292" s="24">
        <v>0</v>
      </c>
      <c r="H292" s="37">
        <v>349</v>
      </c>
      <c r="I292" s="23">
        <v>41275</v>
      </c>
      <c r="J292" s="37">
        <v>20</v>
      </c>
      <c r="K292" s="24" t="s">
        <v>550</v>
      </c>
      <c r="L292" s="24">
        <v>41275</v>
      </c>
      <c r="M292" s="24">
        <v>41067</v>
      </c>
      <c r="N292" s="22" t="s">
        <v>576</v>
      </c>
      <c r="O292">
        <v>9130158</v>
      </c>
      <c r="P292" s="22">
        <v>1025</v>
      </c>
      <c r="Q292" s="22">
        <v>42</v>
      </c>
      <c r="R292" s="22" t="s">
        <v>2364</v>
      </c>
      <c r="T292" s="4"/>
      <c r="U292" s="44"/>
      <c r="V292" s="4"/>
      <c r="AA292" s="24">
        <v>0</v>
      </c>
      <c r="AB292" s="28">
        <v>0</v>
      </c>
    </row>
    <row r="293" spans="1:28" ht="14.25" customHeight="1" x14ac:dyDescent="0.4">
      <c r="A293">
        <v>581</v>
      </c>
      <c r="B293" s="22">
        <v>0</v>
      </c>
      <c r="C293" s="22">
        <v>0</v>
      </c>
      <c r="D293" s="22">
        <v>0</v>
      </c>
      <c r="E293" s="24">
        <v>0</v>
      </c>
      <c r="F293" s="24">
        <v>0</v>
      </c>
      <c r="G293" s="24">
        <v>0</v>
      </c>
      <c r="H293" s="37">
        <v>350</v>
      </c>
      <c r="I293" s="23">
        <v>41275</v>
      </c>
      <c r="J293" s="37">
        <v>21</v>
      </c>
      <c r="K293" s="24" t="s">
        <v>550</v>
      </c>
      <c r="L293" s="24">
        <v>41275</v>
      </c>
      <c r="M293" s="24">
        <v>41067</v>
      </c>
      <c r="N293" s="22" t="s">
        <v>576</v>
      </c>
      <c r="O293">
        <v>9130160</v>
      </c>
      <c r="P293" s="22">
        <v>1025</v>
      </c>
      <c r="Q293" s="22">
        <v>42</v>
      </c>
      <c r="R293" s="22" t="s">
        <v>2365</v>
      </c>
      <c r="T293" s="4"/>
      <c r="U293" s="44"/>
      <c r="V293" s="4"/>
      <c r="AA293" s="24">
        <v>0</v>
      </c>
      <c r="AB293" s="28">
        <v>0</v>
      </c>
    </row>
    <row r="294" spans="1:28" ht="14.25" customHeight="1" x14ac:dyDescent="0.4">
      <c r="A294">
        <v>586</v>
      </c>
      <c r="B294" s="22">
        <v>0</v>
      </c>
      <c r="C294" s="22" t="s">
        <v>2165</v>
      </c>
      <c r="D294" s="22">
        <v>0</v>
      </c>
      <c r="E294" s="24">
        <v>0</v>
      </c>
      <c r="F294" s="24">
        <v>0</v>
      </c>
      <c r="G294" s="24">
        <v>0</v>
      </c>
      <c r="H294" s="37">
        <v>351</v>
      </c>
      <c r="I294" s="23">
        <v>41275</v>
      </c>
      <c r="J294" s="37">
        <v>22</v>
      </c>
      <c r="K294" s="24" t="s">
        <v>550</v>
      </c>
      <c r="L294" s="24">
        <v>41275</v>
      </c>
      <c r="M294" s="24">
        <v>41067</v>
      </c>
      <c r="N294" s="22" t="s">
        <v>576</v>
      </c>
      <c r="O294">
        <v>9130162</v>
      </c>
      <c r="P294" s="22">
        <v>1025</v>
      </c>
      <c r="Q294" s="22">
        <v>42</v>
      </c>
      <c r="R294" s="22" t="s">
        <v>2366</v>
      </c>
      <c r="T294" s="4"/>
      <c r="U294" s="44"/>
      <c r="V294" s="4"/>
      <c r="AA294" s="24">
        <v>0</v>
      </c>
      <c r="AB294" s="28">
        <v>0</v>
      </c>
    </row>
    <row r="295" spans="1:28" ht="14.25" customHeight="1" x14ac:dyDescent="0.4">
      <c r="A295">
        <v>587</v>
      </c>
      <c r="B295" s="22">
        <v>0</v>
      </c>
      <c r="C295" s="22">
        <v>0</v>
      </c>
      <c r="D295" s="22">
        <v>0</v>
      </c>
      <c r="E295" s="24">
        <v>41135</v>
      </c>
      <c r="F295" s="24" t="s">
        <v>393</v>
      </c>
      <c r="G295" s="24">
        <v>41144</v>
      </c>
      <c r="H295" s="37">
        <v>57</v>
      </c>
      <c r="I295" s="23">
        <v>41122</v>
      </c>
      <c r="J295" s="37">
        <v>25</v>
      </c>
      <c r="K295" s="24" t="s">
        <v>550</v>
      </c>
      <c r="L295" s="24">
        <v>41122</v>
      </c>
      <c r="M295" s="24">
        <v>41067</v>
      </c>
      <c r="N295" s="22" t="s">
        <v>576</v>
      </c>
      <c r="O295">
        <v>9130163</v>
      </c>
      <c r="P295" s="22">
        <v>720</v>
      </c>
      <c r="Q295" s="22">
        <v>42</v>
      </c>
      <c r="R295" s="22" t="s">
        <v>2367</v>
      </c>
      <c r="S295" s="3" t="s">
        <v>1774</v>
      </c>
      <c r="T295" s="4" t="s">
        <v>404</v>
      </c>
      <c r="U295" s="44">
        <v>41092</v>
      </c>
      <c r="V295" s="4"/>
      <c r="AA295" s="24" t="s">
        <v>393</v>
      </c>
      <c r="AB295" s="28">
        <v>41144</v>
      </c>
    </row>
    <row r="296" spans="1:28" s="4" customFormat="1" ht="14.25" customHeight="1" x14ac:dyDescent="0.4">
      <c r="A296">
        <v>588</v>
      </c>
      <c r="B296" s="22">
        <v>0</v>
      </c>
      <c r="C296" s="22">
        <v>0</v>
      </c>
      <c r="D296" s="22">
        <v>0</v>
      </c>
      <c r="E296" s="24">
        <v>41135</v>
      </c>
      <c r="F296" s="24" t="s">
        <v>393</v>
      </c>
      <c r="G296" s="24">
        <v>41144</v>
      </c>
      <c r="H296" s="37">
        <v>58</v>
      </c>
      <c r="I296" s="23">
        <v>41122</v>
      </c>
      <c r="J296" s="37">
        <v>26</v>
      </c>
      <c r="K296" s="24" t="s">
        <v>550</v>
      </c>
      <c r="L296" s="24">
        <v>41122</v>
      </c>
      <c r="M296" s="24">
        <v>41067</v>
      </c>
      <c r="N296" s="22" t="s">
        <v>576</v>
      </c>
      <c r="O296">
        <v>9130164</v>
      </c>
      <c r="P296" s="22">
        <v>720</v>
      </c>
      <c r="Q296" s="22">
        <v>42</v>
      </c>
      <c r="R296" s="22" t="s">
        <v>2368</v>
      </c>
      <c r="S296" s="3" t="s">
        <v>600</v>
      </c>
      <c r="T296" s="4" t="s">
        <v>404</v>
      </c>
      <c r="U296" s="44">
        <v>41132</v>
      </c>
      <c r="W296" s="1"/>
      <c r="X296" s="75"/>
      <c r="Y296" s="1"/>
      <c r="Z296" s="1"/>
      <c r="AA296" s="24" t="s">
        <v>393</v>
      </c>
      <c r="AB296" s="28">
        <v>41144</v>
      </c>
    </row>
    <row r="297" spans="1:28" ht="14.25" customHeight="1" x14ac:dyDescent="0.4">
      <c r="A297">
        <v>589</v>
      </c>
      <c r="B297" s="22">
        <v>0</v>
      </c>
      <c r="C297" s="22">
        <v>0</v>
      </c>
      <c r="D297" s="22">
        <v>0</v>
      </c>
      <c r="E297" s="24">
        <v>41148</v>
      </c>
      <c r="F297" s="24" t="s">
        <v>393</v>
      </c>
      <c r="G297" s="24">
        <v>41151</v>
      </c>
      <c r="H297" s="37">
        <v>84</v>
      </c>
      <c r="I297" s="23">
        <v>41122</v>
      </c>
      <c r="J297" s="37">
        <v>52</v>
      </c>
      <c r="K297" s="24" t="s">
        <v>550</v>
      </c>
      <c r="L297" s="24">
        <v>41153</v>
      </c>
      <c r="M297" s="24">
        <v>41067</v>
      </c>
      <c r="N297" s="22" t="s">
        <v>576</v>
      </c>
      <c r="O297">
        <v>9130165</v>
      </c>
      <c r="P297" s="22">
        <v>720</v>
      </c>
      <c r="Q297" s="22">
        <v>42</v>
      </c>
      <c r="R297" s="22" t="s">
        <v>2369</v>
      </c>
      <c r="T297" s="4"/>
      <c r="U297" s="44"/>
      <c r="V297" s="4"/>
      <c r="AA297" s="24" t="s">
        <v>393</v>
      </c>
      <c r="AB297" s="28">
        <v>41151</v>
      </c>
    </row>
    <row r="298" spans="1:28" ht="14.25" customHeight="1" x14ac:dyDescent="0.4">
      <c r="A298">
        <v>590</v>
      </c>
      <c r="B298" s="22">
        <v>0</v>
      </c>
      <c r="C298" s="22" t="s">
        <v>2165</v>
      </c>
      <c r="D298" s="22">
        <v>0</v>
      </c>
      <c r="E298" s="24">
        <v>41148</v>
      </c>
      <c r="F298" s="24" t="s">
        <v>393</v>
      </c>
      <c r="G298" s="24">
        <v>41159</v>
      </c>
      <c r="H298" s="37">
        <v>85</v>
      </c>
      <c r="I298" s="23">
        <v>41122</v>
      </c>
      <c r="J298" s="37">
        <v>53</v>
      </c>
      <c r="K298" s="24" t="s">
        <v>550</v>
      </c>
      <c r="L298" s="24">
        <v>41153</v>
      </c>
      <c r="M298" s="24">
        <v>41067</v>
      </c>
      <c r="N298" s="22" t="s">
        <v>576</v>
      </c>
      <c r="O298">
        <v>9130166</v>
      </c>
      <c r="P298" s="22">
        <v>720</v>
      </c>
      <c r="Q298" s="22">
        <v>42</v>
      </c>
      <c r="R298" s="22" t="s">
        <v>2370</v>
      </c>
      <c r="S298" s="3" t="s">
        <v>2048</v>
      </c>
      <c r="T298" s="4" t="s">
        <v>404</v>
      </c>
      <c r="U298" s="44">
        <v>41143</v>
      </c>
      <c r="V298" s="4"/>
      <c r="AA298" s="24" t="s">
        <v>393</v>
      </c>
      <c r="AB298" s="28">
        <v>41159</v>
      </c>
    </row>
    <row r="299" spans="1:28" ht="14.25" customHeight="1" x14ac:dyDescent="0.4">
      <c r="A299">
        <v>100</v>
      </c>
      <c r="B299" s="22">
        <v>0</v>
      </c>
      <c r="C299" s="22" t="s">
        <v>2102</v>
      </c>
      <c r="D299" s="22">
        <v>0</v>
      </c>
      <c r="E299" s="24">
        <v>0</v>
      </c>
      <c r="F299" s="24">
        <v>0</v>
      </c>
      <c r="G299" s="24">
        <v>0</v>
      </c>
      <c r="H299" s="37">
        <v>262</v>
      </c>
      <c r="I299" s="23">
        <v>41214</v>
      </c>
      <c r="J299" s="37">
        <v>41</v>
      </c>
      <c r="K299" s="24" t="s">
        <v>550</v>
      </c>
      <c r="L299" s="24">
        <v>41214</v>
      </c>
      <c r="M299" s="24">
        <v>41067</v>
      </c>
      <c r="N299" s="22" t="s">
        <v>576</v>
      </c>
      <c r="O299">
        <v>9130167</v>
      </c>
      <c r="P299" s="22">
        <v>720</v>
      </c>
      <c r="Q299" s="22">
        <v>42</v>
      </c>
      <c r="R299" s="22" t="s">
        <v>2371</v>
      </c>
      <c r="S299" s="4" t="s">
        <v>1449</v>
      </c>
      <c r="T299" s="4" t="s">
        <v>404</v>
      </c>
      <c r="U299" s="44">
        <v>41150</v>
      </c>
      <c r="V299" s="4"/>
      <c r="W299" s="9"/>
      <c r="X299" s="74"/>
      <c r="Y299" s="28" t="e">
        <v>#REF!</v>
      </c>
      <c r="Z299" s="28"/>
      <c r="AA299" s="24">
        <v>0</v>
      </c>
      <c r="AB299" s="28">
        <v>0</v>
      </c>
    </row>
    <row r="300" spans="1:28" ht="14.25" customHeight="1" x14ac:dyDescent="0.4">
      <c r="A300">
        <v>101</v>
      </c>
      <c r="B300" s="22">
        <v>0</v>
      </c>
      <c r="C300" s="22">
        <v>0</v>
      </c>
      <c r="D300" s="22">
        <v>0</v>
      </c>
      <c r="E300" s="24">
        <v>0</v>
      </c>
      <c r="F300" s="24">
        <v>0</v>
      </c>
      <c r="G300" s="24">
        <v>0</v>
      </c>
      <c r="H300" s="37">
        <v>263</v>
      </c>
      <c r="I300" s="23">
        <v>41214</v>
      </c>
      <c r="J300" s="37">
        <v>42</v>
      </c>
      <c r="K300" s="24" t="s">
        <v>550</v>
      </c>
      <c r="L300" s="24">
        <v>41214</v>
      </c>
      <c r="M300" s="24">
        <v>41067</v>
      </c>
      <c r="N300" s="22" t="s">
        <v>576</v>
      </c>
      <c r="O300">
        <v>9130168</v>
      </c>
      <c r="P300" s="22">
        <v>720</v>
      </c>
      <c r="Q300" s="22">
        <v>42</v>
      </c>
      <c r="R300" s="22" t="s">
        <v>2372</v>
      </c>
      <c r="S300" s="4" t="s">
        <v>1061</v>
      </c>
      <c r="T300" s="4" t="s">
        <v>404</v>
      </c>
      <c r="U300" s="44">
        <v>41133</v>
      </c>
      <c r="V300" s="4"/>
      <c r="W300" s="9"/>
      <c r="X300" s="74"/>
      <c r="Y300" s="28" t="e">
        <v>#REF!</v>
      </c>
      <c r="Z300" s="9"/>
      <c r="AA300" s="24">
        <v>0</v>
      </c>
      <c r="AB300" s="28">
        <v>0</v>
      </c>
    </row>
    <row r="301" spans="1:28" ht="14.25" customHeight="1" x14ac:dyDescent="0.4">
      <c r="A301">
        <v>102</v>
      </c>
      <c r="B301" s="22">
        <v>0</v>
      </c>
      <c r="C301" s="22">
        <v>0</v>
      </c>
      <c r="D301" s="22">
        <v>0</v>
      </c>
      <c r="E301" s="24">
        <v>0</v>
      </c>
      <c r="F301" s="24">
        <v>0</v>
      </c>
      <c r="G301" s="24">
        <v>0</v>
      </c>
      <c r="H301" s="37">
        <v>320</v>
      </c>
      <c r="I301" s="23">
        <v>41244</v>
      </c>
      <c r="J301" s="37">
        <v>42</v>
      </c>
      <c r="K301" s="24" t="s">
        <v>550</v>
      </c>
      <c r="L301" s="24">
        <v>41244</v>
      </c>
      <c r="M301" s="24">
        <v>41067</v>
      </c>
      <c r="N301" s="22" t="s">
        <v>576</v>
      </c>
      <c r="O301">
        <v>9130169</v>
      </c>
      <c r="P301" s="22">
        <v>720</v>
      </c>
      <c r="Q301" s="22">
        <v>42</v>
      </c>
      <c r="R301" s="22" t="s">
        <v>2373</v>
      </c>
      <c r="S301" s="1"/>
      <c r="T301" s="4"/>
      <c r="U301" s="44"/>
      <c r="V301" s="4"/>
      <c r="W301" s="9"/>
      <c r="X301" s="74"/>
      <c r="Y301" s="28" t="e">
        <v>#REF!</v>
      </c>
      <c r="Z301" s="28"/>
      <c r="AA301" s="24">
        <v>0</v>
      </c>
      <c r="AB301" s="28">
        <v>0</v>
      </c>
    </row>
    <row r="302" spans="1:28" ht="14.25" customHeight="1" x14ac:dyDescent="0.4">
      <c r="A302">
        <v>103</v>
      </c>
      <c r="B302" s="22">
        <v>0</v>
      </c>
      <c r="C302" s="22">
        <v>0</v>
      </c>
      <c r="D302" s="22">
        <v>0</v>
      </c>
      <c r="E302" s="24">
        <v>0</v>
      </c>
      <c r="F302" s="24">
        <v>0</v>
      </c>
      <c r="G302" s="24">
        <v>0</v>
      </c>
      <c r="H302" s="37">
        <v>321</v>
      </c>
      <c r="I302" s="23">
        <v>41244</v>
      </c>
      <c r="J302" s="37">
        <v>43</v>
      </c>
      <c r="K302" s="24" t="s">
        <v>550</v>
      </c>
      <c r="L302" s="24">
        <v>41244</v>
      </c>
      <c r="M302" s="24">
        <v>41067</v>
      </c>
      <c r="N302" s="22" t="s">
        <v>576</v>
      </c>
      <c r="O302">
        <v>9130170</v>
      </c>
      <c r="P302" s="22">
        <v>720</v>
      </c>
      <c r="Q302" s="22">
        <v>42</v>
      </c>
      <c r="R302" s="22" t="s">
        <v>2374</v>
      </c>
      <c r="S302" s="4" t="s">
        <v>1140</v>
      </c>
      <c r="T302" s="4" t="s">
        <v>404</v>
      </c>
      <c r="U302" s="44">
        <v>41173</v>
      </c>
      <c r="V302" s="4"/>
      <c r="W302" s="9"/>
      <c r="X302" s="74"/>
      <c r="Y302" s="28" t="e">
        <v>#REF!</v>
      </c>
      <c r="Z302" s="28"/>
      <c r="AA302" s="24">
        <v>0</v>
      </c>
      <c r="AB302" s="28">
        <v>0</v>
      </c>
    </row>
    <row r="303" spans="1:28" s="4" customFormat="1" ht="14.25" customHeight="1" x14ac:dyDescent="0.4">
      <c r="A303">
        <v>104</v>
      </c>
      <c r="B303" s="24">
        <v>0</v>
      </c>
      <c r="C303" s="24">
        <v>0</v>
      </c>
      <c r="D303" s="24">
        <v>0</v>
      </c>
      <c r="E303" s="24">
        <v>0</v>
      </c>
      <c r="F303" s="24">
        <v>0</v>
      </c>
      <c r="G303" s="24">
        <v>0</v>
      </c>
      <c r="H303" s="37">
        <v>382</v>
      </c>
      <c r="I303" s="23">
        <v>41275</v>
      </c>
      <c r="J303" s="37">
        <v>53</v>
      </c>
      <c r="K303" s="24" t="s">
        <v>550</v>
      </c>
      <c r="L303" s="24">
        <v>41275</v>
      </c>
      <c r="M303" s="24">
        <v>41067</v>
      </c>
      <c r="N303" s="22" t="s">
        <v>576</v>
      </c>
      <c r="O303">
        <v>9130171</v>
      </c>
      <c r="P303" s="22">
        <v>720</v>
      </c>
      <c r="Q303" s="22">
        <v>42</v>
      </c>
      <c r="R303" s="22" t="s">
        <v>2375</v>
      </c>
      <c r="S303" s="3"/>
      <c r="U303" s="44"/>
      <c r="W303" s="43"/>
      <c r="X303" s="75"/>
      <c r="Y303" s="28" t="e">
        <v>#REF!</v>
      </c>
      <c r="Z303" s="1"/>
      <c r="AA303" s="24">
        <v>0</v>
      </c>
      <c r="AB303" s="28">
        <v>0</v>
      </c>
    </row>
    <row r="304" spans="1:28" s="4" customFormat="1" ht="14.25" customHeight="1" x14ac:dyDescent="0.4">
      <c r="A304">
        <v>105</v>
      </c>
      <c r="B304" s="24">
        <v>0</v>
      </c>
      <c r="C304" s="24">
        <v>0</v>
      </c>
      <c r="D304" s="24">
        <v>0</v>
      </c>
      <c r="E304" s="24">
        <v>0</v>
      </c>
      <c r="F304" s="24">
        <v>0</v>
      </c>
      <c r="G304" s="24">
        <v>0</v>
      </c>
      <c r="H304" s="37">
        <v>383</v>
      </c>
      <c r="I304" s="23">
        <v>41275</v>
      </c>
      <c r="J304" s="37">
        <v>54</v>
      </c>
      <c r="K304" s="24" t="s">
        <v>550</v>
      </c>
      <c r="L304" s="24">
        <v>41275</v>
      </c>
      <c r="M304" s="24">
        <v>41067</v>
      </c>
      <c r="N304" s="22" t="s">
        <v>576</v>
      </c>
      <c r="O304">
        <v>9130172</v>
      </c>
      <c r="P304" s="22">
        <v>720</v>
      </c>
      <c r="Q304" s="22">
        <v>42</v>
      </c>
      <c r="R304" s="22" t="s">
        <v>2376</v>
      </c>
      <c r="S304" t="s">
        <v>601</v>
      </c>
      <c r="T304" s="4" t="s">
        <v>404</v>
      </c>
      <c r="U304" s="44">
        <v>41136</v>
      </c>
      <c r="W304" s="43"/>
      <c r="X304" s="75"/>
      <c r="Y304" s="28" t="e">
        <v>#REF!</v>
      </c>
      <c r="Z304" s="1"/>
      <c r="AA304" s="24">
        <v>0</v>
      </c>
      <c r="AB304" s="28">
        <v>0</v>
      </c>
    </row>
    <row r="305" spans="1:28" ht="14.25" customHeight="1" x14ac:dyDescent="0.4">
      <c r="A305">
        <v>106</v>
      </c>
      <c r="B305" s="24">
        <v>0</v>
      </c>
      <c r="C305" s="24">
        <v>0</v>
      </c>
      <c r="D305" s="24">
        <v>0</v>
      </c>
      <c r="E305" s="24">
        <v>0</v>
      </c>
      <c r="F305" s="24">
        <v>0</v>
      </c>
      <c r="G305" s="24">
        <v>0</v>
      </c>
      <c r="H305" s="37">
        <v>497</v>
      </c>
      <c r="I305" s="23">
        <v>41334</v>
      </c>
      <c r="J305" s="37">
        <v>43</v>
      </c>
      <c r="K305" s="24" t="s">
        <v>550</v>
      </c>
      <c r="L305" s="24">
        <v>41334</v>
      </c>
      <c r="M305" s="24">
        <v>41067</v>
      </c>
      <c r="N305" s="22" t="s">
        <v>576</v>
      </c>
      <c r="O305">
        <v>9130173</v>
      </c>
      <c r="P305" s="22">
        <v>720</v>
      </c>
      <c r="Q305" s="22">
        <v>42</v>
      </c>
      <c r="R305" s="22" t="s">
        <v>2377</v>
      </c>
      <c r="S305"/>
      <c r="T305" s="4"/>
      <c r="U305" s="44"/>
      <c r="V305" s="4"/>
      <c r="Y305" s="28" t="e">
        <v>#REF!</v>
      </c>
      <c r="AA305" s="24">
        <v>0</v>
      </c>
      <c r="AB305" s="28">
        <v>0</v>
      </c>
    </row>
    <row r="306" spans="1:28" ht="14.25" customHeight="1" x14ac:dyDescent="0.4">
      <c r="A306">
        <v>107</v>
      </c>
      <c r="B306" s="24">
        <v>0</v>
      </c>
      <c r="C306" s="24">
        <v>0</v>
      </c>
      <c r="D306" s="24">
        <v>0</v>
      </c>
      <c r="E306" s="24">
        <v>0</v>
      </c>
      <c r="F306" s="24">
        <v>0</v>
      </c>
      <c r="G306" s="24">
        <v>0</v>
      </c>
      <c r="H306" s="37">
        <v>498</v>
      </c>
      <c r="I306" s="23">
        <v>41334</v>
      </c>
      <c r="J306" s="37">
        <v>44</v>
      </c>
      <c r="K306" s="24" t="s">
        <v>550</v>
      </c>
      <c r="L306" s="24">
        <v>41334</v>
      </c>
      <c r="M306" s="24">
        <v>41067</v>
      </c>
      <c r="N306" s="22" t="s">
        <v>576</v>
      </c>
      <c r="O306">
        <v>9130174</v>
      </c>
      <c r="P306" s="22">
        <v>720</v>
      </c>
      <c r="Q306" s="22">
        <v>42</v>
      </c>
      <c r="R306" s="22" t="s">
        <v>2378</v>
      </c>
      <c r="S306"/>
      <c r="T306" s="4"/>
      <c r="U306" s="164"/>
      <c r="V306" s="4"/>
      <c r="Y306" s="28" t="e">
        <v>#REF!</v>
      </c>
      <c r="AA306" s="24">
        <v>0</v>
      </c>
      <c r="AB306" s="28">
        <v>0</v>
      </c>
    </row>
    <row r="307" spans="1:28" ht="14.25" customHeight="1" x14ac:dyDescent="0.4">
      <c r="A307">
        <v>108</v>
      </c>
      <c r="B307" s="22">
        <v>0</v>
      </c>
      <c r="C307" s="22">
        <v>0</v>
      </c>
      <c r="D307" s="22">
        <v>0</v>
      </c>
      <c r="E307" s="24">
        <v>0</v>
      </c>
      <c r="F307" s="24">
        <v>0</v>
      </c>
      <c r="G307" s="24">
        <v>0</v>
      </c>
      <c r="H307" s="37">
        <v>539</v>
      </c>
      <c r="I307" s="23">
        <v>41395</v>
      </c>
      <c r="J307" s="37">
        <v>9</v>
      </c>
      <c r="K307" s="24" t="s">
        <v>550</v>
      </c>
      <c r="L307" s="24">
        <v>41395</v>
      </c>
      <c r="M307" s="24">
        <v>41067</v>
      </c>
      <c r="N307" s="22" t="s">
        <v>576</v>
      </c>
      <c r="O307">
        <v>9130175</v>
      </c>
      <c r="P307" s="22">
        <v>720</v>
      </c>
      <c r="Q307" s="22">
        <v>42</v>
      </c>
      <c r="R307" s="22" t="s">
        <v>2379</v>
      </c>
      <c r="S307" s="4"/>
      <c r="T307" s="4"/>
      <c r="U307" s="94"/>
      <c r="V307" s="4"/>
      <c r="W307" s="28"/>
      <c r="X307" s="74"/>
      <c r="Y307" s="28" t="e">
        <v>#REF!</v>
      </c>
      <c r="Z307" s="28"/>
      <c r="AA307" s="24">
        <v>0</v>
      </c>
      <c r="AB307" s="28">
        <v>0</v>
      </c>
    </row>
    <row r="308" spans="1:28" s="4" customFormat="1" ht="14.25" customHeight="1" x14ac:dyDescent="0.4">
      <c r="A308">
        <v>109</v>
      </c>
      <c r="B308" s="22">
        <v>0</v>
      </c>
      <c r="C308" s="22" t="s">
        <v>2102</v>
      </c>
      <c r="D308" s="22">
        <v>0</v>
      </c>
      <c r="E308" s="24">
        <v>0</v>
      </c>
      <c r="F308" s="24">
        <v>0</v>
      </c>
      <c r="G308" s="24">
        <v>0</v>
      </c>
      <c r="H308" s="37">
        <v>540</v>
      </c>
      <c r="I308" s="23">
        <v>41395</v>
      </c>
      <c r="J308" s="37">
        <v>10</v>
      </c>
      <c r="K308" s="24" t="s">
        <v>550</v>
      </c>
      <c r="L308" s="24">
        <v>41395</v>
      </c>
      <c r="M308" s="24">
        <v>41067</v>
      </c>
      <c r="N308" s="22" t="s">
        <v>576</v>
      </c>
      <c r="O308">
        <v>9130176</v>
      </c>
      <c r="P308" s="22">
        <v>720</v>
      </c>
      <c r="Q308" s="22">
        <v>42</v>
      </c>
      <c r="R308" s="22" t="s">
        <v>2380</v>
      </c>
      <c r="U308" s="94"/>
      <c r="W308" s="92"/>
      <c r="X308" s="74"/>
      <c r="Y308" s="28" t="e">
        <v>#REF!</v>
      </c>
      <c r="Z308" s="28"/>
      <c r="AA308" s="24">
        <v>0</v>
      </c>
      <c r="AB308" s="28">
        <v>0</v>
      </c>
    </row>
    <row r="309" spans="1:28" s="4" customFormat="1" ht="14.25" customHeight="1" x14ac:dyDescent="0.4">
      <c r="A309">
        <v>110</v>
      </c>
      <c r="B309" s="22">
        <v>0</v>
      </c>
      <c r="C309" s="22" t="s">
        <v>2102</v>
      </c>
      <c r="D309" s="22">
        <v>0</v>
      </c>
      <c r="E309" s="24">
        <v>0</v>
      </c>
      <c r="F309" s="24">
        <v>0</v>
      </c>
      <c r="G309" s="24">
        <v>0</v>
      </c>
      <c r="H309" s="37">
        <v>542</v>
      </c>
      <c r="I309" s="23">
        <v>41395</v>
      </c>
      <c r="J309" s="37">
        <v>12</v>
      </c>
      <c r="K309" s="24" t="s">
        <v>550</v>
      </c>
      <c r="L309" s="24">
        <v>41395</v>
      </c>
      <c r="M309" s="24">
        <v>41067</v>
      </c>
      <c r="N309" s="22" t="s">
        <v>576</v>
      </c>
      <c r="O309">
        <v>9130178</v>
      </c>
      <c r="P309" s="22">
        <v>720</v>
      </c>
      <c r="Q309" s="22">
        <v>42</v>
      </c>
      <c r="R309" s="22" t="s">
        <v>2381</v>
      </c>
      <c r="S309" s="1"/>
      <c r="U309" s="94"/>
      <c r="W309" s="92"/>
      <c r="X309" s="74"/>
      <c r="Y309" s="28" t="e">
        <v>#REF!</v>
      </c>
      <c r="Z309" s="28"/>
      <c r="AA309" s="24">
        <v>0</v>
      </c>
      <c r="AB309" s="28">
        <v>0</v>
      </c>
    </row>
    <row r="310" spans="1:28" s="4" customFormat="1" ht="14.25" customHeight="1" x14ac:dyDescent="0.4">
      <c r="A310">
        <v>111</v>
      </c>
      <c r="B310" s="24">
        <v>0</v>
      </c>
      <c r="C310" s="24">
        <v>0</v>
      </c>
      <c r="D310" s="24">
        <v>0</v>
      </c>
      <c r="E310" s="24">
        <v>0</v>
      </c>
      <c r="F310" s="24">
        <v>0</v>
      </c>
      <c r="G310" s="24">
        <v>0</v>
      </c>
      <c r="H310" s="37">
        <v>543</v>
      </c>
      <c r="I310" s="23">
        <v>41395</v>
      </c>
      <c r="J310" s="37">
        <v>13</v>
      </c>
      <c r="K310" s="24" t="s">
        <v>550</v>
      </c>
      <c r="L310" s="24">
        <v>41395</v>
      </c>
      <c r="M310" s="24">
        <v>41067</v>
      </c>
      <c r="N310" s="22" t="s">
        <v>576</v>
      </c>
      <c r="O310">
        <v>9130179</v>
      </c>
      <c r="P310" s="22">
        <v>720</v>
      </c>
      <c r="Q310" s="22">
        <v>42</v>
      </c>
      <c r="R310" s="22" t="s">
        <v>2382</v>
      </c>
      <c r="U310" s="164"/>
      <c r="W310" s="1"/>
      <c r="X310" s="75"/>
      <c r="Y310" s="28" t="e">
        <v>#REF!</v>
      </c>
      <c r="Z310" s="1"/>
      <c r="AA310" s="24">
        <v>0</v>
      </c>
      <c r="AB310" s="28">
        <v>0</v>
      </c>
    </row>
    <row r="311" spans="1:28" s="4" customFormat="1" ht="14.25" customHeight="1" x14ac:dyDescent="0.4">
      <c r="A311">
        <v>112</v>
      </c>
      <c r="B311" s="22">
        <v>0</v>
      </c>
      <c r="C311" s="22" t="s">
        <v>2102</v>
      </c>
      <c r="D311" s="22">
        <v>0</v>
      </c>
      <c r="E311" s="24">
        <v>0</v>
      </c>
      <c r="F311" s="24">
        <v>0</v>
      </c>
      <c r="G311" s="24">
        <v>0</v>
      </c>
      <c r="H311" s="37">
        <v>536</v>
      </c>
      <c r="I311" s="23">
        <v>41395</v>
      </c>
      <c r="J311" s="37">
        <v>6</v>
      </c>
      <c r="K311" s="24" t="s">
        <v>550</v>
      </c>
      <c r="L311" s="24">
        <v>41395</v>
      </c>
      <c r="M311" s="24">
        <v>41067</v>
      </c>
      <c r="N311" s="22" t="s">
        <v>576</v>
      </c>
      <c r="O311">
        <v>9130180</v>
      </c>
      <c r="P311" s="22">
        <v>1025</v>
      </c>
      <c r="Q311" s="22">
        <v>42</v>
      </c>
      <c r="R311" s="22" t="s">
        <v>2383</v>
      </c>
      <c r="S311" s="55"/>
      <c r="U311" s="94"/>
      <c r="W311" s="92"/>
      <c r="X311" s="75"/>
      <c r="Y311" s="28" t="e">
        <v>#REF!</v>
      </c>
      <c r="Z311" s="9"/>
      <c r="AA311" s="24">
        <v>0</v>
      </c>
      <c r="AB311" s="28">
        <v>0</v>
      </c>
    </row>
    <row r="312" spans="1:28" s="4" customFormat="1" ht="14.25" customHeight="1" x14ac:dyDescent="0.4">
      <c r="A312">
        <v>113</v>
      </c>
      <c r="B312" s="22">
        <v>0</v>
      </c>
      <c r="C312" s="22" t="s">
        <v>2165</v>
      </c>
      <c r="D312" s="22">
        <v>0</v>
      </c>
      <c r="E312" s="24">
        <v>0</v>
      </c>
      <c r="F312" s="24">
        <v>0</v>
      </c>
      <c r="G312" s="24">
        <v>0</v>
      </c>
      <c r="H312" s="37">
        <v>537</v>
      </c>
      <c r="I312" s="23">
        <v>41395</v>
      </c>
      <c r="J312" s="37">
        <v>7</v>
      </c>
      <c r="K312" s="24" t="s">
        <v>550</v>
      </c>
      <c r="L312" s="24">
        <v>41395</v>
      </c>
      <c r="M312" s="24">
        <v>41067</v>
      </c>
      <c r="N312" s="22" t="s">
        <v>576</v>
      </c>
      <c r="O312">
        <v>9130181</v>
      </c>
      <c r="P312" s="22">
        <v>1025</v>
      </c>
      <c r="Q312" s="22">
        <v>42</v>
      </c>
      <c r="R312" s="22" t="s">
        <v>2384</v>
      </c>
      <c r="S312" s="55"/>
      <c r="U312" s="94"/>
      <c r="W312" s="94"/>
      <c r="X312" s="74"/>
      <c r="Y312" s="28" t="e">
        <v>#REF!</v>
      </c>
      <c r="Z312" s="9"/>
      <c r="AA312" s="24">
        <v>0</v>
      </c>
      <c r="AB312" s="28">
        <v>0</v>
      </c>
    </row>
    <row r="313" spans="1:28" s="4" customFormat="1" ht="14.25" customHeight="1" x14ac:dyDescent="0.4">
      <c r="A313">
        <v>114</v>
      </c>
      <c r="B313" s="22">
        <v>0</v>
      </c>
      <c r="C313" s="22" t="s">
        <v>2165</v>
      </c>
      <c r="D313" s="22">
        <v>0</v>
      </c>
      <c r="E313" s="24">
        <v>0</v>
      </c>
      <c r="F313" s="24">
        <v>0</v>
      </c>
      <c r="G313" s="24">
        <v>0</v>
      </c>
      <c r="H313" s="37">
        <v>523</v>
      </c>
      <c r="I313" s="23">
        <v>41365</v>
      </c>
      <c r="J313" s="37">
        <v>12</v>
      </c>
      <c r="K313" s="24" t="s">
        <v>550</v>
      </c>
      <c r="L313" s="24">
        <v>41365</v>
      </c>
      <c r="M313" s="24">
        <v>41067</v>
      </c>
      <c r="N313" s="22" t="s">
        <v>576</v>
      </c>
      <c r="O313">
        <v>9130184</v>
      </c>
      <c r="P313" s="22">
        <v>1025</v>
      </c>
      <c r="Q313" s="22">
        <v>42</v>
      </c>
      <c r="R313" s="22" t="s">
        <v>2385</v>
      </c>
      <c r="S313" s="1"/>
      <c r="U313" s="94"/>
      <c r="W313" s="92"/>
      <c r="X313" s="74"/>
      <c r="Y313" s="28" t="e">
        <v>#REF!</v>
      </c>
      <c r="Z313" s="28"/>
      <c r="AA313" s="24">
        <v>0</v>
      </c>
      <c r="AB313" s="28">
        <v>0</v>
      </c>
    </row>
    <row r="314" spans="1:28" s="4" customFormat="1" ht="14.25" customHeight="1" x14ac:dyDescent="0.4">
      <c r="A314">
        <v>115</v>
      </c>
      <c r="B314" s="22" t="s">
        <v>2165</v>
      </c>
      <c r="C314" s="22" t="s">
        <v>2165</v>
      </c>
      <c r="D314" s="22">
        <v>0</v>
      </c>
      <c r="E314" s="24">
        <v>0</v>
      </c>
      <c r="F314" s="24">
        <v>0</v>
      </c>
      <c r="G314" s="24">
        <v>0</v>
      </c>
      <c r="H314" s="37">
        <v>524</v>
      </c>
      <c r="I314" s="23">
        <v>41365</v>
      </c>
      <c r="J314" s="37">
        <v>13</v>
      </c>
      <c r="K314" s="24" t="s">
        <v>550</v>
      </c>
      <c r="L314" s="24">
        <v>41365</v>
      </c>
      <c r="M314" s="24">
        <v>41067</v>
      </c>
      <c r="N314" s="22" t="s">
        <v>576</v>
      </c>
      <c r="O314">
        <v>9130185</v>
      </c>
      <c r="P314" s="22">
        <v>1025</v>
      </c>
      <c r="Q314" s="22">
        <v>42</v>
      </c>
      <c r="R314" s="22" t="s">
        <v>2386</v>
      </c>
      <c r="U314" s="44"/>
      <c r="W314" s="92"/>
      <c r="X314" s="74"/>
      <c r="Y314" s="28" t="e">
        <v>#REF!</v>
      </c>
      <c r="Z314" s="9"/>
      <c r="AA314" s="24">
        <v>0</v>
      </c>
      <c r="AB314" s="28">
        <v>0</v>
      </c>
    </row>
    <row r="315" spans="1:28" s="4" customFormat="1" ht="14.25" customHeight="1" x14ac:dyDescent="0.4">
      <c r="A315">
        <v>502</v>
      </c>
      <c r="B315" s="22">
        <v>0</v>
      </c>
      <c r="C315" s="22">
        <v>0</v>
      </c>
      <c r="D315" s="22">
        <v>0</v>
      </c>
      <c r="E315" s="24">
        <v>41173</v>
      </c>
      <c r="F315" s="24" t="s">
        <v>392</v>
      </c>
      <c r="G315" s="24">
        <v>41178</v>
      </c>
      <c r="H315" s="37">
        <v>136</v>
      </c>
      <c r="I315" s="23">
        <v>41153</v>
      </c>
      <c r="J315" s="37">
        <v>41</v>
      </c>
      <c r="K315" s="24" t="s">
        <v>550</v>
      </c>
      <c r="L315" s="24">
        <v>0</v>
      </c>
      <c r="M315" s="24">
        <v>41156</v>
      </c>
      <c r="N315" s="22" t="s">
        <v>576</v>
      </c>
      <c r="O315">
        <v>9130830</v>
      </c>
      <c r="P315" s="22">
        <v>720</v>
      </c>
      <c r="Q315" s="22">
        <v>42</v>
      </c>
      <c r="R315" s="22" t="s">
        <v>2387</v>
      </c>
      <c r="U315" s="164"/>
      <c r="W315" s="57"/>
      <c r="X315" s="74"/>
      <c r="Y315" s="28" t="e">
        <v>#REF!</v>
      </c>
      <c r="Z315" s="9"/>
      <c r="AA315" s="24" t="s">
        <v>392</v>
      </c>
      <c r="AB315" s="28">
        <v>41178</v>
      </c>
    </row>
    <row r="316" spans="1:28" s="4" customFormat="1" ht="14.25" customHeight="1" x14ac:dyDescent="0.4">
      <c r="A316">
        <v>503</v>
      </c>
      <c r="B316" s="22">
        <v>0</v>
      </c>
      <c r="C316" s="22">
        <v>0</v>
      </c>
      <c r="D316" s="22">
        <v>0</v>
      </c>
      <c r="E316" s="24">
        <v>41173</v>
      </c>
      <c r="F316" s="24" t="s">
        <v>392</v>
      </c>
      <c r="G316" s="24">
        <v>41179</v>
      </c>
      <c r="H316" s="37">
        <v>137</v>
      </c>
      <c r="I316" s="23">
        <v>41153</v>
      </c>
      <c r="J316" s="37">
        <v>42</v>
      </c>
      <c r="K316" s="24" t="s">
        <v>550</v>
      </c>
      <c r="L316" s="24">
        <v>0</v>
      </c>
      <c r="M316" s="24">
        <v>41156</v>
      </c>
      <c r="N316" s="22" t="s">
        <v>576</v>
      </c>
      <c r="O316">
        <v>9130832</v>
      </c>
      <c r="P316" s="22">
        <v>720</v>
      </c>
      <c r="Q316" s="22">
        <v>42</v>
      </c>
      <c r="R316" s="22" t="s">
        <v>2388</v>
      </c>
      <c r="U316" s="88"/>
      <c r="W316" s="89"/>
      <c r="X316" s="84"/>
      <c r="Y316" s="28" t="e">
        <v>#REF!</v>
      </c>
      <c r="Z316" s="28"/>
      <c r="AA316" s="24" t="s">
        <v>392</v>
      </c>
      <c r="AB316" s="28">
        <v>41179</v>
      </c>
    </row>
    <row r="317" spans="1:28" s="4" customFormat="1" ht="14.25" customHeight="1" x14ac:dyDescent="0.4">
      <c r="A317">
        <v>504</v>
      </c>
      <c r="B317" s="22">
        <v>0</v>
      </c>
      <c r="C317" s="22">
        <v>0</v>
      </c>
      <c r="D317" s="22">
        <v>0</v>
      </c>
      <c r="E317" s="24">
        <v>41173</v>
      </c>
      <c r="F317" s="24" t="s">
        <v>393</v>
      </c>
      <c r="G317" s="24">
        <v>41178</v>
      </c>
      <c r="H317" s="37">
        <v>138</v>
      </c>
      <c r="I317" s="23">
        <v>41153</v>
      </c>
      <c r="J317" s="37">
        <v>43</v>
      </c>
      <c r="K317" s="24" t="s">
        <v>550</v>
      </c>
      <c r="L317" s="24">
        <v>0</v>
      </c>
      <c r="M317" s="24">
        <v>41156</v>
      </c>
      <c r="N317" s="22" t="s">
        <v>576</v>
      </c>
      <c r="O317">
        <v>9130833</v>
      </c>
      <c r="P317" s="22">
        <v>720</v>
      </c>
      <c r="Q317" s="22">
        <v>42</v>
      </c>
      <c r="R317" s="22" t="s">
        <v>2389</v>
      </c>
      <c r="U317" s="44"/>
      <c r="W317" s="9"/>
      <c r="X317" s="75"/>
      <c r="Y317" s="28" t="e">
        <v>#REF!</v>
      </c>
      <c r="Z317" s="28"/>
      <c r="AA317" s="24" t="s">
        <v>393</v>
      </c>
      <c r="AB317" s="28">
        <v>41178</v>
      </c>
    </row>
    <row r="318" spans="1:28" ht="14.25" customHeight="1" x14ac:dyDescent="0.4">
      <c r="A318">
        <v>505</v>
      </c>
      <c r="B318" s="24">
        <v>41176</v>
      </c>
      <c r="C318" s="24">
        <v>41176</v>
      </c>
      <c r="D318" s="24">
        <v>41176</v>
      </c>
      <c r="E318" s="24">
        <v>41176</v>
      </c>
      <c r="F318" s="24" t="s">
        <v>392</v>
      </c>
      <c r="G318" s="24">
        <v>41179</v>
      </c>
      <c r="H318" s="37">
        <v>139</v>
      </c>
      <c r="I318" s="23">
        <v>41153</v>
      </c>
      <c r="J318" s="37">
        <v>44</v>
      </c>
      <c r="K318" s="24" t="s">
        <v>550</v>
      </c>
      <c r="L318" s="24">
        <v>0</v>
      </c>
      <c r="M318" s="24">
        <v>41156</v>
      </c>
      <c r="N318" s="22" t="s">
        <v>576</v>
      </c>
      <c r="O318">
        <v>9130836</v>
      </c>
      <c r="P318" s="22">
        <v>720</v>
      </c>
      <c r="Q318" s="22">
        <v>42</v>
      </c>
      <c r="R318" s="22" t="s">
        <v>2390</v>
      </c>
      <c r="T318" s="4"/>
      <c r="U318" s="164"/>
      <c r="V318" s="4"/>
      <c r="Y318" s="28" t="e">
        <v>#REF!</v>
      </c>
      <c r="AA318" s="24" t="s">
        <v>392</v>
      </c>
      <c r="AB318" s="28">
        <v>41179</v>
      </c>
    </row>
    <row r="319" spans="1:28" ht="14.25" customHeight="1" x14ac:dyDescent="0.4">
      <c r="A319">
        <v>507</v>
      </c>
      <c r="B319" s="24">
        <v>0</v>
      </c>
      <c r="C319" s="24">
        <v>0</v>
      </c>
      <c r="D319" s="24">
        <v>0</v>
      </c>
      <c r="E319" s="24">
        <v>0</v>
      </c>
      <c r="F319" s="24">
        <v>0</v>
      </c>
      <c r="G319" s="24">
        <v>0</v>
      </c>
      <c r="H319" s="37">
        <v>190</v>
      </c>
      <c r="I319" s="23">
        <v>41183</v>
      </c>
      <c r="J319" s="37">
        <v>38</v>
      </c>
      <c r="K319" s="24" t="s">
        <v>550</v>
      </c>
      <c r="L319" s="24">
        <v>0</v>
      </c>
      <c r="M319" s="24">
        <v>41156</v>
      </c>
      <c r="N319" s="22" t="s">
        <v>576</v>
      </c>
      <c r="O319">
        <v>9130838</v>
      </c>
      <c r="P319" s="22">
        <v>720</v>
      </c>
      <c r="Q319" s="22">
        <v>42</v>
      </c>
      <c r="R319" s="22" t="s">
        <v>2391</v>
      </c>
      <c r="T319" s="4"/>
      <c r="U319" s="164"/>
      <c r="V319" s="4"/>
      <c r="Y319" s="28" t="e">
        <v>#REF!</v>
      </c>
      <c r="AA319" s="24">
        <v>0</v>
      </c>
      <c r="AB319" s="28">
        <v>0</v>
      </c>
    </row>
    <row r="320" spans="1:28" ht="14.25" customHeight="1" x14ac:dyDescent="0.4">
      <c r="A320">
        <v>508</v>
      </c>
      <c r="B320" s="24">
        <v>0</v>
      </c>
      <c r="C320" s="24">
        <v>0</v>
      </c>
      <c r="D320" s="24">
        <v>0</v>
      </c>
      <c r="E320" s="24">
        <v>0</v>
      </c>
      <c r="F320" s="24">
        <v>0</v>
      </c>
      <c r="G320" s="24">
        <v>0</v>
      </c>
      <c r="H320" s="37">
        <v>191</v>
      </c>
      <c r="I320" s="23">
        <v>41183</v>
      </c>
      <c r="J320" s="37">
        <v>39</v>
      </c>
      <c r="K320" s="24" t="s">
        <v>550</v>
      </c>
      <c r="L320" s="24">
        <v>0</v>
      </c>
      <c r="M320" s="24">
        <v>41156</v>
      </c>
      <c r="N320" s="22" t="s">
        <v>576</v>
      </c>
      <c r="O320">
        <v>9130842</v>
      </c>
      <c r="P320" s="22">
        <v>720</v>
      </c>
      <c r="Q320" s="22">
        <v>42</v>
      </c>
      <c r="R320" s="22" t="s">
        <v>2392</v>
      </c>
      <c r="T320" s="4"/>
      <c r="U320" s="164"/>
      <c r="V320" s="4"/>
      <c r="Y320" s="28" t="e">
        <v>#REF!</v>
      </c>
      <c r="AA320" s="24">
        <v>0</v>
      </c>
      <c r="AB320" s="28">
        <v>0</v>
      </c>
    </row>
    <row r="321" spans="1:28" ht="14.25" customHeight="1" x14ac:dyDescent="0.4">
      <c r="A321">
        <v>509</v>
      </c>
      <c r="B321" s="24">
        <v>0</v>
      </c>
      <c r="C321" s="24">
        <v>0</v>
      </c>
      <c r="D321" s="24">
        <v>0</v>
      </c>
      <c r="E321" s="24">
        <v>0</v>
      </c>
      <c r="F321" s="24">
        <v>0</v>
      </c>
      <c r="G321" s="24">
        <v>0</v>
      </c>
      <c r="H321" s="37">
        <v>192</v>
      </c>
      <c r="I321" s="23">
        <v>41183</v>
      </c>
      <c r="J321" s="37">
        <v>40</v>
      </c>
      <c r="K321" s="24" t="s">
        <v>550</v>
      </c>
      <c r="L321" s="24">
        <v>0</v>
      </c>
      <c r="M321" s="24">
        <v>41156</v>
      </c>
      <c r="N321" s="22" t="s">
        <v>576</v>
      </c>
      <c r="O321">
        <v>9130843</v>
      </c>
      <c r="P321" s="22">
        <v>720</v>
      </c>
      <c r="Q321" s="22">
        <v>42</v>
      </c>
      <c r="R321" s="22" t="s">
        <v>2393</v>
      </c>
      <c r="T321" s="4"/>
      <c r="U321" s="164"/>
      <c r="V321" s="4"/>
      <c r="Y321" s="28" t="e">
        <v>#REF!</v>
      </c>
      <c r="AA321" s="24">
        <v>0</v>
      </c>
      <c r="AB321" s="28">
        <v>0</v>
      </c>
    </row>
    <row r="322" spans="1:28" ht="14.25" customHeight="1" x14ac:dyDescent="0.4">
      <c r="A322">
        <v>510</v>
      </c>
      <c r="B322" s="24">
        <v>0</v>
      </c>
      <c r="C322" s="24">
        <v>0</v>
      </c>
      <c r="D322" s="24">
        <v>0</v>
      </c>
      <c r="E322" s="24">
        <v>0</v>
      </c>
      <c r="F322" s="24">
        <v>0</v>
      </c>
      <c r="G322" s="24">
        <v>0</v>
      </c>
      <c r="H322" s="37">
        <v>193</v>
      </c>
      <c r="I322" s="23">
        <v>41183</v>
      </c>
      <c r="J322" s="37">
        <v>41</v>
      </c>
      <c r="K322" s="24" t="s">
        <v>550</v>
      </c>
      <c r="L322" s="24">
        <v>0</v>
      </c>
      <c r="M322" s="24">
        <v>41156</v>
      </c>
      <c r="N322" s="22" t="s">
        <v>576</v>
      </c>
      <c r="O322">
        <v>9130845</v>
      </c>
      <c r="P322" s="22">
        <v>720</v>
      </c>
      <c r="Q322" s="22">
        <v>42</v>
      </c>
      <c r="R322" s="22" t="s">
        <v>2394</v>
      </c>
      <c r="T322" s="4"/>
      <c r="U322" s="164"/>
      <c r="V322" s="4"/>
      <c r="W322" s="62"/>
      <c r="Y322" s="28" t="e">
        <v>#REF!</v>
      </c>
      <c r="AA322" s="24">
        <v>0</v>
      </c>
      <c r="AB322" s="28">
        <v>0</v>
      </c>
    </row>
    <row r="323" spans="1:28" s="4" customFormat="1" ht="14.25" customHeight="1" x14ac:dyDescent="0.4">
      <c r="A323">
        <v>511</v>
      </c>
      <c r="B323" s="24">
        <v>0</v>
      </c>
      <c r="C323" s="24">
        <v>0</v>
      </c>
      <c r="D323" s="24">
        <v>0</v>
      </c>
      <c r="E323" s="24">
        <v>0</v>
      </c>
      <c r="F323" s="24">
        <v>0</v>
      </c>
      <c r="G323" s="24">
        <v>0</v>
      </c>
      <c r="H323" s="37">
        <v>194</v>
      </c>
      <c r="I323" s="23">
        <v>41183</v>
      </c>
      <c r="J323" s="37">
        <v>42</v>
      </c>
      <c r="K323" s="24" t="s">
        <v>550</v>
      </c>
      <c r="L323" s="24">
        <v>0</v>
      </c>
      <c r="M323" s="24">
        <v>41156</v>
      </c>
      <c r="N323" s="22" t="s">
        <v>576</v>
      </c>
      <c r="O323">
        <v>9130846</v>
      </c>
      <c r="P323" s="22">
        <v>720</v>
      </c>
      <c r="Q323" s="22">
        <v>42</v>
      </c>
      <c r="R323" s="22" t="s">
        <v>2395</v>
      </c>
      <c r="S323" s="3"/>
      <c r="U323" s="164"/>
      <c r="W323" s="1"/>
      <c r="X323" s="75"/>
      <c r="Y323" s="28" t="e">
        <v>#REF!</v>
      </c>
      <c r="Z323" s="1"/>
      <c r="AA323" s="24">
        <v>0</v>
      </c>
      <c r="AB323" s="28">
        <v>0</v>
      </c>
    </row>
    <row r="324" spans="1:28" ht="14.25" customHeight="1" x14ac:dyDescent="0.4">
      <c r="A324">
        <v>72</v>
      </c>
      <c r="B324" s="24">
        <v>0</v>
      </c>
      <c r="C324" s="24">
        <v>0</v>
      </c>
      <c r="D324" s="24">
        <v>0</v>
      </c>
      <c r="E324" s="24">
        <v>0</v>
      </c>
      <c r="F324" s="24">
        <v>0</v>
      </c>
      <c r="G324" s="24">
        <v>0</v>
      </c>
      <c r="H324" s="37">
        <v>173</v>
      </c>
      <c r="I324" s="23">
        <v>41183</v>
      </c>
      <c r="J324" s="37">
        <v>21</v>
      </c>
      <c r="K324" s="24" t="s">
        <v>550</v>
      </c>
      <c r="L324" s="24">
        <v>41183</v>
      </c>
      <c r="M324" s="24">
        <v>41064</v>
      </c>
      <c r="N324" s="22" t="s">
        <v>576</v>
      </c>
      <c r="O324">
        <v>9130104</v>
      </c>
      <c r="P324" s="22">
        <v>720</v>
      </c>
      <c r="Q324" s="22">
        <v>42</v>
      </c>
      <c r="R324" s="22" t="s">
        <v>2396</v>
      </c>
      <c r="S324" s="4"/>
      <c r="T324" s="4"/>
      <c r="U324" s="44"/>
      <c r="V324" s="4"/>
      <c r="W324" s="9"/>
      <c r="X324" s="74"/>
      <c r="Y324" s="28" t="e">
        <v>#REF!</v>
      </c>
      <c r="Z324" s="9"/>
      <c r="AA324" s="24">
        <v>0</v>
      </c>
      <c r="AB324" s="28">
        <v>0</v>
      </c>
    </row>
    <row r="325" spans="1:28" s="4" customFormat="1" ht="14.25" customHeight="1" x14ac:dyDescent="0.4">
      <c r="A325">
        <v>506</v>
      </c>
      <c r="B325" s="24">
        <v>41176</v>
      </c>
      <c r="C325" s="24">
        <v>41176</v>
      </c>
      <c r="D325" s="24">
        <v>41176</v>
      </c>
      <c r="E325" s="24">
        <v>41176</v>
      </c>
      <c r="F325" s="24" t="s">
        <v>393</v>
      </c>
      <c r="G325" s="24">
        <v>41180</v>
      </c>
      <c r="H325" s="37">
        <v>140</v>
      </c>
      <c r="I325" s="23">
        <v>41153</v>
      </c>
      <c r="J325" s="37">
        <v>45</v>
      </c>
      <c r="K325" s="24" t="s">
        <v>550</v>
      </c>
      <c r="L325" s="24">
        <v>0</v>
      </c>
      <c r="M325" s="24">
        <v>41156</v>
      </c>
      <c r="N325" s="22" t="s">
        <v>286</v>
      </c>
      <c r="O325">
        <v>9130837</v>
      </c>
      <c r="P325" s="22">
        <v>720</v>
      </c>
      <c r="Q325" s="22">
        <v>42</v>
      </c>
      <c r="R325" s="22" t="s">
        <v>2397</v>
      </c>
      <c r="S325" s="3"/>
      <c r="U325" s="164"/>
      <c r="W325" s="1"/>
      <c r="X325" s="75"/>
      <c r="Y325" s="28" t="e">
        <v>#REF!</v>
      </c>
      <c r="Z325" s="1"/>
      <c r="AA325" s="24" t="s">
        <v>393</v>
      </c>
      <c r="AB325" s="28">
        <v>41180</v>
      </c>
    </row>
    <row r="326" spans="1:28" s="4" customFormat="1" ht="14.25" customHeight="1" x14ac:dyDescent="0.4">
      <c r="A326">
        <v>66</v>
      </c>
      <c r="B326" s="24">
        <v>41129</v>
      </c>
      <c r="C326" s="24">
        <v>41129</v>
      </c>
      <c r="D326" s="24">
        <v>41129</v>
      </c>
      <c r="E326" s="24">
        <v>41129</v>
      </c>
      <c r="F326" s="24" t="s">
        <v>392</v>
      </c>
      <c r="G326" s="24">
        <v>41152</v>
      </c>
      <c r="H326" s="37">
        <v>47</v>
      </c>
      <c r="I326" s="23">
        <v>41122</v>
      </c>
      <c r="J326" s="37">
        <v>15</v>
      </c>
      <c r="K326" s="24" t="s">
        <v>550</v>
      </c>
      <c r="L326" s="24">
        <v>41122</v>
      </c>
      <c r="M326" s="24">
        <v>41064</v>
      </c>
      <c r="N326" s="22" t="s">
        <v>286</v>
      </c>
      <c r="O326">
        <v>9130097</v>
      </c>
      <c r="P326" s="22">
        <v>1025</v>
      </c>
      <c r="Q326" s="22">
        <v>42</v>
      </c>
      <c r="R326" s="22" t="s">
        <v>2398</v>
      </c>
      <c r="U326" s="44"/>
      <c r="W326" s="9"/>
      <c r="X326" s="74">
        <v>0</v>
      </c>
      <c r="Y326" s="28" t="e">
        <v>#REF!</v>
      </c>
      <c r="Z326" s="9"/>
      <c r="AA326" s="24" t="s">
        <v>392</v>
      </c>
      <c r="AB326" s="28">
        <v>41152</v>
      </c>
    </row>
    <row r="327" spans="1:28" ht="14.25" customHeight="1" x14ac:dyDescent="0.4">
      <c r="A327">
        <v>67</v>
      </c>
      <c r="B327" s="24">
        <v>41165</v>
      </c>
      <c r="C327" s="24">
        <v>41165</v>
      </c>
      <c r="D327" s="24">
        <v>41165</v>
      </c>
      <c r="E327" s="24">
        <v>41165</v>
      </c>
      <c r="F327" s="24" t="s">
        <v>392</v>
      </c>
      <c r="G327" s="24">
        <v>41179</v>
      </c>
      <c r="H327" s="37">
        <v>119</v>
      </c>
      <c r="I327" s="23">
        <v>41153</v>
      </c>
      <c r="J327" s="37">
        <v>24</v>
      </c>
      <c r="K327" s="24" t="s">
        <v>550</v>
      </c>
      <c r="L327" s="24">
        <v>41153</v>
      </c>
      <c r="M327" s="24">
        <v>41064</v>
      </c>
      <c r="N327" s="22" t="s">
        <v>286</v>
      </c>
      <c r="O327">
        <v>9130098</v>
      </c>
      <c r="P327" s="22">
        <v>1025</v>
      </c>
      <c r="Q327" s="22">
        <v>42</v>
      </c>
      <c r="R327" s="22" t="s">
        <v>2399</v>
      </c>
      <c r="S327" s="4"/>
      <c r="T327" s="4"/>
      <c r="U327" s="44"/>
      <c r="V327" s="4"/>
      <c r="W327" s="43"/>
      <c r="Y327" s="28" t="e">
        <v>#REF!</v>
      </c>
      <c r="AA327" s="24" t="s">
        <v>392</v>
      </c>
      <c r="AB327" s="28">
        <v>41179</v>
      </c>
    </row>
    <row r="328" spans="1:28" ht="14.25" customHeight="1" x14ac:dyDescent="0.4">
      <c r="A328">
        <v>68</v>
      </c>
      <c r="B328" s="24">
        <v>41183</v>
      </c>
      <c r="C328" s="24">
        <v>41183</v>
      </c>
      <c r="D328" s="24">
        <v>41183</v>
      </c>
      <c r="E328" s="24">
        <v>41183</v>
      </c>
      <c r="F328" s="24" t="s">
        <v>422</v>
      </c>
      <c r="G328" s="24">
        <v>0</v>
      </c>
      <c r="H328" s="37">
        <v>154</v>
      </c>
      <c r="I328" s="23">
        <v>41183</v>
      </c>
      <c r="J328" s="37">
        <v>2</v>
      </c>
      <c r="K328" s="24" t="s">
        <v>550</v>
      </c>
      <c r="L328" s="24">
        <v>41183</v>
      </c>
      <c r="M328" s="24">
        <v>41064</v>
      </c>
      <c r="N328" s="22" t="s">
        <v>286</v>
      </c>
      <c r="O328">
        <v>9130099</v>
      </c>
      <c r="P328" s="22">
        <v>1025</v>
      </c>
      <c r="Q328" s="22">
        <v>42</v>
      </c>
      <c r="R328" s="22" t="s">
        <v>2400</v>
      </c>
      <c r="S328" s="4"/>
      <c r="T328" s="4"/>
      <c r="U328" s="44"/>
      <c r="V328" s="4"/>
      <c r="W328" s="9"/>
      <c r="X328" s="74"/>
      <c r="Y328" s="28" t="e">
        <v>#REF!</v>
      </c>
      <c r="Z328" s="9"/>
      <c r="AA328" s="24" t="s">
        <v>422</v>
      </c>
      <c r="AB328" s="28">
        <v>0</v>
      </c>
    </row>
    <row r="329" spans="1:28" ht="14.25" customHeight="1" x14ac:dyDescent="0.4">
      <c r="A329">
        <v>69</v>
      </c>
      <c r="B329" s="22">
        <v>0</v>
      </c>
      <c r="C329" s="22">
        <v>0</v>
      </c>
      <c r="D329" s="22">
        <v>0</v>
      </c>
      <c r="E329" s="24">
        <v>0</v>
      </c>
      <c r="F329" s="24">
        <v>0</v>
      </c>
      <c r="G329" s="24">
        <v>0</v>
      </c>
      <c r="H329" s="37">
        <v>240</v>
      </c>
      <c r="I329" s="23">
        <v>41214</v>
      </c>
      <c r="J329" s="37">
        <v>19</v>
      </c>
      <c r="K329" s="24" t="s">
        <v>550</v>
      </c>
      <c r="L329" s="24">
        <v>41214</v>
      </c>
      <c r="M329" s="24">
        <v>41064</v>
      </c>
      <c r="N329" s="22" t="s">
        <v>286</v>
      </c>
      <c r="O329">
        <v>9130100</v>
      </c>
      <c r="P329" s="22">
        <v>1025</v>
      </c>
      <c r="Q329" s="22">
        <v>42</v>
      </c>
      <c r="R329" s="22" t="s">
        <v>2401</v>
      </c>
      <c r="S329" s="1"/>
      <c r="T329" s="4"/>
      <c r="U329" s="44"/>
      <c r="V329" s="4"/>
      <c r="W329" s="9"/>
      <c r="X329" s="74"/>
      <c r="Y329" s="28" t="e">
        <v>#REF!</v>
      </c>
      <c r="Z329" s="9"/>
      <c r="AA329" s="24">
        <v>0</v>
      </c>
      <c r="AB329" s="28">
        <v>0</v>
      </c>
    </row>
    <row r="330" spans="1:28" s="4" customFormat="1" ht="14.25" customHeight="1" x14ac:dyDescent="0.4">
      <c r="A330">
        <v>70</v>
      </c>
      <c r="B330" s="24">
        <v>41134</v>
      </c>
      <c r="C330" s="24">
        <v>41134</v>
      </c>
      <c r="D330" s="24">
        <v>41134</v>
      </c>
      <c r="E330" s="24">
        <v>41134</v>
      </c>
      <c r="F330" s="24" t="s">
        <v>393</v>
      </c>
      <c r="G330" s="24">
        <v>41136</v>
      </c>
      <c r="H330" s="37">
        <v>56</v>
      </c>
      <c r="I330" s="23">
        <v>41122</v>
      </c>
      <c r="J330" s="37">
        <v>24</v>
      </c>
      <c r="K330" s="24" t="s">
        <v>550</v>
      </c>
      <c r="L330" s="24">
        <v>41122</v>
      </c>
      <c r="M330" s="24">
        <v>41064</v>
      </c>
      <c r="N330" s="22" t="s">
        <v>286</v>
      </c>
      <c r="O330">
        <v>9130101</v>
      </c>
      <c r="P330" s="22">
        <v>720</v>
      </c>
      <c r="Q330" s="22">
        <v>42</v>
      </c>
      <c r="R330" s="22" t="s">
        <v>2402</v>
      </c>
      <c r="U330" s="44"/>
      <c r="W330" s="9"/>
      <c r="X330" s="74">
        <v>0</v>
      </c>
      <c r="Y330" s="28" t="e">
        <v>#REF!</v>
      </c>
      <c r="Z330" s="9"/>
      <c r="AA330" s="24" t="s">
        <v>393</v>
      </c>
      <c r="AB330" s="28">
        <v>41136</v>
      </c>
    </row>
    <row r="331" spans="1:28" s="4" customFormat="1" ht="14.25" customHeight="1" x14ac:dyDescent="0.4">
      <c r="A331">
        <v>71</v>
      </c>
      <c r="B331" s="24">
        <v>41145</v>
      </c>
      <c r="C331" s="24">
        <v>41145</v>
      </c>
      <c r="D331" s="24">
        <v>41145</v>
      </c>
      <c r="E331" s="24">
        <v>41145</v>
      </c>
      <c r="F331" s="24" t="s">
        <v>393</v>
      </c>
      <c r="G331" s="24">
        <v>41151</v>
      </c>
      <c r="H331" s="37">
        <v>83</v>
      </c>
      <c r="I331" s="23">
        <v>41122</v>
      </c>
      <c r="J331" s="37">
        <v>51</v>
      </c>
      <c r="K331" s="24" t="s">
        <v>550</v>
      </c>
      <c r="L331" s="24">
        <v>41153</v>
      </c>
      <c r="M331" s="24">
        <v>41064</v>
      </c>
      <c r="N331" s="22" t="s">
        <v>286</v>
      </c>
      <c r="O331">
        <v>9130103</v>
      </c>
      <c r="P331" s="22">
        <v>720</v>
      </c>
      <c r="Q331" s="22">
        <v>42</v>
      </c>
      <c r="R331" s="22" t="s">
        <v>2403</v>
      </c>
      <c r="S331" s="38"/>
      <c r="U331" s="44"/>
      <c r="W331" s="57"/>
      <c r="X331" s="74"/>
      <c r="Y331" s="28" t="e">
        <v>#REF!</v>
      </c>
      <c r="Z331" s="1"/>
      <c r="AA331" s="24" t="s">
        <v>393</v>
      </c>
      <c r="AB331" s="28">
        <v>41151</v>
      </c>
    </row>
    <row r="332" spans="1:28" s="4" customFormat="1" ht="14.25" customHeight="1" x14ac:dyDescent="0.4">
      <c r="A332">
        <v>73</v>
      </c>
      <c r="B332" s="24">
        <v>0</v>
      </c>
      <c r="C332" s="24">
        <v>0</v>
      </c>
      <c r="D332" s="24">
        <v>0</v>
      </c>
      <c r="E332" s="24">
        <v>0</v>
      </c>
      <c r="F332" s="24">
        <v>0</v>
      </c>
      <c r="G332" s="24">
        <v>0</v>
      </c>
      <c r="H332" s="37">
        <v>437</v>
      </c>
      <c r="I332" s="23">
        <v>41306</v>
      </c>
      <c r="J332" s="37">
        <v>42</v>
      </c>
      <c r="K332" s="24" t="s">
        <v>550</v>
      </c>
      <c r="L332" s="24">
        <v>41306</v>
      </c>
      <c r="M332" s="24">
        <v>41064</v>
      </c>
      <c r="N332" s="22" t="s">
        <v>286</v>
      </c>
      <c r="O332">
        <v>9130105</v>
      </c>
      <c r="P332" s="22">
        <v>720</v>
      </c>
      <c r="Q332" s="22">
        <v>42</v>
      </c>
      <c r="R332" s="22" t="s">
        <v>2404</v>
      </c>
      <c r="S332"/>
      <c r="U332" s="164"/>
      <c r="W332" s="43"/>
      <c r="X332" s="75"/>
      <c r="Y332" s="28" t="e">
        <v>#REF!</v>
      </c>
      <c r="Z332" s="1"/>
      <c r="AA332" s="24">
        <v>0</v>
      </c>
      <c r="AB332" s="28">
        <v>0</v>
      </c>
    </row>
    <row r="333" spans="1:28" s="4" customFormat="1" ht="14.25" customHeight="1" x14ac:dyDescent="0.4">
      <c r="A333">
        <v>74</v>
      </c>
      <c r="B333" s="24">
        <v>0</v>
      </c>
      <c r="C333" s="24">
        <v>0</v>
      </c>
      <c r="D333" s="24">
        <v>0</v>
      </c>
      <c r="E333" s="24">
        <v>0</v>
      </c>
      <c r="F333" s="24">
        <v>0</v>
      </c>
      <c r="G333" s="24">
        <v>0</v>
      </c>
      <c r="H333" s="37">
        <v>438</v>
      </c>
      <c r="I333" s="23">
        <v>41306</v>
      </c>
      <c r="J333" s="37">
        <v>43</v>
      </c>
      <c r="K333" s="24" t="s">
        <v>550</v>
      </c>
      <c r="L333" s="24">
        <v>41306</v>
      </c>
      <c r="M333" s="24">
        <v>41064</v>
      </c>
      <c r="N333" s="22" t="s">
        <v>286</v>
      </c>
      <c r="O333">
        <v>9130106</v>
      </c>
      <c r="P333" s="22">
        <v>720</v>
      </c>
      <c r="Q333" s="22">
        <v>42</v>
      </c>
      <c r="R333" s="22" t="s">
        <v>2405</v>
      </c>
      <c r="S333" s="61"/>
      <c r="U333" s="164"/>
      <c r="W333" s="43"/>
      <c r="X333" s="75"/>
      <c r="Y333" s="28" t="e">
        <v>#REF!</v>
      </c>
      <c r="Z333" s="1"/>
      <c r="AA333" s="24">
        <v>0</v>
      </c>
      <c r="AB333" s="28">
        <v>0</v>
      </c>
    </row>
    <row r="334" spans="1:28" s="4" customFormat="1" ht="14.25" customHeight="1" x14ac:dyDescent="0.4">
      <c r="A334">
        <v>75</v>
      </c>
      <c r="B334" s="24">
        <v>0</v>
      </c>
      <c r="C334" s="24">
        <v>0</v>
      </c>
      <c r="D334" s="24">
        <v>0</v>
      </c>
      <c r="E334" s="24">
        <v>0</v>
      </c>
      <c r="F334" s="24">
        <v>0</v>
      </c>
      <c r="G334" s="24">
        <v>0</v>
      </c>
      <c r="H334" s="37">
        <v>495</v>
      </c>
      <c r="I334" s="23">
        <v>41334</v>
      </c>
      <c r="J334" s="37">
        <v>41</v>
      </c>
      <c r="K334" s="24" t="s">
        <v>550</v>
      </c>
      <c r="L334" s="24">
        <v>41334</v>
      </c>
      <c r="M334" s="24">
        <v>41064</v>
      </c>
      <c r="N334" s="22" t="s">
        <v>286</v>
      </c>
      <c r="O334">
        <v>9130108</v>
      </c>
      <c r="P334" s="22">
        <v>720</v>
      </c>
      <c r="Q334" s="22">
        <v>42</v>
      </c>
      <c r="R334" s="22" t="s">
        <v>2406</v>
      </c>
      <c r="S334" s="61"/>
      <c r="U334" s="164"/>
      <c r="W334" s="43"/>
      <c r="X334" s="75"/>
      <c r="Y334" s="28" t="e">
        <v>#REF!</v>
      </c>
      <c r="Z334" s="1"/>
      <c r="AA334" s="24">
        <v>0</v>
      </c>
      <c r="AB334" s="28">
        <v>0</v>
      </c>
    </row>
    <row r="335" spans="1:28" s="4" customFormat="1" ht="14.25" customHeight="1" x14ac:dyDescent="0.4">
      <c r="A335">
        <v>517</v>
      </c>
      <c r="B335" s="22">
        <v>0</v>
      </c>
      <c r="C335" s="22" t="s">
        <v>2165</v>
      </c>
      <c r="D335" s="22">
        <v>0</v>
      </c>
      <c r="E335" s="24">
        <v>41177</v>
      </c>
      <c r="F335" s="24" t="s">
        <v>392</v>
      </c>
      <c r="G335" s="24">
        <v>41179</v>
      </c>
      <c r="H335" s="37">
        <v>142</v>
      </c>
      <c r="I335" s="23">
        <v>41153</v>
      </c>
      <c r="J335" s="37">
        <v>47</v>
      </c>
      <c r="K335" s="24" t="s">
        <v>550</v>
      </c>
      <c r="L335" s="24">
        <v>41153</v>
      </c>
      <c r="M335" s="24">
        <v>41165</v>
      </c>
      <c r="N335" s="22" t="s">
        <v>286</v>
      </c>
      <c r="O335">
        <v>9130859</v>
      </c>
      <c r="P335" s="22">
        <v>720</v>
      </c>
      <c r="Q335" s="22">
        <v>42</v>
      </c>
      <c r="R335" s="22" t="s">
        <v>2407</v>
      </c>
      <c r="U335" s="44"/>
      <c r="W335" s="9"/>
      <c r="X335" s="74"/>
      <c r="Y335" s="28" t="e">
        <v>#REF!</v>
      </c>
      <c r="Z335" s="9"/>
      <c r="AA335" s="24" t="s">
        <v>392</v>
      </c>
      <c r="AB335" s="28">
        <v>41179</v>
      </c>
    </row>
    <row r="336" spans="1:28" s="4" customFormat="1" ht="14.25" customHeight="1" x14ac:dyDescent="0.4">
      <c r="A336">
        <v>518</v>
      </c>
      <c r="B336" s="22">
        <v>0</v>
      </c>
      <c r="C336" s="22" t="s">
        <v>2165</v>
      </c>
      <c r="D336" s="22">
        <v>0</v>
      </c>
      <c r="E336" s="24">
        <v>0</v>
      </c>
      <c r="F336" s="24">
        <v>0</v>
      </c>
      <c r="G336" s="24">
        <v>0</v>
      </c>
      <c r="H336" s="37">
        <v>512</v>
      </c>
      <c r="I336" s="23">
        <v>41365</v>
      </c>
      <c r="J336" s="37">
        <v>1</v>
      </c>
      <c r="K336" s="24" t="s">
        <v>550</v>
      </c>
      <c r="L336" s="24">
        <v>41365</v>
      </c>
      <c r="M336" s="24">
        <v>41165</v>
      </c>
      <c r="N336" s="22" t="s">
        <v>286</v>
      </c>
      <c r="O336">
        <v>9130863</v>
      </c>
      <c r="P336" s="22">
        <v>1025</v>
      </c>
      <c r="Q336" s="22">
        <v>42</v>
      </c>
      <c r="R336" s="22" t="s">
        <v>2408</v>
      </c>
      <c r="U336" s="44"/>
      <c r="W336" s="127"/>
      <c r="X336" s="74"/>
      <c r="Y336" s="28" t="e">
        <v>#REF!</v>
      </c>
      <c r="Z336" s="9"/>
      <c r="AA336" s="24">
        <v>0</v>
      </c>
      <c r="AB336" s="28">
        <v>0</v>
      </c>
    </row>
    <row r="337" spans="1:28" s="4" customFormat="1" ht="14.25" customHeight="1" x14ac:dyDescent="0.4">
      <c r="A337">
        <v>519</v>
      </c>
      <c r="B337" s="22">
        <v>0</v>
      </c>
      <c r="C337" s="22" t="s">
        <v>2165</v>
      </c>
      <c r="D337" s="22">
        <v>0</v>
      </c>
      <c r="E337" s="24">
        <v>0</v>
      </c>
      <c r="F337" s="24">
        <v>0</v>
      </c>
      <c r="G337" s="24">
        <v>0</v>
      </c>
      <c r="H337" s="37">
        <v>513</v>
      </c>
      <c r="I337" s="23">
        <v>41365</v>
      </c>
      <c r="J337" s="37">
        <v>2</v>
      </c>
      <c r="K337" s="24" t="s">
        <v>550</v>
      </c>
      <c r="L337" s="24">
        <v>41365</v>
      </c>
      <c r="M337" s="24">
        <v>41165</v>
      </c>
      <c r="N337" s="22" t="s">
        <v>286</v>
      </c>
      <c r="O337">
        <v>9130864</v>
      </c>
      <c r="P337" s="22">
        <v>1025</v>
      </c>
      <c r="Q337" s="22">
        <v>42</v>
      </c>
      <c r="R337" s="22" t="s">
        <v>2409</v>
      </c>
      <c r="U337" s="44"/>
      <c r="W337" s="57"/>
      <c r="X337" s="74"/>
      <c r="Y337" s="28" t="e">
        <v>#REF!</v>
      </c>
      <c r="Z337" s="28"/>
      <c r="AA337" s="24">
        <v>0</v>
      </c>
      <c r="AB337" s="28">
        <v>0</v>
      </c>
    </row>
    <row r="338" spans="1:28" s="4" customFormat="1" ht="14.25" customHeight="1" x14ac:dyDescent="0.4">
      <c r="A338">
        <v>520</v>
      </c>
      <c r="B338" s="22">
        <v>0</v>
      </c>
      <c r="C338" s="22" t="s">
        <v>2165</v>
      </c>
      <c r="D338" s="22">
        <v>0</v>
      </c>
      <c r="E338" s="24">
        <v>0</v>
      </c>
      <c r="F338" s="24">
        <v>0</v>
      </c>
      <c r="G338" s="24">
        <v>0</v>
      </c>
      <c r="H338" s="37">
        <v>514</v>
      </c>
      <c r="I338" s="23">
        <v>41365</v>
      </c>
      <c r="J338" s="37">
        <v>3</v>
      </c>
      <c r="K338" s="24" t="s">
        <v>550</v>
      </c>
      <c r="L338" s="24">
        <v>41365</v>
      </c>
      <c r="M338" s="24">
        <v>41165</v>
      </c>
      <c r="N338" s="22" t="s">
        <v>286</v>
      </c>
      <c r="O338">
        <v>9130865</v>
      </c>
      <c r="P338" s="22">
        <v>720</v>
      </c>
      <c r="Q338" s="22">
        <v>42</v>
      </c>
      <c r="R338" s="22" t="s">
        <v>2410</v>
      </c>
      <c r="U338" s="44"/>
      <c r="W338" s="44"/>
      <c r="X338" s="74"/>
      <c r="Y338" s="28" t="e">
        <v>#REF!</v>
      </c>
      <c r="Z338" s="9"/>
      <c r="AA338" s="24">
        <v>0</v>
      </c>
      <c r="AB338" s="28">
        <v>0</v>
      </c>
    </row>
    <row r="339" spans="1:28" ht="14.25" customHeight="1" x14ac:dyDescent="0.4">
      <c r="A339">
        <v>521</v>
      </c>
      <c r="B339" s="24">
        <v>0</v>
      </c>
      <c r="C339" s="24">
        <v>0</v>
      </c>
      <c r="D339" s="24">
        <v>0</v>
      </c>
      <c r="E339" s="24">
        <v>0</v>
      </c>
      <c r="F339" s="24">
        <v>0</v>
      </c>
      <c r="G339" s="24">
        <v>0</v>
      </c>
      <c r="H339" s="37">
        <v>515</v>
      </c>
      <c r="I339" s="23">
        <v>41365</v>
      </c>
      <c r="J339" s="37">
        <v>4</v>
      </c>
      <c r="K339" s="24" t="s">
        <v>550</v>
      </c>
      <c r="L339" s="24">
        <v>41365</v>
      </c>
      <c r="M339" s="24">
        <v>41165</v>
      </c>
      <c r="N339" s="22" t="s">
        <v>286</v>
      </c>
      <c r="O339">
        <v>9130868</v>
      </c>
      <c r="P339" s="22">
        <v>720</v>
      </c>
      <c r="Q339" s="22">
        <v>42</v>
      </c>
      <c r="R339" s="22" t="s">
        <v>2411</v>
      </c>
      <c r="S339" s="4"/>
      <c r="T339" s="4"/>
      <c r="U339" s="44"/>
      <c r="V339" s="4"/>
      <c r="W339" s="9"/>
      <c r="X339" s="74">
        <v>0</v>
      </c>
      <c r="Y339" s="28" t="e">
        <v>#REF!</v>
      </c>
      <c r="Z339" s="9"/>
      <c r="AA339" s="24">
        <v>0</v>
      </c>
      <c r="AB339" s="28">
        <v>0</v>
      </c>
    </row>
    <row r="340" spans="1:28" ht="14.25" customHeight="1" x14ac:dyDescent="0.4">
      <c r="A340">
        <v>89</v>
      </c>
      <c r="B340" s="24">
        <v>41108</v>
      </c>
      <c r="C340" s="24">
        <v>41108</v>
      </c>
      <c r="D340" s="24">
        <v>41108</v>
      </c>
      <c r="E340" s="24">
        <v>41108</v>
      </c>
      <c r="F340" s="24" t="s">
        <v>393</v>
      </c>
      <c r="G340" s="24">
        <v>41130</v>
      </c>
      <c r="H340" s="37">
        <v>14</v>
      </c>
      <c r="I340" s="23">
        <v>41091</v>
      </c>
      <c r="J340" s="37">
        <v>14</v>
      </c>
      <c r="K340" s="24" t="s">
        <v>411</v>
      </c>
      <c r="L340" s="24">
        <v>41091</v>
      </c>
      <c r="M340" s="24">
        <v>41067</v>
      </c>
      <c r="N340" s="22" t="s">
        <v>1412</v>
      </c>
      <c r="O340">
        <v>9130131</v>
      </c>
      <c r="P340" s="22">
        <v>1020</v>
      </c>
      <c r="Q340" s="22">
        <v>50</v>
      </c>
      <c r="R340" s="22" t="s">
        <v>2412</v>
      </c>
      <c r="S340" s="3" t="s">
        <v>477</v>
      </c>
      <c r="T340" s="4"/>
      <c r="U340" s="164"/>
      <c r="V340" s="4"/>
      <c r="W340" s="43"/>
      <c r="Y340" s="28" t="e">
        <v>#REF!</v>
      </c>
      <c r="AA340" s="24" t="s">
        <v>393</v>
      </c>
      <c r="AB340" s="28">
        <v>41130</v>
      </c>
    </row>
    <row r="341" spans="1:28" s="4" customFormat="1" ht="14.25" customHeight="1" x14ac:dyDescent="0.4">
      <c r="A341">
        <v>90</v>
      </c>
      <c r="B341" s="24">
        <v>41138</v>
      </c>
      <c r="C341" s="24">
        <v>41138</v>
      </c>
      <c r="D341" s="24">
        <v>41138</v>
      </c>
      <c r="E341" s="24">
        <v>41138</v>
      </c>
      <c r="F341" s="24" t="s">
        <v>393</v>
      </c>
      <c r="G341" s="24">
        <v>41151</v>
      </c>
      <c r="H341" s="37">
        <v>67</v>
      </c>
      <c r="I341" s="23">
        <v>41122</v>
      </c>
      <c r="J341" s="37">
        <v>35</v>
      </c>
      <c r="K341" s="24" t="s">
        <v>411</v>
      </c>
      <c r="L341" s="24">
        <v>41091</v>
      </c>
      <c r="M341" s="24">
        <v>41067</v>
      </c>
      <c r="N341" s="22" t="s">
        <v>1412</v>
      </c>
      <c r="O341">
        <v>9130133</v>
      </c>
      <c r="P341" s="22" t="s">
        <v>2257</v>
      </c>
      <c r="Q341" s="22">
        <v>50</v>
      </c>
      <c r="R341" s="22" t="s">
        <v>2412</v>
      </c>
      <c r="S341" s="3" t="s">
        <v>477</v>
      </c>
      <c r="U341" s="164"/>
      <c r="W341" s="43"/>
      <c r="X341" s="75"/>
      <c r="Y341" s="28" t="e">
        <v>#REF!</v>
      </c>
      <c r="Z341" s="1"/>
      <c r="AA341" s="24" t="s">
        <v>393</v>
      </c>
      <c r="AB341" s="28">
        <v>41151</v>
      </c>
    </row>
    <row r="342" spans="1:28" s="4" customFormat="1" ht="14.25" customHeight="1" x14ac:dyDescent="0.4">
      <c r="A342">
        <v>91</v>
      </c>
      <c r="B342" s="24">
        <v>41138</v>
      </c>
      <c r="C342" s="24">
        <v>41138</v>
      </c>
      <c r="D342" s="24">
        <v>41138</v>
      </c>
      <c r="E342" s="24">
        <v>41138</v>
      </c>
      <c r="F342" s="24" t="s">
        <v>393</v>
      </c>
      <c r="G342" s="24">
        <v>41153</v>
      </c>
      <c r="H342" s="37">
        <v>68</v>
      </c>
      <c r="I342" s="23">
        <v>41122</v>
      </c>
      <c r="J342" s="37">
        <v>36</v>
      </c>
      <c r="K342" s="24" t="s">
        <v>411</v>
      </c>
      <c r="L342" s="24">
        <v>41091</v>
      </c>
      <c r="M342" s="24">
        <v>41067</v>
      </c>
      <c r="N342" s="22" t="s">
        <v>1412</v>
      </c>
      <c r="O342">
        <v>9130134</v>
      </c>
      <c r="P342" s="22" t="s">
        <v>2257</v>
      </c>
      <c r="Q342" s="22">
        <v>50</v>
      </c>
      <c r="R342" s="22" t="s">
        <v>2413</v>
      </c>
      <c r="S342" s="3"/>
      <c r="U342" s="164"/>
      <c r="W342" s="1"/>
      <c r="X342" s="75"/>
      <c r="Y342" s="28" t="e">
        <v>#REF!</v>
      </c>
      <c r="Z342" s="1"/>
      <c r="AA342" s="24" t="s">
        <v>393</v>
      </c>
      <c r="AB342" s="28">
        <v>41153</v>
      </c>
    </row>
    <row r="343" spans="1:28" s="4" customFormat="1" ht="14.25" customHeight="1" x14ac:dyDescent="0.4">
      <c r="A343">
        <v>453</v>
      </c>
      <c r="B343" s="24">
        <v>41124</v>
      </c>
      <c r="C343" s="24">
        <v>41124</v>
      </c>
      <c r="D343" s="24">
        <v>41124</v>
      </c>
      <c r="E343" s="24">
        <v>41124</v>
      </c>
      <c r="F343" s="24" t="s">
        <v>393</v>
      </c>
      <c r="G343" s="24">
        <v>41137</v>
      </c>
      <c r="H343" s="37">
        <v>38</v>
      </c>
      <c r="I343" s="23">
        <v>41122</v>
      </c>
      <c r="J343" s="37">
        <v>6</v>
      </c>
      <c r="K343" s="24" t="s">
        <v>411</v>
      </c>
      <c r="L343" s="24">
        <v>41091</v>
      </c>
      <c r="M343" s="24">
        <v>41101</v>
      </c>
      <c r="N343" s="22" t="s">
        <v>1412</v>
      </c>
      <c r="O343">
        <v>9130731</v>
      </c>
      <c r="P343" s="22">
        <v>720</v>
      </c>
      <c r="Q343" s="22">
        <v>42</v>
      </c>
      <c r="R343" s="22" t="s">
        <v>2413</v>
      </c>
      <c r="U343" s="44"/>
      <c r="W343" s="57"/>
      <c r="X343" s="74"/>
      <c r="Y343" s="28" t="e">
        <v>#REF!</v>
      </c>
      <c r="Z343" s="28"/>
      <c r="AA343" s="24" t="s">
        <v>393</v>
      </c>
      <c r="AB343" s="28">
        <v>41137</v>
      </c>
    </row>
    <row r="344" spans="1:28" s="4" customFormat="1" ht="14.25" customHeight="1" x14ac:dyDescent="0.4">
      <c r="A344">
        <v>454</v>
      </c>
      <c r="B344" s="22">
        <v>0</v>
      </c>
      <c r="C344" s="22" t="s">
        <v>2165</v>
      </c>
      <c r="D344" s="22">
        <v>0</v>
      </c>
      <c r="E344" s="24">
        <v>41130</v>
      </c>
      <c r="F344" s="24" t="s">
        <v>393</v>
      </c>
      <c r="G344" s="24">
        <v>41131</v>
      </c>
      <c r="H344" s="37">
        <v>49</v>
      </c>
      <c r="I344" s="23">
        <v>41122</v>
      </c>
      <c r="J344" s="37">
        <v>17</v>
      </c>
      <c r="K344" s="24" t="s">
        <v>411</v>
      </c>
      <c r="L344" s="24">
        <v>41122</v>
      </c>
      <c r="M344" s="24">
        <v>41108</v>
      </c>
      <c r="N344" s="22" t="s">
        <v>566</v>
      </c>
      <c r="O344">
        <v>9130732</v>
      </c>
      <c r="P344" s="22">
        <v>1020</v>
      </c>
      <c r="Q344" s="22">
        <v>50</v>
      </c>
      <c r="R344" s="22" t="s">
        <v>694</v>
      </c>
      <c r="S344" s="3" t="s">
        <v>478</v>
      </c>
      <c r="U344" s="164"/>
      <c r="W344" s="1"/>
      <c r="X344" s="75"/>
      <c r="Y344" s="28" t="e">
        <v>#REF!</v>
      </c>
      <c r="Z344" s="1"/>
      <c r="AA344" s="24" t="s">
        <v>393</v>
      </c>
      <c r="AB344" s="28">
        <v>41131</v>
      </c>
    </row>
    <row r="345" spans="1:28" s="4" customFormat="1" ht="14.25" customHeight="1" x14ac:dyDescent="0.4">
      <c r="A345">
        <v>455</v>
      </c>
      <c r="B345" s="22">
        <v>0</v>
      </c>
      <c r="C345" s="22">
        <v>0</v>
      </c>
      <c r="D345" s="22">
        <v>0</v>
      </c>
      <c r="E345" s="24">
        <v>41130</v>
      </c>
      <c r="F345" s="24" t="s">
        <v>393</v>
      </c>
      <c r="G345" s="24">
        <v>41149</v>
      </c>
      <c r="H345" s="37">
        <v>50</v>
      </c>
      <c r="I345" s="23">
        <v>41122</v>
      </c>
      <c r="J345" s="37">
        <v>18</v>
      </c>
      <c r="K345" s="24" t="s">
        <v>411</v>
      </c>
      <c r="L345" s="24">
        <v>41122</v>
      </c>
      <c r="M345" s="24">
        <v>41108</v>
      </c>
      <c r="N345" s="22" t="s">
        <v>566</v>
      </c>
      <c r="O345">
        <v>9130733</v>
      </c>
      <c r="P345" s="22">
        <v>1020</v>
      </c>
      <c r="Q345" s="22">
        <v>50</v>
      </c>
      <c r="R345" s="22" t="s">
        <v>696</v>
      </c>
      <c r="S345" s="3" t="s">
        <v>478</v>
      </c>
      <c r="U345" s="164"/>
      <c r="W345" s="1"/>
      <c r="X345" s="75"/>
      <c r="Y345" s="28" t="e">
        <v>#REF!</v>
      </c>
      <c r="Z345" s="1"/>
      <c r="AA345" s="24" t="s">
        <v>393</v>
      </c>
      <c r="AB345" s="28">
        <v>41149</v>
      </c>
    </row>
    <row r="346" spans="1:28" s="4" customFormat="1" ht="14.25" customHeight="1" x14ac:dyDescent="0.4">
      <c r="A346">
        <v>456</v>
      </c>
      <c r="B346" s="24">
        <v>0</v>
      </c>
      <c r="C346" s="24">
        <v>0</v>
      </c>
      <c r="D346" s="24">
        <v>0</v>
      </c>
      <c r="E346" s="24">
        <v>0</v>
      </c>
      <c r="F346" s="24">
        <v>0</v>
      </c>
      <c r="G346" s="24">
        <v>0</v>
      </c>
      <c r="H346" s="37">
        <v>422</v>
      </c>
      <c r="I346" s="23">
        <v>41306</v>
      </c>
      <c r="J346" s="37">
        <v>27</v>
      </c>
      <c r="K346" s="24" t="s">
        <v>411</v>
      </c>
      <c r="L346" s="24">
        <v>41306</v>
      </c>
      <c r="M346" s="24">
        <v>41108</v>
      </c>
      <c r="N346" s="22" t="s">
        <v>566</v>
      </c>
      <c r="O346">
        <v>9130734</v>
      </c>
      <c r="P346" s="22">
        <v>1020</v>
      </c>
      <c r="Q346" s="22">
        <v>50</v>
      </c>
      <c r="R346" s="22" t="s">
        <v>698</v>
      </c>
      <c r="U346" s="44"/>
      <c r="W346" s="9"/>
      <c r="X346" s="74">
        <v>0</v>
      </c>
      <c r="Y346" s="28" t="e">
        <v>#REF!</v>
      </c>
      <c r="Z346" s="9"/>
      <c r="AA346" s="24">
        <v>0</v>
      </c>
      <c r="AB346" s="28">
        <v>0</v>
      </c>
    </row>
    <row r="347" spans="1:28" s="4" customFormat="1" ht="14.25" customHeight="1" x14ac:dyDescent="0.4">
      <c r="A347">
        <v>457</v>
      </c>
      <c r="B347" s="24">
        <v>0</v>
      </c>
      <c r="C347" s="24">
        <v>0</v>
      </c>
      <c r="D347" s="24">
        <v>0</v>
      </c>
      <c r="E347" s="24">
        <v>0</v>
      </c>
      <c r="F347" s="24">
        <v>0</v>
      </c>
      <c r="G347" s="24">
        <v>0</v>
      </c>
      <c r="H347" s="37">
        <v>423</v>
      </c>
      <c r="I347" s="23">
        <v>41306</v>
      </c>
      <c r="J347" s="37">
        <v>28</v>
      </c>
      <c r="K347" s="24" t="s">
        <v>411</v>
      </c>
      <c r="L347" s="24">
        <v>41306</v>
      </c>
      <c r="M347" s="24">
        <v>41108</v>
      </c>
      <c r="N347" s="22" t="s">
        <v>566</v>
      </c>
      <c r="O347">
        <v>9130735</v>
      </c>
      <c r="P347" s="22">
        <v>1020</v>
      </c>
      <c r="Q347" s="22">
        <v>50</v>
      </c>
      <c r="R347" s="22" t="s">
        <v>699</v>
      </c>
      <c r="U347" s="44"/>
      <c r="W347" s="9"/>
      <c r="X347" s="74">
        <v>0</v>
      </c>
      <c r="Y347" s="28" t="e">
        <v>#REF!</v>
      </c>
      <c r="Z347" s="9"/>
      <c r="AA347" s="24">
        <v>0</v>
      </c>
      <c r="AB347" s="28">
        <v>0</v>
      </c>
    </row>
    <row r="348" spans="1:28" s="4" customFormat="1" ht="14.25" customHeight="1" x14ac:dyDescent="0.4">
      <c r="A348">
        <v>197</v>
      </c>
      <c r="B348" s="22">
        <v>0</v>
      </c>
      <c r="C348" s="22" t="s">
        <v>2165</v>
      </c>
      <c r="D348" s="22">
        <v>0</v>
      </c>
      <c r="E348" s="24">
        <v>41106</v>
      </c>
      <c r="F348" s="24" t="s">
        <v>393</v>
      </c>
      <c r="G348" s="24">
        <v>41120</v>
      </c>
      <c r="H348" s="37">
        <v>9</v>
      </c>
      <c r="I348" s="23">
        <v>41091</v>
      </c>
      <c r="J348" s="37">
        <v>9</v>
      </c>
      <c r="K348" s="24" t="s">
        <v>411</v>
      </c>
      <c r="L348" s="24">
        <v>41091</v>
      </c>
      <c r="M348" s="24">
        <v>41074</v>
      </c>
      <c r="N348" s="22" t="s">
        <v>572</v>
      </c>
      <c r="O348">
        <v>9130698</v>
      </c>
      <c r="P348" s="22">
        <v>1020</v>
      </c>
      <c r="Q348" s="22">
        <v>42</v>
      </c>
      <c r="R348" s="22" t="s">
        <v>2414</v>
      </c>
      <c r="S348" s="3" t="s">
        <v>1372</v>
      </c>
      <c r="T348" s="4" t="s">
        <v>404</v>
      </c>
      <c r="U348" s="164">
        <v>41092</v>
      </c>
      <c r="W348" s="92"/>
      <c r="X348" s="74"/>
      <c r="Y348" s="28" t="e">
        <v>#REF!</v>
      </c>
      <c r="Z348" s="28"/>
      <c r="AA348" s="24" t="s">
        <v>393</v>
      </c>
      <c r="AB348" s="28">
        <v>41120</v>
      </c>
    </row>
    <row r="349" spans="1:28" s="4" customFormat="1" ht="14.25" customHeight="1" x14ac:dyDescent="0.4">
      <c r="A349">
        <v>198</v>
      </c>
      <c r="B349" s="24">
        <v>41128</v>
      </c>
      <c r="C349" s="24">
        <v>41128</v>
      </c>
      <c r="D349" s="24">
        <v>41128</v>
      </c>
      <c r="E349" s="24">
        <v>41128</v>
      </c>
      <c r="F349" s="24" t="s">
        <v>393</v>
      </c>
      <c r="G349" s="24">
        <v>41134</v>
      </c>
      <c r="H349" s="37">
        <v>42</v>
      </c>
      <c r="I349" s="23">
        <v>41122</v>
      </c>
      <c r="J349" s="37">
        <v>10</v>
      </c>
      <c r="K349" s="24" t="s">
        <v>411</v>
      </c>
      <c r="L349" s="24">
        <v>41091</v>
      </c>
      <c r="M349" s="24">
        <v>41074</v>
      </c>
      <c r="N349" s="22" t="s">
        <v>572</v>
      </c>
      <c r="O349">
        <v>9130700</v>
      </c>
      <c r="P349" s="22">
        <v>1020</v>
      </c>
      <c r="Q349" s="22">
        <v>50</v>
      </c>
      <c r="R349" s="22" t="s">
        <v>2415</v>
      </c>
      <c r="S349" s="3" t="s">
        <v>479</v>
      </c>
      <c r="U349" s="164"/>
      <c r="W349" s="157"/>
      <c r="X349" s="74"/>
      <c r="Y349" s="28" t="e">
        <v>#REF!</v>
      </c>
      <c r="Z349" s="28"/>
      <c r="AA349" s="24" t="s">
        <v>393</v>
      </c>
      <c r="AB349" s="28">
        <v>41134</v>
      </c>
    </row>
    <row r="350" spans="1:28" s="4" customFormat="1" ht="14.25" customHeight="1" x14ac:dyDescent="0.4">
      <c r="A350">
        <v>199</v>
      </c>
      <c r="B350" s="24">
        <v>41107</v>
      </c>
      <c r="C350" s="24">
        <v>41107</v>
      </c>
      <c r="D350" s="24">
        <v>41107</v>
      </c>
      <c r="E350" s="24">
        <v>41107</v>
      </c>
      <c r="F350" s="24" t="s">
        <v>393</v>
      </c>
      <c r="G350" s="24">
        <v>41121</v>
      </c>
      <c r="H350" s="37">
        <v>10</v>
      </c>
      <c r="I350" s="23">
        <v>41091</v>
      </c>
      <c r="J350" s="37">
        <v>10</v>
      </c>
      <c r="K350" s="24" t="s">
        <v>411</v>
      </c>
      <c r="L350" s="24">
        <v>41091</v>
      </c>
      <c r="M350" s="24">
        <v>41074</v>
      </c>
      <c r="N350" s="22" t="s">
        <v>572</v>
      </c>
      <c r="O350">
        <v>9130701</v>
      </c>
      <c r="P350" s="22">
        <v>1020</v>
      </c>
      <c r="Q350" s="22">
        <v>50</v>
      </c>
      <c r="R350" s="22" t="s">
        <v>2416</v>
      </c>
      <c r="S350" s="3" t="s">
        <v>480</v>
      </c>
      <c r="U350" s="164"/>
      <c r="W350" s="157"/>
      <c r="X350" s="74"/>
      <c r="Y350" s="28" t="e">
        <v>#REF!</v>
      </c>
      <c r="Z350" s="28"/>
      <c r="AA350" s="24" t="s">
        <v>393</v>
      </c>
      <c r="AB350" s="28">
        <v>41121</v>
      </c>
    </row>
    <row r="351" spans="1:28" s="4" customFormat="1" ht="14.25" customHeight="1" x14ac:dyDescent="0.4">
      <c r="A351">
        <v>436</v>
      </c>
      <c r="B351" s="24">
        <v>0</v>
      </c>
      <c r="C351" s="24">
        <v>0</v>
      </c>
      <c r="D351" s="24">
        <v>0</v>
      </c>
      <c r="E351" s="24">
        <v>0</v>
      </c>
      <c r="F351" s="24">
        <v>0</v>
      </c>
      <c r="G351" s="24">
        <v>0</v>
      </c>
      <c r="H351" s="37">
        <v>469</v>
      </c>
      <c r="I351" s="23">
        <v>41334</v>
      </c>
      <c r="J351" s="37">
        <v>15</v>
      </c>
      <c r="K351" s="24" t="s">
        <v>411</v>
      </c>
      <c r="L351" s="24">
        <v>41306</v>
      </c>
      <c r="M351" s="24">
        <v>41074</v>
      </c>
      <c r="N351" s="22" t="s">
        <v>572</v>
      </c>
      <c r="O351">
        <v>9130703</v>
      </c>
      <c r="P351" s="22">
        <v>1020</v>
      </c>
      <c r="Q351" s="22">
        <v>50</v>
      </c>
      <c r="R351" s="22" t="s">
        <v>2417</v>
      </c>
      <c r="S351" s="3"/>
      <c r="U351" s="44"/>
      <c r="W351" s="1"/>
      <c r="X351" s="75"/>
      <c r="Y351" s="28" t="e">
        <v>#REF!</v>
      </c>
      <c r="Z351" s="1"/>
      <c r="AA351" s="24">
        <v>0</v>
      </c>
      <c r="AB351" s="28">
        <v>0</v>
      </c>
    </row>
    <row r="352" spans="1:28" s="4" customFormat="1" ht="14.25" customHeight="1" x14ac:dyDescent="0.4">
      <c r="A352">
        <v>437</v>
      </c>
      <c r="B352" s="22">
        <v>0</v>
      </c>
      <c r="C352" s="22">
        <v>0</v>
      </c>
      <c r="D352" s="22">
        <v>0</v>
      </c>
      <c r="E352" s="24">
        <v>0</v>
      </c>
      <c r="F352" s="24">
        <v>0</v>
      </c>
      <c r="G352" s="24">
        <v>0</v>
      </c>
      <c r="H352" s="37">
        <v>470</v>
      </c>
      <c r="I352" s="23">
        <v>41334</v>
      </c>
      <c r="J352" s="37">
        <v>16</v>
      </c>
      <c r="K352" s="24" t="s">
        <v>411</v>
      </c>
      <c r="L352" s="24">
        <v>41306</v>
      </c>
      <c r="M352" s="24">
        <v>41074</v>
      </c>
      <c r="N352" s="22" t="s">
        <v>572</v>
      </c>
      <c r="O352">
        <v>9130704</v>
      </c>
      <c r="P352" s="22">
        <v>1020</v>
      </c>
      <c r="Q352" s="22">
        <v>50</v>
      </c>
      <c r="R352" s="22" t="s">
        <v>2418</v>
      </c>
      <c r="S352" s="55"/>
      <c r="U352" s="94"/>
      <c r="W352" s="92"/>
      <c r="X352" s="75"/>
      <c r="Y352" s="28" t="e">
        <v>#REF!</v>
      </c>
      <c r="Z352" s="28"/>
      <c r="AA352" s="24">
        <v>0</v>
      </c>
      <c r="AB352" s="28">
        <v>0</v>
      </c>
    </row>
    <row r="353" spans="1:28" s="4" customFormat="1" ht="14.25" customHeight="1" x14ac:dyDescent="0.4">
      <c r="A353">
        <v>142</v>
      </c>
      <c r="B353" s="24">
        <v>41109</v>
      </c>
      <c r="C353" s="24">
        <v>41109</v>
      </c>
      <c r="D353" s="24">
        <v>41109</v>
      </c>
      <c r="E353" s="24">
        <v>41109</v>
      </c>
      <c r="F353" s="24" t="s">
        <v>393</v>
      </c>
      <c r="G353" s="24">
        <v>41121</v>
      </c>
      <c r="H353" s="37">
        <v>17</v>
      </c>
      <c r="I353" s="23">
        <v>41091</v>
      </c>
      <c r="J353" s="37">
        <v>17</v>
      </c>
      <c r="K353" s="24" t="s">
        <v>411</v>
      </c>
      <c r="L353" s="24">
        <v>41091</v>
      </c>
      <c r="M353" s="24">
        <v>41068</v>
      </c>
      <c r="N353" s="22" t="s">
        <v>604</v>
      </c>
      <c r="O353">
        <v>9130230</v>
      </c>
      <c r="P353" s="22">
        <v>1020</v>
      </c>
      <c r="Q353" s="22">
        <v>50</v>
      </c>
      <c r="R353" s="22" t="s">
        <v>694</v>
      </c>
      <c r="S353" s="3" t="s">
        <v>481</v>
      </c>
      <c r="U353" s="164"/>
      <c r="W353" s="1"/>
      <c r="X353" s="75"/>
      <c r="Y353" s="28" t="e">
        <v>#REF!</v>
      </c>
      <c r="Z353" s="1"/>
      <c r="AA353" s="24" t="s">
        <v>393</v>
      </c>
      <c r="AB353" s="28">
        <v>41121</v>
      </c>
    </row>
    <row r="354" spans="1:28" s="4" customFormat="1" ht="14.25" customHeight="1" x14ac:dyDescent="0.4">
      <c r="A354">
        <v>143</v>
      </c>
      <c r="B354" s="24">
        <v>41109</v>
      </c>
      <c r="C354" s="24">
        <v>41109</v>
      </c>
      <c r="D354" s="24">
        <v>41109</v>
      </c>
      <c r="E354" s="24">
        <v>41109</v>
      </c>
      <c r="F354" s="24" t="s">
        <v>393</v>
      </c>
      <c r="G354" s="24">
        <v>41121</v>
      </c>
      <c r="H354" s="37">
        <v>18</v>
      </c>
      <c r="I354" s="23">
        <v>41091</v>
      </c>
      <c r="J354" s="37">
        <v>18</v>
      </c>
      <c r="K354" s="24" t="s">
        <v>411</v>
      </c>
      <c r="L354" s="24">
        <v>41091</v>
      </c>
      <c r="M354" s="24">
        <v>41068</v>
      </c>
      <c r="N354" s="22" t="s">
        <v>604</v>
      </c>
      <c r="O354">
        <v>9130231</v>
      </c>
      <c r="P354" s="22">
        <v>1020</v>
      </c>
      <c r="Q354" s="22">
        <v>42</v>
      </c>
      <c r="R354" s="22" t="s">
        <v>696</v>
      </c>
      <c r="S354" s="3" t="s">
        <v>481</v>
      </c>
      <c r="U354" s="164"/>
      <c r="W354" s="1"/>
      <c r="X354" s="75"/>
      <c r="Y354" s="28" t="e">
        <v>#REF!</v>
      </c>
      <c r="Z354" s="1"/>
      <c r="AA354" s="24" t="s">
        <v>393</v>
      </c>
      <c r="AB354" s="28">
        <v>41121</v>
      </c>
    </row>
    <row r="355" spans="1:28" s="4" customFormat="1" ht="14.25" customHeight="1" x14ac:dyDescent="0.4">
      <c r="A355">
        <v>144</v>
      </c>
      <c r="B355" s="24">
        <v>0</v>
      </c>
      <c r="C355" s="24">
        <v>0</v>
      </c>
      <c r="D355" s="24">
        <v>0</v>
      </c>
      <c r="E355" s="24">
        <v>0</v>
      </c>
      <c r="F355" s="24">
        <v>0</v>
      </c>
      <c r="G355" s="24">
        <v>0</v>
      </c>
      <c r="H355" s="37">
        <v>243</v>
      </c>
      <c r="I355" s="23">
        <v>41214</v>
      </c>
      <c r="J355" s="37">
        <v>22</v>
      </c>
      <c r="K355" s="24" t="s">
        <v>411</v>
      </c>
      <c r="L355" s="24">
        <v>41214</v>
      </c>
      <c r="M355" s="24">
        <v>41068</v>
      </c>
      <c r="N355" s="22" t="s">
        <v>604</v>
      </c>
      <c r="O355">
        <v>9130233</v>
      </c>
      <c r="P355" s="22">
        <v>1020</v>
      </c>
      <c r="Q355" s="22">
        <v>50</v>
      </c>
      <c r="R355" s="22" t="s">
        <v>698</v>
      </c>
      <c r="S355" s="3"/>
      <c r="U355" s="164"/>
      <c r="W355" s="1"/>
      <c r="X355" s="75"/>
      <c r="Y355" s="28" t="e">
        <v>#REF!</v>
      </c>
      <c r="Z355" s="1"/>
      <c r="AA355" s="24">
        <v>0</v>
      </c>
      <c r="AB355" s="28">
        <v>0</v>
      </c>
    </row>
    <row r="356" spans="1:28" s="4" customFormat="1" ht="14.25" customHeight="1" x14ac:dyDescent="0.4">
      <c r="A356">
        <v>145</v>
      </c>
      <c r="B356" s="24">
        <v>0</v>
      </c>
      <c r="C356" s="24">
        <v>0</v>
      </c>
      <c r="D356" s="24">
        <v>0</v>
      </c>
      <c r="E356" s="24">
        <v>0</v>
      </c>
      <c r="F356" s="24">
        <v>0</v>
      </c>
      <c r="G356" s="24">
        <v>0</v>
      </c>
      <c r="H356" s="37">
        <v>222</v>
      </c>
      <c r="I356" s="23">
        <v>41214</v>
      </c>
      <c r="J356" s="37">
        <v>1</v>
      </c>
      <c r="K356" s="24" t="s">
        <v>411</v>
      </c>
      <c r="L356" s="24">
        <v>41214</v>
      </c>
      <c r="M356" s="24">
        <v>41068</v>
      </c>
      <c r="N356" s="22" t="s">
        <v>604</v>
      </c>
      <c r="O356">
        <v>9130235</v>
      </c>
      <c r="P356" s="22" t="s">
        <v>2257</v>
      </c>
      <c r="Q356" s="22">
        <v>50</v>
      </c>
      <c r="R356" s="22" t="s">
        <v>699</v>
      </c>
      <c r="S356" s="3"/>
      <c r="U356" s="164"/>
      <c r="W356" s="1"/>
      <c r="X356" s="75"/>
      <c r="Y356" s="28" t="e">
        <v>#REF!</v>
      </c>
      <c r="Z356" s="1"/>
      <c r="AA356" s="24">
        <v>0</v>
      </c>
      <c r="AB356" s="28">
        <v>0</v>
      </c>
    </row>
    <row r="357" spans="1:28" s="4" customFormat="1" ht="14.25" customHeight="1" x14ac:dyDescent="0.4">
      <c r="A357">
        <v>440</v>
      </c>
      <c r="B357" s="24">
        <v>41159</v>
      </c>
      <c r="C357" s="24">
        <v>41159</v>
      </c>
      <c r="D357" s="24">
        <v>41159</v>
      </c>
      <c r="E357" s="24">
        <v>41159</v>
      </c>
      <c r="F357" s="24" t="s">
        <v>393</v>
      </c>
      <c r="G357" s="24">
        <v>41170</v>
      </c>
      <c r="H357" s="37">
        <v>106</v>
      </c>
      <c r="I357" s="23">
        <v>41153</v>
      </c>
      <c r="J357" s="37">
        <v>11</v>
      </c>
      <c r="K357" s="24" t="s">
        <v>411</v>
      </c>
      <c r="L357" s="24">
        <v>41214</v>
      </c>
      <c r="M357" s="24">
        <v>41094</v>
      </c>
      <c r="N357" s="22" t="s">
        <v>604</v>
      </c>
      <c r="O357">
        <v>9130709</v>
      </c>
      <c r="P357" s="22">
        <v>1020</v>
      </c>
      <c r="Q357" s="22">
        <v>50</v>
      </c>
      <c r="R357" s="22" t="s">
        <v>846</v>
      </c>
      <c r="S357" s="102"/>
      <c r="U357" s="143"/>
      <c r="W357" s="92"/>
      <c r="X357" s="74">
        <v>0</v>
      </c>
      <c r="Y357" s="28" t="e">
        <v>#REF!</v>
      </c>
      <c r="Z357" s="9"/>
      <c r="AA357" s="24" t="s">
        <v>393</v>
      </c>
      <c r="AB357" s="28">
        <v>41170</v>
      </c>
    </row>
    <row r="358" spans="1:28" s="4" customFormat="1" ht="14.25" customHeight="1" x14ac:dyDescent="0.4">
      <c r="A358">
        <v>441</v>
      </c>
      <c r="B358" s="24">
        <v>41159</v>
      </c>
      <c r="C358" s="24">
        <v>41159</v>
      </c>
      <c r="D358" s="24">
        <v>41159</v>
      </c>
      <c r="E358" s="24">
        <v>41159</v>
      </c>
      <c r="F358" s="24" t="s">
        <v>393</v>
      </c>
      <c r="G358" s="24">
        <v>41169</v>
      </c>
      <c r="H358" s="37">
        <v>107</v>
      </c>
      <c r="I358" s="23">
        <v>41153</v>
      </c>
      <c r="J358" s="37">
        <v>12</v>
      </c>
      <c r="K358" s="24" t="s">
        <v>411</v>
      </c>
      <c r="L358" s="24">
        <v>41214</v>
      </c>
      <c r="M358" s="24">
        <v>41094</v>
      </c>
      <c r="N358" s="22" t="s">
        <v>604</v>
      </c>
      <c r="O358">
        <v>9130711</v>
      </c>
      <c r="P358" s="22" t="s">
        <v>2257</v>
      </c>
      <c r="Q358" s="22">
        <v>50</v>
      </c>
      <c r="R358" s="22" t="s">
        <v>2419</v>
      </c>
      <c r="S358" s="1" t="s">
        <v>1461</v>
      </c>
      <c r="T358" s="4" t="s">
        <v>404</v>
      </c>
      <c r="U358" s="94">
        <v>41145</v>
      </c>
      <c r="W358" s="92"/>
      <c r="X358" s="74">
        <v>0</v>
      </c>
      <c r="Y358" s="28" t="e">
        <v>#REF!</v>
      </c>
      <c r="Z358" s="9"/>
      <c r="AA358" s="24" t="s">
        <v>393</v>
      </c>
      <c r="AB358" s="28">
        <v>41169</v>
      </c>
    </row>
    <row r="359" spans="1:28" s="4" customFormat="1" ht="14.25" customHeight="1" x14ac:dyDescent="0.4">
      <c r="A359">
        <v>512</v>
      </c>
      <c r="B359" s="24">
        <v>0</v>
      </c>
      <c r="C359" s="24">
        <v>0</v>
      </c>
      <c r="D359" s="24">
        <v>0</v>
      </c>
      <c r="E359" s="24">
        <v>0</v>
      </c>
      <c r="F359" s="24">
        <v>0</v>
      </c>
      <c r="G359" s="24">
        <v>0</v>
      </c>
      <c r="H359" s="37">
        <v>394</v>
      </c>
      <c r="I359" s="23">
        <v>41275</v>
      </c>
      <c r="J359" s="37">
        <v>65</v>
      </c>
      <c r="K359" s="24" t="s">
        <v>411</v>
      </c>
      <c r="L359" s="24">
        <v>41306</v>
      </c>
      <c r="M359" s="24">
        <v>41157</v>
      </c>
      <c r="N359" s="22" t="s">
        <v>604</v>
      </c>
      <c r="O359">
        <v>9130848</v>
      </c>
      <c r="P359" s="22">
        <v>1020</v>
      </c>
      <c r="Q359" s="22">
        <v>50</v>
      </c>
      <c r="R359" s="22" t="s">
        <v>810</v>
      </c>
      <c r="S359" s="3"/>
      <c r="U359" s="164"/>
      <c r="W359" s="1"/>
      <c r="X359" s="75"/>
      <c r="Y359" s="28" t="e">
        <v>#REF!</v>
      </c>
      <c r="Z359" s="1"/>
      <c r="AA359" s="24">
        <v>0</v>
      </c>
      <c r="AB359" s="28">
        <v>0</v>
      </c>
    </row>
    <row r="360" spans="1:28" s="4" customFormat="1" ht="14.25" customHeight="1" x14ac:dyDescent="0.4">
      <c r="A360">
        <v>513</v>
      </c>
      <c r="B360" s="24">
        <v>0</v>
      </c>
      <c r="C360" s="24">
        <v>0</v>
      </c>
      <c r="D360" s="24">
        <v>0</v>
      </c>
      <c r="E360" s="24">
        <v>0</v>
      </c>
      <c r="F360" s="24">
        <v>0</v>
      </c>
      <c r="G360" s="24">
        <v>0</v>
      </c>
      <c r="H360" s="37">
        <v>395</v>
      </c>
      <c r="I360" s="23">
        <v>41275</v>
      </c>
      <c r="J360" s="37">
        <v>66</v>
      </c>
      <c r="K360" s="24" t="s">
        <v>411</v>
      </c>
      <c r="L360" s="24">
        <v>41306</v>
      </c>
      <c r="M360" s="24">
        <v>41157</v>
      </c>
      <c r="N360" s="22" t="s">
        <v>604</v>
      </c>
      <c r="O360">
        <v>9130851</v>
      </c>
      <c r="P360" s="22" t="s">
        <v>2257</v>
      </c>
      <c r="Q360" s="22">
        <v>50</v>
      </c>
      <c r="R360" s="22" t="s">
        <v>826</v>
      </c>
      <c r="S360" s="3"/>
      <c r="U360" s="164"/>
      <c r="W360" s="62"/>
      <c r="X360" s="75"/>
      <c r="Y360" s="28" t="e">
        <v>#REF!</v>
      </c>
      <c r="Z360" s="1"/>
      <c r="AA360" s="24">
        <v>0</v>
      </c>
      <c r="AB360" s="28">
        <v>0</v>
      </c>
    </row>
    <row r="361" spans="1:28" s="4" customFormat="1" ht="14.25" customHeight="1" x14ac:dyDescent="0.4">
      <c r="A361">
        <v>514</v>
      </c>
      <c r="B361" s="24">
        <v>0</v>
      </c>
      <c r="C361" s="24">
        <v>0</v>
      </c>
      <c r="D361" s="24">
        <v>0</v>
      </c>
      <c r="E361" s="24">
        <v>0</v>
      </c>
      <c r="F361" s="24">
        <v>0</v>
      </c>
      <c r="G361" s="24">
        <v>0</v>
      </c>
      <c r="H361" s="37">
        <v>396</v>
      </c>
      <c r="I361" s="23">
        <v>41306</v>
      </c>
      <c r="J361" s="37">
        <v>1</v>
      </c>
      <c r="K361" s="24" t="s">
        <v>411</v>
      </c>
      <c r="L361" s="24">
        <v>41306</v>
      </c>
      <c r="M361" s="24">
        <v>41157</v>
      </c>
      <c r="N361" s="22" t="s">
        <v>604</v>
      </c>
      <c r="O361">
        <v>9130855</v>
      </c>
      <c r="P361" s="22" t="s">
        <v>2257</v>
      </c>
      <c r="Q361" s="22">
        <v>50</v>
      </c>
      <c r="R361" s="22" t="s">
        <v>822</v>
      </c>
      <c r="S361" s="3"/>
      <c r="U361" s="164"/>
      <c r="W361" s="62"/>
      <c r="X361" s="75"/>
      <c r="Y361" s="28" t="e">
        <v>#REF!</v>
      </c>
      <c r="Z361" s="1"/>
      <c r="AA361" s="24">
        <v>0</v>
      </c>
      <c r="AB361" s="28">
        <v>0</v>
      </c>
    </row>
    <row r="362" spans="1:28" s="4" customFormat="1" ht="14.25" customHeight="1" x14ac:dyDescent="0.4">
      <c r="A362">
        <v>153</v>
      </c>
      <c r="B362" s="22">
        <v>0</v>
      </c>
      <c r="C362" s="22" t="s">
        <v>2165</v>
      </c>
      <c r="D362" s="22">
        <v>0</v>
      </c>
      <c r="E362" s="24">
        <v>41113</v>
      </c>
      <c r="F362" s="24" t="s">
        <v>393</v>
      </c>
      <c r="G362" s="24">
        <v>41124</v>
      </c>
      <c r="H362" s="37">
        <v>24</v>
      </c>
      <c r="I362" s="23">
        <v>41091</v>
      </c>
      <c r="J362" s="37">
        <v>24</v>
      </c>
      <c r="K362" s="24" t="s">
        <v>411</v>
      </c>
      <c r="L362" s="24">
        <v>41091</v>
      </c>
      <c r="M362" s="24">
        <v>40665</v>
      </c>
      <c r="N362" s="22" t="s">
        <v>1108</v>
      </c>
      <c r="O362">
        <v>9130249</v>
      </c>
      <c r="P362" s="22">
        <v>1020</v>
      </c>
      <c r="Q362" s="22">
        <v>50</v>
      </c>
      <c r="R362" s="22" t="s">
        <v>694</v>
      </c>
      <c r="S362" s="1" t="s">
        <v>482</v>
      </c>
      <c r="U362" s="94"/>
      <c r="W362" s="92"/>
      <c r="X362" s="74"/>
      <c r="Y362" s="28" t="e">
        <v>#REF!</v>
      </c>
      <c r="Z362" s="28"/>
      <c r="AA362" s="24" t="s">
        <v>393</v>
      </c>
      <c r="AB362" s="28">
        <v>41124</v>
      </c>
    </row>
    <row r="363" spans="1:28" s="4" customFormat="1" ht="14.25" customHeight="1" x14ac:dyDescent="0.4">
      <c r="A363">
        <v>154</v>
      </c>
      <c r="B363" s="22">
        <v>0</v>
      </c>
      <c r="C363" s="22" t="s">
        <v>2102</v>
      </c>
      <c r="D363" s="22">
        <v>0</v>
      </c>
      <c r="E363" s="24">
        <v>41114</v>
      </c>
      <c r="F363" s="24" t="s">
        <v>393</v>
      </c>
      <c r="G363" s="24">
        <v>41141</v>
      </c>
      <c r="H363" s="37">
        <v>25</v>
      </c>
      <c r="I363" s="23">
        <v>41091</v>
      </c>
      <c r="J363" s="37">
        <v>25</v>
      </c>
      <c r="K363" s="24" t="s">
        <v>411</v>
      </c>
      <c r="L363" s="24">
        <v>41091</v>
      </c>
      <c r="M363" s="24">
        <v>40665</v>
      </c>
      <c r="N363" s="22" t="s">
        <v>1108</v>
      </c>
      <c r="O363">
        <v>9130250</v>
      </c>
      <c r="P363" s="22">
        <v>1020</v>
      </c>
      <c r="Q363" s="22">
        <v>50</v>
      </c>
      <c r="R363" s="22" t="s">
        <v>696</v>
      </c>
      <c r="S363" s="1" t="s">
        <v>1754</v>
      </c>
      <c r="U363" s="94"/>
      <c r="W363" s="92"/>
      <c r="X363" s="74"/>
      <c r="Y363" s="28" t="e">
        <v>#REF!</v>
      </c>
      <c r="Z363" s="28"/>
      <c r="AA363" s="24" t="s">
        <v>393</v>
      </c>
      <c r="AB363" s="28">
        <v>41141</v>
      </c>
    </row>
    <row r="364" spans="1:28" s="4" customFormat="1" ht="14.25" customHeight="1" x14ac:dyDescent="0.4">
      <c r="A364">
        <v>155</v>
      </c>
      <c r="B364" s="22">
        <v>0</v>
      </c>
      <c r="C364" s="22">
        <v>0</v>
      </c>
      <c r="D364" s="22">
        <v>0</v>
      </c>
      <c r="E364" s="24">
        <v>41128</v>
      </c>
      <c r="F364" s="24" t="s">
        <v>393</v>
      </c>
      <c r="G364" s="24">
        <v>41135</v>
      </c>
      <c r="H364" s="37">
        <v>44</v>
      </c>
      <c r="I364" s="23">
        <v>41122</v>
      </c>
      <c r="J364" s="37">
        <v>12</v>
      </c>
      <c r="K364" s="24" t="s">
        <v>411</v>
      </c>
      <c r="L364" s="24">
        <v>41091</v>
      </c>
      <c r="M364" s="24">
        <v>40665</v>
      </c>
      <c r="N364" s="22" t="s">
        <v>1108</v>
      </c>
      <c r="O364">
        <v>9130251</v>
      </c>
      <c r="P364" s="22">
        <v>1020</v>
      </c>
      <c r="Q364" s="22">
        <v>50</v>
      </c>
      <c r="R364" s="22" t="s">
        <v>698</v>
      </c>
      <c r="S364" s="1" t="s">
        <v>1754</v>
      </c>
      <c r="U364" s="154"/>
      <c r="W364" s="92"/>
      <c r="X364" s="74"/>
      <c r="Y364" s="28" t="e">
        <v>#REF!</v>
      </c>
      <c r="Z364" s="28"/>
      <c r="AA364" s="24" t="s">
        <v>393</v>
      </c>
      <c r="AB364" s="28">
        <v>41135</v>
      </c>
    </row>
    <row r="365" spans="1:28" s="4" customFormat="1" ht="14.25" customHeight="1" x14ac:dyDescent="0.4">
      <c r="A365">
        <v>156</v>
      </c>
      <c r="B365" s="22">
        <v>0</v>
      </c>
      <c r="C365" s="22" t="s">
        <v>2165</v>
      </c>
      <c r="D365" s="22">
        <v>0</v>
      </c>
      <c r="E365" s="24">
        <v>41128</v>
      </c>
      <c r="F365" s="24" t="s">
        <v>393</v>
      </c>
      <c r="G365" s="24">
        <v>41148</v>
      </c>
      <c r="H365" s="37">
        <v>43</v>
      </c>
      <c r="I365" s="23">
        <v>41122</v>
      </c>
      <c r="J365" s="37">
        <v>11</v>
      </c>
      <c r="K365" s="24" t="s">
        <v>411</v>
      </c>
      <c r="L365" s="36"/>
      <c r="M365" s="24">
        <v>40665</v>
      </c>
      <c r="N365" s="22" t="s">
        <v>1108</v>
      </c>
      <c r="O365">
        <v>9130252</v>
      </c>
      <c r="P365" s="22">
        <v>1020</v>
      </c>
      <c r="Q365" s="22">
        <v>50</v>
      </c>
      <c r="R365" s="22" t="s">
        <v>699</v>
      </c>
      <c r="U365" s="44"/>
      <c r="W365" s="127"/>
      <c r="X365" s="74"/>
      <c r="Y365" s="28" t="e">
        <v>#REF!</v>
      </c>
      <c r="Z365" s="9"/>
      <c r="AA365" s="24" t="s">
        <v>393</v>
      </c>
      <c r="AB365" s="28">
        <v>41148</v>
      </c>
    </row>
    <row r="366" spans="1:28" s="4" customFormat="1" ht="14.25" customHeight="1" x14ac:dyDescent="0.4">
      <c r="A366">
        <v>157</v>
      </c>
      <c r="B366" s="22">
        <v>0</v>
      </c>
      <c r="C366" s="22" t="s">
        <v>2165</v>
      </c>
      <c r="D366" s="22">
        <v>0</v>
      </c>
      <c r="E366" s="24">
        <v>0</v>
      </c>
      <c r="F366" s="24">
        <v>0</v>
      </c>
      <c r="G366" s="24">
        <v>0</v>
      </c>
      <c r="H366" s="37">
        <v>195</v>
      </c>
      <c r="I366" s="23">
        <v>41183</v>
      </c>
      <c r="J366" s="37">
        <v>43</v>
      </c>
      <c r="K366" s="24" t="s">
        <v>411</v>
      </c>
      <c r="L366" s="24">
        <v>41122</v>
      </c>
      <c r="M366" s="24">
        <v>40665</v>
      </c>
      <c r="N366" s="22" t="s">
        <v>1108</v>
      </c>
      <c r="O366">
        <v>9130253</v>
      </c>
      <c r="P366" s="22">
        <v>1020</v>
      </c>
      <c r="Q366" s="22">
        <v>50</v>
      </c>
      <c r="R366" s="22" t="s">
        <v>846</v>
      </c>
      <c r="U366" s="44"/>
      <c r="W366" s="127"/>
      <c r="X366" s="74"/>
      <c r="Y366" s="28" t="e">
        <v>#REF!</v>
      </c>
      <c r="Z366" s="9"/>
      <c r="AA366" s="24">
        <v>0</v>
      </c>
      <c r="AB366" s="28">
        <v>0</v>
      </c>
    </row>
    <row r="367" spans="1:28" s="4" customFormat="1" ht="14.25" customHeight="1" x14ac:dyDescent="0.4">
      <c r="A367">
        <v>158</v>
      </c>
      <c r="B367" s="22">
        <v>0</v>
      </c>
      <c r="C367" s="22" t="s">
        <v>2165</v>
      </c>
      <c r="D367" s="22">
        <v>0</v>
      </c>
      <c r="E367" s="24">
        <v>0</v>
      </c>
      <c r="F367" s="24">
        <v>0</v>
      </c>
      <c r="G367" s="24">
        <v>0</v>
      </c>
      <c r="H367" s="37">
        <v>196</v>
      </c>
      <c r="I367" s="23">
        <v>41183</v>
      </c>
      <c r="J367" s="37">
        <v>44</v>
      </c>
      <c r="K367" s="24" t="s">
        <v>411</v>
      </c>
      <c r="L367" s="24">
        <v>41122</v>
      </c>
      <c r="M367" s="24">
        <v>41068</v>
      </c>
      <c r="N367" s="22" t="s">
        <v>1108</v>
      </c>
      <c r="O367">
        <v>9130255</v>
      </c>
      <c r="P367" s="22">
        <v>1020</v>
      </c>
      <c r="Q367" s="22">
        <v>50</v>
      </c>
      <c r="R367" s="22" t="s">
        <v>1575</v>
      </c>
      <c r="S367" s="102"/>
      <c r="U367" s="42"/>
      <c r="W367" s="28"/>
      <c r="X367" s="74"/>
      <c r="Y367" s="28" t="e">
        <v>#REF!</v>
      </c>
      <c r="Z367" s="9"/>
      <c r="AA367" s="24">
        <v>0</v>
      </c>
      <c r="AB367" s="28">
        <v>0</v>
      </c>
    </row>
    <row r="368" spans="1:28" s="4" customFormat="1" ht="14.25" customHeight="1" x14ac:dyDescent="0.4">
      <c r="A368">
        <v>150</v>
      </c>
      <c r="B368" s="24">
        <v>41113</v>
      </c>
      <c r="C368" s="24">
        <v>41113</v>
      </c>
      <c r="D368" s="24">
        <v>41113</v>
      </c>
      <c r="E368" s="24">
        <v>41113</v>
      </c>
      <c r="F368" s="24" t="s">
        <v>393</v>
      </c>
      <c r="G368" s="24">
        <v>41129</v>
      </c>
      <c r="H368" s="37">
        <v>22</v>
      </c>
      <c r="I368" s="23">
        <v>41091</v>
      </c>
      <c r="J368" s="37">
        <v>22</v>
      </c>
      <c r="K368" s="24" t="s">
        <v>411</v>
      </c>
      <c r="L368" s="24">
        <v>41091</v>
      </c>
      <c r="M368" s="24">
        <v>41068</v>
      </c>
      <c r="N368" s="22" t="s">
        <v>584</v>
      </c>
      <c r="O368">
        <v>9130246</v>
      </c>
      <c r="P368" s="22">
        <v>1020</v>
      </c>
      <c r="Q368" s="22">
        <v>42</v>
      </c>
      <c r="R368" s="22" t="s">
        <v>694</v>
      </c>
      <c r="S368" s="3" t="s">
        <v>678</v>
      </c>
      <c r="U368" s="42"/>
      <c r="W368" s="48"/>
      <c r="X368" s="74"/>
      <c r="Y368" s="28" t="e">
        <v>#REF!</v>
      </c>
      <c r="Z368" s="28"/>
      <c r="AA368" s="24" t="s">
        <v>393</v>
      </c>
      <c r="AB368" s="28">
        <v>41129</v>
      </c>
    </row>
    <row r="369" spans="1:31" s="4" customFormat="1" ht="14.25" customHeight="1" x14ac:dyDescent="0.4">
      <c r="A369">
        <v>151</v>
      </c>
      <c r="B369" s="22">
        <v>0</v>
      </c>
      <c r="C369" s="22">
        <v>0</v>
      </c>
      <c r="D369" s="22">
        <v>0</v>
      </c>
      <c r="E369" s="24">
        <v>41113</v>
      </c>
      <c r="F369" s="24" t="s">
        <v>393</v>
      </c>
      <c r="G369" s="24">
        <v>41120</v>
      </c>
      <c r="H369" s="37">
        <v>23</v>
      </c>
      <c r="I369" s="23">
        <v>41091</v>
      </c>
      <c r="J369" s="37">
        <v>23</v>
      </c>
      <c r="K369" s="24" t="s">
        <v>411</v>
      </c>
      <c r="L369" s="24">
        <v>41091</v>
      </c>
      <c r="M369" s="24">
        <v>40665</v>
      </c>
      <c r="N369" s="22" t="s">
        <v>584</v>
      </c>
      <c r="O369">
        <v>9130247</v>
      </c>
      <c r="P369" s="22">
        <v>1020</v>
      </c>
      <c r="Q369" s="22">
        <v>42</v>
      </c>
      <c r="R369" s="22" t="s">
        <v>696</v>
      </c>
      <c r="S369" s="1" t="s">
        <v>678</v>
      </c>
      <c r="U369" s="94"/>
      <c r="W369" s="92"/>
      <c r="X369" s="74"/>
      <c r="Y369" s="28" t="e">
        <v>#REF!</v>
      </c>
      <c r="Z369" s="28"/>
      <c r="AA369" s="24" t="s">
        <v>393</v>
      </c>
      <c r="AB369" s="28">
        <v>41120</v>
      </c>
    </row>
    <row r="370" spans="1:31" ht="14.25" customHeight="1" x14ac:dyDescent="0.4">
      <c r="A370">
        <v>152</v>
      </c>
      <c r="B370" s="22">
        <v>0</v>
      </c>
      <c r="C370" s="22">
        <v>0</v>
      </c>
      <c r="D370" s="22">
        <v>0</v>
      </c>
      <c r="E370" s="24">
        <v>41172</v>
      </c>
      <c r="F370" s="24" t="s">
        <v>392</v>
      </c>
      <c r="G370" s="24">
        <v>41178</v>
      </c>
      <c r="H370" s="37">
        <v>132</v>
      </c>
      <c r="I370" s="23">
        <v>41153</v>
      </c>
      <c r="J370" s="37">
        <v>37</v>
      </c>
      <c r="K370" s="24" t="s">
        <v>411</v>
      </c>
      <c r="L370" s="24">
        <v>41153</v>
      </c>
      <c r="M370" s="24">
        <v>40665</v>
      </c>
      <c r="N370" s="22" t="s">
        <v>584</v>
      </c>
      <c r="O370">
        <v>9130248</v>
      </c>
      <c r="P370" s="22">
        <v>1020</v>
      </c>
      <c r="Q370" s="22">
        <v>42</v>
      </c>
      <c r="R370" s="22" t="s">
        <v>698</v>
      </c>
      <c r="S370" s="161"/>
      <c r="T370" s="4"/>
      <c r="U370" s="166"/>
      <c r="V370" s="4"/>
      <c r="W370" s="28"/>
      <c r="X370" s="74"/>
      <c r="Y370" s="28" t="e">
        <v>#REF!</v>
      </c>
      <c r="Z370" s="9"/>
      <c r="AA370" s="24" t="s">
        <v>392</v>
      </c>
      <c r="AB370" s="28">
        <v>41178</v>
      </c>
      <c r="AC370" s="4"/>
      <c r="AD370" s="4"/>
      <c r="AE370" s="4"/>
    </row>
    <row r="371" spans="1:31" ht="14.25" customHeight="1" x14ac:dyDescent="0.4">
      <c r="A371">
        <v>442</v>
      </c>
      <c r="B371" s="24">
        <v>41129</v>
      </c>
      <c r="C371" s="24">
        <v>41129</v>
      </c>
      <c r="D371" s="24">
        <v>41129</v>
      </c>
      <c r="E371" s="24">
        <v>41129</v>
      </c>
      <c r="F371" s="24" t="s">
        <v>393</v>
      </c>
      <c r="G371" s="24">
        <v>41152</v>
      </c>
      <c r="H371" s="37">
        <v>45</v>
      </c>
      <c r="I371" s="23">
        <v>41122</v>
      </c>
      <c r="J371" s="37">
        <v>13</v>
      </c>
      <c r="K371" s="24" t="s">
        <v>411</v>
      </c>
      <c r="L371" s="24">
        <v>41091</v>
      </c>
      <c r="M371" s="24">
        <v>41093</v>
      </c>
      <c r="N371" s="22" t="s">
        <v>584</v>
      </c>
      <c r="O371">
        <v>9130712</v>
      </c>
      <c r="P371" s="22">
        <v>1020</v>
      </c>
      <c r="Q371" s="22">
        <v>42</v>
      </c>
      <c r="R371" s="22" t="s">
        <v>699</v>
      </c>
      <c r="S371" s="1" t="s">
        <v>678</v>
      </c>
      <c r="T371" s="4"/>
      <c r="U371" s="164"/>
      <c r="V371" s="4"/>
      <c r="Y371" s="28" t="e">
        <v>#REF!</v>
      </c>
      <c r="AA371" s="24" t="s">
        <v>393</v>
      </c>
      <c r="AB371" s="28">
        <v>41152</v>
      </c>
      <c r="AC371" s="4"/>
      <c r="AD371" s="4"/>
      <c r="AE371" s="4"/>
    </row>
    <row r="372" spans="1:31" ht="14.25" customHeight="1" x14ac:dyDescent="0.4">
      <c r="A372">
        <v>443</v>
      </c>
      <c r="B372" s="24">
        <v>41158</v>
      </c>
      <c r="C372" s="24">
        <v>41158</v>
      </c>
      <c r="D372" s="24">
        <v>41158</v>
      </c>
      <c r="E372" s="24">
        <v>41158</v>
      </c>
      <c r="F372" s="24" t="s">
        <v>393</v>
      </c>
      <c r="G372" s="24">
        <v>41163</v>
      </c>
      <c r="H372" s="37">
        <v>104</v>
      </c>
      <c r="I372" s="23">
        <v>41153</v>
      </c>
      <c r="J372" s="37">
        <v>9</v>
      </c>
      <c r="K372" s="24" t="s">
        <v>411</v>
      </c>
      <c r="L372" s="24">
        <v>41214</v>
      </c>
      <c r="M372" s="24">
        <v>41093</v>
      </c>
      <c r="N372" s="22" t="s">
        <v>584</v>
      </c>
      <c r="O372">
        <v>9130713</v>
      </c>
      <c r="P372" s="22">
        <v>1020</v>
      </c>
      <c r="Q372" s="22">
        <v>42</v>
      </c>
      <c r="R372" s="22" t="s">
        <v>846</v>
      </c>
      <c r="S372" s="1" t="s">
        <v>678</v>
      </c>
      <c r="T372" s="4"/>
      <c r="U372" s="164"/>
      <c r="V372" s="4"/>
      <c r="Y372" s="28" t="e">
        <v>#REF!</v>
      </c>
      <c r="AA372" s="24" t="s">
        <v>393</v>
      </c>
      <c r="AB372" s="28">
        <v>41163</v>
      </c>
      <c r="AC372" s="4"/>
      <c r="AD372" s="4"/>
      <c r="AE372" s="4"/>
    </row>
    <row r="373" spans="1:31" ht="14.25" customHeight="1" x14ac:dyDescent="0.4">
      <c r="A373">
        <v>444</v>
      </c>
      <c r="B373" s="24">
        <v>41158</v>
      </c>
      <c r="C373" s="24">
        <v>41158</v>
      </c>
      <c r="D373" s="24">
        <v>41158</v>
      </c>
      <c r="E373" s="24">
        <v>41158</v>
      </c>
      <c r="F373" s="24" t="s">
        <v>393</v>
      </c>
      <c r="G373" s="24">
        <v>41163</v>
      </c>
      <c r="H373" s="37">
        <v>105</v>
      </c>
      <c r="I373" s="23">
        <v>41153</v>
      </c>
      <c r="J373" s="37">
        <v>10</v>
      </c>
      <c r="K373" s="24" t="s">
        <v>411</v>
      </c>
      <c r="L373" s="24">
        <v>41214</v>
      </c>
      <c r="M373" s="24">
        <v>41093</v>
      </c>
      <c r="N373" s="22" t="s">
        <v>584</v>
      </c>
      <c r="O373">
        <v>9130714</v>
      </c>
      <c r="P373" s="22">
        <v>1020</v>
      </c>
      <c r="Q373" s="22">
        <v>42</v>
      </c>
      <c r="R373" s="22" t="s">
        <v>1575</v>
      </c>
      <c r="T373" s="4"/>
      <c r="U373" s="164"/>
      <c r="V373" s="4"/>
      <c r="Y373" s="28" t="e">
        <v>#REF!</v>
      </c>
      <c r="AA373" s="24" t="s">
        <v>393</v>
      </c>
      <c r="AB373" s="28">
        <v>41163</v>
      </c>
      <c r="AC373" s="4"/>
      <c r="AD373" s="4"/>
      <c r="AE373" s="4"/>
    </row>
    <row r="374" spans="1:31" ht="14.25" customHeight="1" x14ac:dyDescent="0.4">
      <c r="A374">
        <v>445</v>
      </c>
      <c r="B374" s="22"/>
      <c r="C374" s="22"/>
      <c r="D374" s="22"/>
      <c r="E374" s="24">
        <v>0</v>
      </c>
      <c r="F374" s="24">
        <v>0</v>
      </c>
      <c r="G374" s="24">
        <v>0</v>
      </c>
      <c r="H374" s="37">
        <v>465</v>
      </c>
      <c r="I374" s="23">
        <v>41334</v>
      </c>
      <c r="J374" s="37">
        <v>11</v>
      </c>
      <c r="K374" s="24" t="s">
        <v>411</v>
      </c>
      <c r="L374" s="24">
        <v>41306</v>
      </c>
      <c r="M374" s="24">
        <v>41093</v>
      </c>
      <c r="N374" s="22" t="s">
        <v>584</v>
      </c>
      <c r="O374">
        <v>9130715</v>
      </c>
      <c r="P374" s="22" t="s">
        <v>2257</v>
      </c>
      <c r="Q374" s="22">
        <v>50</v>
      </c>
      <c r="R374" s="22" t="s">
        <v>810</v>
      </c>
      <c r="S374" s="4"/>
      <c r="T374" s="4"/>
      <c r="U374" s="44"/>
      <c r="V374" s="4"/>
      <c r="W374" s="57"/>
      <c r="X374" s="74"/>
      <c r="Y374" s="28" t="e">
        <v>#REF!</v>
      </c>
      <c r="Z374" s="28"/>
      <c r="AA374" s="24">
        <v>0</v>
      </c>
      <c r="AB374" s="28">
        <v>0</v>
      </c>
      <c r="AC374" s="4"/>
      <c r="AD374" s="4"/>
      <c r="AE374" s="4"/>
    </row>
    <row r="375" spans="1:31" ht="14.25" customHeight="1" x14ac:dyDescent="0.4">
      <c r="A375">
        <v>446</v>
      </c>
      <c r="B375" s="22">
        <v>0</v>
      </c>
      <c r="C375" s="22">
        <v>0</v>
      </c>
      <c r="D375" s="22">
        <v>0</v>
      </c>
      <c r="E375" s="24">
        <v>0</v>
      </c>
      <c r="F375" s="24">
        <v>0</v>
      </c>
      <c r="G375" s="24">
        <v>0</v>
      </c>
      <c r="H375" s="37">
        <v>466</v>
      </c>
      <c r="I375" s="23">
        <v>41334</v>
      </c>
      <c r="J375" s="37">
        <v>12</v>
      </c>
      <c r="K375" s="24" t="s">
        <v>411</v>
      </c>
      <c r="L375" s="24">
        <v>41306</v>
      </c>
      <c r="M375" s="24">
        <v>41093</v>
      </c>
      <c r="N375" s="22" t="s">
        <v>584</v>
      </c>
      <c r="O375">
        <v>9130718</v>
      </c>
      <c r="P375" s="22" t="s">
        <v>2257</v>
      </c>
      <c r="Q375" s="22">
        <v>50</v>
      </c>
      <c r="R375" s="22" t="s">
        <v>826</v>
      </c>
      <c r="S375" s="1"/>
      <c r="T375" s="4"/>
      <c r="U375" s="94"/>
      <c r="V375" s="4"/>
      <c r="W375" s="92"/>
      <c r="X375" s="74"/>
      <c r="Y375" s="28" t="e">
        <v>#REF!</v>
      </c>
      <c r="Z375" s="28"/>
      <c r="AA375" s="24">
        <v>0</v>
      </c>
      <c r="AB375" s="28">
        <v>0</v>
      </c>
      <c r="AC375" s="4"/>
      <c r="AD375" s="4"/>
      <c r="AE375" s="4"/>
    </row>
    <row r="376" spans="1:31" ht="14.25" customHeight="1" x14ac:dyDescent="0.4">
      <c r="A376">
        <v>447</v>
      </c>
      <c r="B376" s="22">
        <v>0</v>
      </c>
      <c r="C376" s="22" t="s">
        <v>2165</v>
      </c>
      <c r="D376" s="22">
        <v>0</v>
      </c>
      <c r="E376" s="24">
        <v>0</v>
      </c>
      <c r="F376" s="24">
        <v>0</v>
      </c>
      <c r="G376" s="24">
        <v>0</v>
      </c>
      <c r="H376" s="37">
        <v>467</v>
      </c>
      <c r="I376" s="23">
        <v>41334</v>
      </c>
      <c r="J376" s="37">
        <v>13</v>
      </c>
      <c r="K376" s="24" t="s">
        <v>411</v>
      </c>
      <c r="L376" s="24">
        <v>41334</v>
      </c>
      <c r="M376" s="24">
        <v>41093</v>
      </c>
      <c r="N376" s="22" t="s">
        <v>584</v>
      </c>
      <c r="O376">
        <v>9130719</v>
      </c>
      <c r="P376" s="22">
        <v>1020</v>
      </c>
      <c r="Q376" s="22">
        <v>42</v>
      </c>
      <c r="R376" s="22" t="s">
        <v>822</v>
      </c>
      <c r="S376" s="55"/>
      <c r="T376" s="4"/>
      <c r="U376" s="94"/>
      <c r="V376" s="4"/>
      <c r="W376" s="92"/>
      <c r="X376" s="74"/>
      <c r="Y376" s="28" t="e">
        <v>#REF!</v>
      </c>
      <c r="Z376" s="9"/>
      <c r="AA376" s="24">
        <v>0</v>
      </c>
      <c r="AB376" s="28">
        <v>0</v>
      </c>
      <c r="AC376" s="4"/>
      <c r="AD376" s="4"/>
      <c r="AE376" s="4"/>
    </row>
    <row r="377" spans="1:31" s="4" customFormat="1" ht="14.25" customHeight="1" x14ac:dyDescent="0.4">
      <c r="A377">
        <v>448</v>
      </c>
      <c r="B377" s="22">
        <v>0</v>
      </c>
      <c r="C377" s="22">
        <v>0</v>
      </c>
      <c r="D377" s="22">
        <v>0</v>
      </c>
      <c r="E377" s="24">
        <v>0</v>
      </c>
      <c r="F377" s="24">
        <v>0</v>
      </c>
      <c r="G377" s="24">
        <v>0</v>
      </c>
      <c r="H377" s="37">
        <v>468</v>
      </c>
      <c r="I377" s="23">
        <v>41334</v>
      </c>
      <c r="J377" s="37">
        <v>14</v>
      </c>
      <c r="K377" s="24" t="s">
        <v>411</v>
      </c>
      <c r="L377" s="24">
        <v>41334</v>
      </c>
      <c r="M377" s="24">
        <v>41093</v>
      </c>
      <c r="N377" s="22" t="s">
        <v>584</v>
      </c>
      <c r="O377">
        <v>9130722</v>
      </c>
      <c r="P377" s="22" t="s">
        <v>2257</v>
      </c>
      <c r="Q377" s="22">
        <v>50</v>
      </c>
      <c r="R377" s="22" t="s">
        <v>815</v>
      </c>
      <c r="S377" s="102"/>
      <c r="U377" s="94"/>
      <c r="W377" s="92"/>
      <c r="X377" s="75"/>
      <c r="Y377" s="28" t="e">
        <v>#REF!</v>
      </c>
      <c r="Z377" s="9"/>
      <c r="AA377" s="24">
        <v>0</v>
      </c>
      <c r="AB377" s="28">
        <v>0</v>
      </c>
    </row>
    <row r="378" spans="1:31" ht="14.25" customHeight="1" x14ac:dyDescent="0.4">
      <c r="A378">
        <v>449</v>
      </c>
      <c r="B378" s="22">
        <v>0</v>
      </c>
      <c r="C378" s="22" t="s">
        <v>2102</v>
      </c>
      <c r="D378" s="22">
        <v>0</v>
      </c>
      <c r="E378" s="24">
        <v>0</v>
      </c>
      <c r="F378" s="24">
        <v>0</v>
      </c>
      <c r="G378" s="24">
        <v>0</v>
      </c>
      <c r="H378" s="37">
        <v>545</v>
      </c>
      <c r="I378" s="23">
        <v>41395</v>
      </c>
      <c r="J378" s="37">
        <v>15</v>
      </c>
      <c r="K378" s="24" t="s">
        <v>411</v>
      </c>
      <c r="L378" s="24">
        <v>41395</v>
      </c>
      <c r="M378" s="24">
        <v>41093</v>
      </c>
      <c r="N378" s="22" t="s">
        <v>584</v>
      </c>
      <c r="O378">
        <v>9130724</v>
      </c>
      <c r="P378" s="22">
        <v>1020</v>
      </c>
      <c r="Q378" s="22">
        <v>42</v>
      </c>
      <c r="R378" s="22" t="s">
        <v>1620</v>
      </c>
      <c r="S378" s="102"/>
      <c r="T378" s="4"/>
      <c r="U378" s="44"/>
      <c r="V378" s="4"/>
      <c r="W378" s="9"/>
      <c r="X378" s="74"/>
      <c r="Y378" s="28" t="e">
        <v>#REF!</v>
      </c>
      <c r="Z378" s="9"/>
      <c r="AA378" s="24">
        <v>0</v>
      </c>
      <c r="AB378" s="28">
        <v>0</v>
      </c>
      <c r="AC378" s="4"/>
      <c r="AD378" s="4"/>
      <c r="AE378" s="4"/>
    </row>
    <row r="379" spans="1:31" s="4" customFormat="1" ht="14.25" customHeight="1" x14ac:dyDescent="0.4">
      <c r="A379">
        <v>450</v>
      </c>
      <c r="B379" s="24">
        <v>0</v>
      </c>
      <c r="C379" s="24">
        <v>0</v>
      </c>
      <c r="D379" s="24">
        <v>0</v>
      </c>
      <c r="E379" s="24">
        <v>0</v>
      </c>
      <c r="F379" s="24">
        <v>0</v>
      </c>
      <c r="G379" s="24">
        <v>0</v>
      </c>
      <c r="H379" s="37">
        <v>546</v>
      </c>
      <c r="I379" s="23">
        <v>41395</v>
      </c>
      <c r="J379" s="37">
        <v>16</v>
      </c>
      <c r="K379" s="24" t="s">
        <v>411</v>
      </c>
      <c r="L379" s="24">
        <v>41395</v>
      </c>
      <c r="M379" s="24">
        <v>41093</v>
      </c>
      <c r="N379" s="22" t="s">
        <v>584</v>
      </c>
      <c r="O379">
        <v>9130725</v>
      </c>
      <c r="P379" s="22" t="s">
        <v>2257</v>
      </c>
      <c r="Q379" s="22">
        <v>50</v>
      </c>
      <c r="R379" s="22" t="s">
        <v>2420</v>
      </c>
      <c r="S379" s="3"/>
      <c r="U379" s="164"/>
      <c r="W379" s="51"/>
      <c r="X379" s="74"/>
      <c r="Y379" s="28" t="e">
        <v>#REF!</v>
      </c>
      <c r="Z379" s="28"/>
      <c r="AA379" s="24">
        <v>0</v>
      </c>
      <c r="AB379" s="28">
        <v>0</v>
      </c>
    </row>
    <row r="380" spans="1:31" s="5" customFormat="1" ht="14.25" customHeight="1" x14ac:dyDescent="0.4">
      <c r="A380">
        <v>451</v>
      </c>
      <c r="B380" s="24">
        <v>0</v>
      </c>
      <c r="C380" s="24">
        <v>0</v>
      </c>
      <c r="D380" s="24">
        <v>0</v>
      </c>
      <c r="E380" s="24">
        <v>0</v>
      </c>
      <c r="F380" s="24">
        <v>0</v>
      </c>
      <c r="G380" s="24">
        <v>0</v>
      </c>
      <c r="H380" s="37">
        <v>549</v>
      </c>
      <c r="I380" s="23">
        <v>41426</v>
      </c>
      <c r="J380" s="37">
        <v>1</v>
      </c>
      <c r="K380" s="24" t="s">
        <v>411</v>
      </c>
      <c r="L380" s="24">
        <v>41426</v>
      </c>
      <c r="M380" s="24">
        <v>41093</v>
      </c>
      <c r="N380" s="22" t="s">
        <v>584</v>
      </c>
      <c r="O380">
        <v>9130727</v>
      </c>
      <c r="P380" s="22">
        <v>1020</v>
      </c>
      <c r="Q380" s="22">
        <v>42</v>
      </c>
      <c r="R380" s="22" t="s">
        <v>833</v>
      </c>
      <c r="S380" s="3"/>
      <c r="T380" s="4"/>
      <c r="U380" s="164"/>
      <c r="V380" s="4"/>
      <c r="W380" s="1"/>
      <c r="X380" s="75"/>
      <c r="Y380" s="28" t="e">
        <v>#REF!</v>
      </c>
      <c r="Z380" s="1"/>
      <c r="AA380" s="24">
        <v>0</v>
      </c>
      <c r="AB380" s="28">
        <v>0</v>
      </c>
      <c r="AC380" s="4"/>
      <c r="AD380" s="4"/>
      <c r="AE380" s="4"/>
    </row>
    <row r="381" spans="1:31" s="4" customFormat="1" ht="14.25" customHeight="1" x14ac:dyDescent="0.4">
      <c r="A381">
        <v>452</v>
      </c>
      <c r="B381" s="24">
        <v>0</v>
      </c>
      <c r="C381" s="24">
        <v>0</v>
      </c>
      <c r="D381" s="24">
        <v>0</v>
      </c>
      <c r="E381" s="24">
        <v>0</v>
      </c>
      <c r="F381" s="24">
        <v>0</v>
      </c>
      <c r="G381" s="24">
        <v>0</v>
      </c>
      <c r="H381" s="37">
        <v>550</v>
      </c>
      <c r="I381" s="23">
        <v>41426</v>
      </c>
      <c r="J381" s="37">
        <v>2</v>
      </c>
      <c r="K381" s="24" t="s">
        <v>411</v>
      </c>
      <c r="L381" s="24">
        <v>41426</v>
      </c>
      <c r="M381" s="24">
        <v>41093</v>
      </c>
      <c r="N381" s="22" t="s">
        <v>584</v>
      </c>
      <c r="O381">
        <v>9130728</v>
      </c>
      <c r="P381" s="22">
        <v>1020</v>
      </c>
      <c r="Q381" s="22">
        <v>42</v>
      </c>
      <c r="R381" s="22" t="s">
        <v>2421</v>
      </c>
      <c r="S381" s="3"/>
      <c r="U381" s="164"/>
      <c r="W381" s="1"/>
      <c r="X381" s="75"/>
      <c r="Y381" s="28" t="e">
        <v>#REF!</v>
      </c>
      <c r="Z381" s="1"/>
      <c r="AA381" s="24">
        <v>0</v>
      </c>
      <c r="AB381" s="28">
        <v>0</v>
      </c>
    </row>
    <row r="382" spans="1:31" ht="14.25" customHeight="1" x14ac:dyDescent="0.4">
      <c r="A382">
        <v>148</v>
      </c>
      <c r="B382" s="22">
        <v>0</v>
      </c>
      <c r="C382" s="22">
        <v>0</v>
      </c>
      <c r="D382" s="22">
        <v>0</v>
      </c>
      <c r="E382" s="24">
        <v>41110</v>
      </c>
      <c r="F382" s="24" t="s">
        <v>393</v>
      </c>
      <c r="G382" s="24">
        <v>41124</v>
      </c>
      <c r="H382" s="37">
        <v>20</v>
      </c>
      <c r="I382" s="23">
        <v>41091</v>
      </c>
      <c r="J382" s="37">
        <v>20</v>
      </c>
      <c r="K382" s="24" t="s">
        <v>411</v>
      </c>
      <c r="L382" s="24">
        <v>41091</v>
      </c>
      <c r="M382" s="24">
        <v>41068</v>
      </c>
      <c r="N382" s="22" t="s">
        <v>587</v>
      </c>
      <c r="O382">
        <v>9130241</v>
      </c>
      <c r="P382" s="22">
        <v>1020</v>
      </c>
      <c r="Q382" s="22">
        <v>50</v>
      </c>
      <c r="R382" s="22" t="s">
        <v>694</v>
      </c>
      <c r="S382" s="3" t="s">
        <v>483</v>
      </c>
      <c r="T382" s="4"/>
      <c r="U382" s="164"/>
      <c r="V382" s="4"/>
      <c r="Y382" s="28" t="e">
        <v>#REF!</v>
      </c>
      <c r="AA382" s="24" t="s">
        <v>393</v>
      </c>
      <c r="AB382" s="28">
        <v>41124</v>
      </c>
      <c r="AC382" s="4"/>
      <c r="AD382" s="4"/>
      <c r="AE382" s="4"/>
    </row>
    <row r="383" spans="1:31" ht="14.25" customHeight="1" x14ac:dyDescent="0.4">
      <c r="A383">
        <v>583</v>
      </c>
      <c r="B383" s="22">
        <v>0</v>
      </c>
      <c r="C383" s="22" t="s">
        <v>2165</v>
      </c>
      <c r="D383" s="22">
        <v>0</v>
      </c>
      <c r="E383" s="24">
        <v>41110</v>
      </c>
      <c r="F383" s="24" t="s">
        <v>393</v>
      </c>
      <c r="G383" s="24">
        <v>41123</v>
      </c>
      <c r="H383" s="37">
        <v>21</v>
      </c>
      <c r="I383" s="23">
        <v>41091</v>
      </c>
      <c r="J383" s="37">
        <v>21</v>
      </c>
      <c r="K383" s="24" t="s">
        <v>411</v>
      </c>
      <c r="L383" s="24">
        <v>41244</v>
      </c>
      <c r="M383" s="24">
        <v>41068</v>
      </c>
      <c r="N383" s="22" t="s">
        <v>587</v>
      </c>
      <c r="O383">
        <v>9130242</v>
      </c>
      <c r="P383" s="22">
        <v>1020</v>
      </c>
      <c r="Q383" s="22">
        <v>50</v>
      </c>
      <c r="R383" s="22" t="s">
        <v>696</v>
      </c>
      <c r="S383" s="3" t="s">
        <v>483</v>
      </c>
      <c r="T383" s="4"/>
      <c r="V383" s="4"/>
      <c r="AA383" s="24" t="s">
        <v>393</v>
      </c>
      <c r="AB383" s="28">
        <v>41123</v>
      </c>
      <c r="AC383" s="4"/>
      <c r="AD383" s="4"/>
      <c r="AE383" s="4"/>
    </row>
    <row r="384" spans="1:31" ht="14.25" customHeight="1" x14ac:dyDescent="0.4">
      <c r="A384">
        <v>584</v>
      </c>
      <c r="B384" s="22">
        <v>0</v>
      </c>
      <c r="C384" s="22">
        <v>0</v>
      </c>
      <c r="D384" s="22">
        <v>0</v>
      </c>
      <c r="E384" s="24">
        <v>0</v>
      </c>
      <c r="F384" s="24">
        <v>0</v>
      </c>
      <c r="G384" s="24">
        <v>0</v>
      </c>
      <c r="H384" s="37">
        <v>410</v>
      </c>
      <c r="I384" s="23">
        <v>41306</v>
      </c>
      <c r="J384" s="37">
        <v>15</v>
      </c>
      <c r="K384" s="24" t="s">
        <v>411</v>
      </c>
      <c r="L384" s="24">
        <v>41306</v>
      </c>
      <c r="M384" s="24">
        <v>41068</v>
      </c>
      <c r="N384" s="22" t="s">
        <v>587</v>
      </c>
      <c r="O384">
        <v>9130243</v>
      </c>
      <c r="P384" s="22">
        <v>1020</v>
      </c>
      <c r="Q384" s="22">
        <v>50</v>
      </c>
      <c r="R384" s="22" t="s">
        <v>698</v>
      </c>
      <c r="T384" s="4"/>
      <c r="V384" s="4"/>
      <c r="AA384" s="24">
        <v>0</v>
      </c>
      <c r="AB384" s="28">
        <v>0</v>
      </c>
      <c r="AC384" s="4"/>
      <c r="AD384" s="4"/>
      <c r="AE384" s="4"/>
    </row>
    <row r="385" spans="1:31" ht="14.25" customHeight="1" x14ac:dyDescent="0.4">
      <c r="A385">
        <v>149</v>
      </c>
      <c r="B385" s="24">
        <v>0</v>
      </c>
      <c r="C385" s="24">
        <v>0</v>
      </c>
      <c r="D385" s="24">
        <v>0</v>
      </c>
      <c r="E385" s="24">
        <v>0</v>
      </c>
      <c r="F385" s="24">
        <v>0</v>
      </c>
      <c r="G385" s="24">
        <v>0</v>
      </c>
      <c r="H385" s="37">
        <v>411</v>
      </c>
      <c r="I385" s="23">
        <v>41306</v>
      </c>
      <c r="J385" s="37">
        <v>16</v>
      </c>
      <c r="K385" s="24" t="s">
        <v>411</v>
      </c>
      <c r="L385" s="24">
        <v>41306</v>
      </c>
      <c r="M385" s="24">
        <v>41068</v>
      </c>
      <c r="N385" s="22" t="s">
        <v>587</v>
      </c>
      <c r="O385">
        <v>9130244</v>
      </c>
      <c r="P385" s="22">
        <v>1020</v>
      </c>
      <c r="Q385" s="22">
        <v>50</v>
      </c>
      <c r="R385" s="22" t="s">
        <v>699</v>
      </c>
      <c r="S385" s="38"/>
      <c r="T385" s="4"/>
      <c r="U385" s="44"/>
      <c r="V385" s="4"/>
      <c r="W385" s="9"/>
      <c r="X385" s="74">
        <v>0</v>
      </c>
      <c r="Y385" s="28" t="e">
        <v>#REF!</v>
      </c>
      <c r="Z385" s="4"/>
      <c r="AA385" s="24">
        <v>0</v>
      </c>
      <c r="AB385" s="28">
        <v>0</v>
      </c>
      <c r="AC385" s="4"/>
      <c r="AD385" s="4"/>
      <c r="AE385" s="4"/>
    </row>
    <row r="386" spans="1:31" ht="14.25" customHeight="1" x14ac:dyDescent="0.4">
      <c r="A386">
        <v>462</v>
      </c>
      <c r="B386" s="22">
        <v>0</v>
      </c>
      <c r="C386" s="22" t="s">
        <v>2102</v>
      </c>
      <c r="D386" s="22">
        <v>0</v>
      </c>
      <c r="E386" s="24">
        <v>41136</v>
      </c>
      <c r="F386" s="24" t="s">
        <v>393</v>
      </c>
      <c r="G386" s="24">
        <v>41151</v>
      </c>
      <c r="H386" s="37">
        <v>62</v>
      </c>
      <c r="I386" s="23">
        <v>41122</v>
      </c>
      <c r="J386" s="37">
        <v>30</v>
      </c>
      <c r="K386" s="24" t="s">
        <v>411</v>
      </c>
      <c r="L386" s="24">
        <v>41122</v>
      </c>
      <c r="M386" s="24">
        <v>41129</v>
      </c>
      <c r="N386" s="22" t="s">
        <v>673</v>
      </c>
      <c r="O386">
        <v>9130749</v>
      </c>
      <c r="P386" s="22">
        <v>1020</v>
      </c>
      <c r="Q386" s="22">
        <v>50</v>
      </c>
      <c r="R386" s="22" t="s">
        <v>694</v>
      </c>
      <c r="S386" s="3" t="s">
        <v>484</v>
      </c>
      <c r="T386" s="4"/>
      <c r="U386" s="44"/>
      <c r="V386" s="4"/>
      <c r="W386" s="9"/>
      <c r="X386" s="74"/>
      <c r="Y386" s="28" t="e">
        <v>#REF!</v>
      </c>
      <c r="Z386" s="9"/>
      <c r="AA386" s="24" t="s">
        <v>393</v>
      </c>
      <c r="AB386" s="28">
        <v>41151</v>
      </c>
      <c r="AC386" s="4"/>
      <c r="AD386" s="4"/>
      <c r="AE386" s="4"/>
    </row>
    <row r="387" spans="1:31" ht="14.25" customHeight="1" x14ac:dyDescent="0.4">
      <c r="A387">
        <v>463</v>
      </c>
      <c r="B387" s="22">
        <v>0</v>
      </c>
      <c r="C387" s="22">
        <v>0</v>
      </c>
      <c r="D387" s="22">
        <v>0</v>
      </c>
      <c r="E387" s="24">
        <v>41137</v>
      </c>
      <c r="F387" s="24" t="s">
        <v>393</v>
      </c>
      <c r="G387" s="24">
        <v>41149</v>
      </c>
      <c r="H387" s="37">
        <v>63</v>
      </c>
      <c r="I387" s="23">
        <v>41122</v>
      </c>
      <c r="J387" s="37">
        <v>31</v>
      </c>
      <c r="K387" s="24" t="s">
        <v>411</v>
      </c>
      <c r="L387" s="24">
        <v>41122</v>
      </c>
      <c r="M387" s="24">
        <v>41129</v>
      </c>
      <c r="N387" s="22" t="s">
        <v>673</v>
      </c>
      <c r="O387">
        <v>9130750</v>
      </c>
      <c r="P387" s="22">
        <v>1020</v>
      </c>
      <c r="Q387" s="22">
        <v>50</v>
      </c>
      <c r="R387" s="22" t="s">
        <v>696</v>
      </c>
      <c r="S387" s="3" t="s">
        <v>484</v>
      </c>
      <c r="T387" s="4"/>
      <c r="U387" s="44"/>
      <c r="V387" s="4"/>
      <c r="W387" s="57"/>
      <c r="Y387" s="28" t="e">
        <v>#REF!</v>
      </c>
      <c r="Z387" s="9"/>
      <c r="AA387" s="24" t="s">
        <v>393</v>
      </c>
      <c r="AB387" s="28">
        <v>41149</v>
      </c>
      <c r="AC387" s="4"/>
      <c r="AD387" s="4"/>
      <c r="AE387" s="4"/>
    </row>
    <row r="388" spans="1:31" ht="14.25" customHeight="1" x14ac:dyDescent="0.4">
      <c r="A388">
        <v>464</v>
      </c>
      <c r="B388" s="22">
        <v>0</v>
      </c>
      <c r="C388" s="22" t="s">
        <v>2165</v>
      </c>
      <c r="D388" s="22">
        <v>0</v>
      </c>
      <c r="E388" s="24">
        <v>41142</v>
      </c>
      <c r="F388" s="24" t="s">
        <v>393</v>
      </c>
      <c r="G388" s="24">
        <v>41150</v>
      </c>
      <c r="H388" s="37">
        <v>72</v>
      </c>
      <c r="I388" s="23">
        <v>41122</v>
      </c>
      <c r="J388" s="37">
        <v>40</v>
      </c>
      <c r="K388" s="24" t="s">
        <v>411</v>
      </c>
      <c r="L388" s="24">
        <v>41122</v>
      </c>
      <c r="M388" s="24">
        <v>41129</v>
      </c>
      <c r="N388" s="22" t="s">
        <v>673</v>
      </c>
      <c r="O388">
        <v>9130751</v>
      </c>
      <c r="P388" s="22">
        <v>1020</v>
      </c>
      <c r="Q388" s="22">
        <v>50</v>
      </c>
      <c r="R388" s="22" t="s">
        <v>698</v>
      </c>
      <c r="S388" s="3" t="s">
        <v>484</v>
      </c>
      <c r="T388" s="4"/>
      <c r="U388" s="44"/>
      <c r="V388" s="4"/>
      <c r="W388" s="57"/>
      <c r="X388" s="74"/>
      <c r="Y388" s="28" t="e">
        <v>#REF!</v>
      </c>
      <c r="Z388" s="28"/>
      <c r="AA388" s="24" t="s">
        <v>393</v>
      </c>
      <c r="AB388" s="28">
        <v>41150</v>
      </c>
      <c r="AC388" s="4"/>
      <c r="AD388" s="4"/>
      <c r="AE388" s="4"/>
    </row>
    <row r="389" spans="1:31" ht="14.25" customHeight="1" x14ac:dyDescent="0.4">
      <c r="A389">
        <v>465</v>
      </c>
      <c r="B389" s="34">
        <v>0</v>
      </c>
      <c r="C389" s="34">
        <v>0</v>
      </c>
      <c r="D389" s="34">
        <v>0</v>
      </c>
      <c r="E389" s="32">
        <v>41142</v>
      </c>
      <c r="F389" s="24" t="s">
        <v>393</v>
      </c>
      <c r="G389" s="24">
        <v>41149</v>
      </c>
      <c r="H389" s="37">
        <v>73</v>
      </c>
      <c r="I389" s="23">
        <v>41122</v>
      </c>
      <c r="J389" s="37">
        <v>41</v>
      </c>
      <c r="K389" s="24" t="s">
        <v>411</v>
      </c>
      <c r="L389" s="24">
        <v>41122</v>
      </c>
      <c r="M389" s="32">
        <v>41129</v>
      </c>
      <c r="N389" s="22" t="s">
        <v>673</v>
      </c>
      <c r="O389">
        <v>9130755</v>
      </c>
      <c r="P389" s="22">
        <v>1020</v>
      </c>
      <c r="Q389" s="22">
        <v>50</v>
      </c>
      <c r="R389" s="22" t="s">
        <v>699</v>
      </c>
      <c r="S389" s="3" t="s">
        <v>484</v>
      </c>
      <c r="T389" s="4"/>
      <c r="U389" s="94"/>
      <c r="V389" s="4"/>
      <c r="W389" s="92"/>
      <c r="X389" s="74"/>
      <c r="Y389" s="28" t="e">
        <v>#REF!</v>
      </c>
      <c r="Z389" s="28"/>
      <c r="AA389" s="24" t="s">
        <v>393</v>
      </c>
      <c r="AB389" s="28">
        <v>41149</v>
      </c>
      <c r="AC389" s="4"/>
      <c r="AD389" s="4"/>
      <c r="AE389" s="4"/>
    </row>
    <row r="390" spans="1:31" ht="14.25" customHeight="1" x14ac:dyDescent="0.4">
      <c r="A390">
        <v>466</v>
      </c>
      <c r="B390" s="34">
        <v>0</v>
      </c>
      <c r="C390" s="34" t="s">
        <v>2165</v>
      </c>
      <c r="D390" s="34">
        <v>0</v>
      </c>
      <c r="E390" s="32">
        <v>41142</v>
      </c>
      <c r="F390" s="24" t="s">
        <v>393</v>
      </c>
      <c r="G390" s="24">
        <v>41152</v>
      </c>
      <c r="H390" s="37">
        <v>74</v>
      </c>
      <c r="I390" s="23">
        <v>41122</v>
      </c>
      <c r="J390" s="37">
        <v>42</v>
      </c>
      <c r="K390" s="24" t="s">
        <v>411</v>
      </c>
      <c r="L390" s="24">
        <v>41122</v>
      </c>
      <c r="M390" s="32">
        <v>41129</v>
      </c>
      <c r="N390" s="22" t="s">
        <v>673</v>
      </c>
      <c r="O390">
        <v>9130758</v>
      </c>
      <c r="P390" s="22">
        <v>1020</v>
      </c>
      <c r="Q390" s="22">
        <v>50</v>
      </c>
      <c r="R390" s="22" t="s">
        <v>846</v>
      </c>
      <c r="S390" s="3" t="s">
        <v>484</v>
      </c>
      <c r="T390" s="4"/>
      <c r="U390" s="44"/>
      <c r="V390" s="4"/>
      <c r="W390" s="57"/>
      <c r="Y390" s="28" t="e">
        <v>#REF!</v>
      </c>
      <c r="Z390" s="28"/>
      <c r="AA390" s="24" t="s">
        <v>393</v>
      </c>
      <c r="AB390" s="28">
        <v>41152</v>
      </c>
      <c r="AC390" s="4"/>
      <c r="AD390" s="4"/>
    </row>
    <row r="391" spans="1:31" ht="14.25" customHeight="1" x14ac:dyDescent="0.4">
      <c r="A391">
        <v>467</v>
      </c>
      <c r="B391" s="34">
        <v>0</v>
      </c>
      <c r="C391" s="34" t="s">
        <v>2165</v>
      </c>
      <c r="D391" s="34">
        <v>0</v>
      </c>
      <c r="E391" s="32">
        <v>41143</v>
      </c>
      <c r="F391" s="24" t="s">
        <v>393</v>
      </c>
      <c r="G391" s="24">
        <v>41152</v>
      </c>
      <c r="H391" s="37">
        <v>75</v>
      </c>
      <c r="I391" s="23">
        <v>41122</v>
      </c>
      <c r="J391" s="37">
        <v>43</v>
      </c>
      <c r="K391" s="24" t="s">
        <v>411</v>
      </c>
      <c r="L391" s="24">
        <v>41122</v>
      </c>
      <c r="M391" s="32">
        <v>41129</v>
      </c>
      <c r="N391" s="22" t="s">
        <v>673</v>
      </c>
      <c r="O391">
        <v>9130762</v>
      </c>
      <c r="P391" s="22">
        <v>1020</v>
      </c>
      <c r="Q391" s="22">
        <v>50</v>
      </c>
      <c r="R391" s="22" t="s">
        <v>1575</v>
      </c>
      <c r="S391" s="3" t="s">
        <v>484</v>
      </c>
      <c r="T391" s="4"/>
      <c r="U391" s="44"/>
      <c r="V391" s="4"/>
      <c r="W391" s="9"/>
      <c r="X391" s="74"/>
      <c r="Y391" s="28" t="e">
        <v>#REF!</v>
      </c>
      <c r="Z391" s="9"/>
      <c r="AA391" s="24" t="s">
        <v>393</v>
      </c>
      <c r="AB391" s="28">
        <v>41152</v>
      </c>
      <c r="AC391" s="4"/>
      <c r="AD391" s="4"/>
    </row>
    <row r="392" spans="1:31" ht="14.25" customHeight="1" x14ac:dyDescent="0.4">
      <c r="A392">
        <v>468</v>
      </c>
      <c r="B392" s="34">
        <v>0</v>
      </c>
      <c r="C392" s="34">
        <v>0</v>
      </c>
      <c r="D392" s="34">
        <v>0</v>
      </c>
      <c r="E392" s="32">
        <v>41143</v>
      </c>
      <c r="F392" s="24" t="s">
        <v>392</v>
      </c>
      <c r="G392" s="24">
        <v>41152</v>
      </c>
      <c r="H392" s="37">
        <v>76</v>
      </c>
      <c r="I392" s="23">
        <v>41122</v>
      </c>
      <c r="J392" s="37">
        <v>44</v>
      </c>
      <c r="K392" s="24" t="s">
        <v>411</v>
      </c>
      <c r="L392" s="24">
        <v>41122</v>
      </c>
      <c r="M392" s="32">
        <v>41129</v>
      </c>
      <c r="N392" s="22" t="s">
        <v>673</v>
      </c>
      <c r="O392">
        <v>9130763</v>
      </c>
      <c r="P392" s="22">
        <v>1020</v>
      </c>
      <c r="Q392" s="22">
        <v>50</v>
      </c>
      <c r="R392" s="22" t="s">
        <v>810</v>
      </c>
      <c r="S392" s="55"/>
      <c r="T392" s="4"/>
      <c r="U392" s="94"/>
      <c r="V392" s="4"/>
      <c r="W392" s="92"/>
      <c r="X392" s="74"/>
      <c r="Y392" s="28" t="e">
        <v>#REF!</v>
      </c>
      <c r="Z392" s="28"/>
      <c r="AA392" s="24" t="s">
        <v>392</v>
      </c>
      <c r="AB392" s="28">
        <v>41152</v>
      </c>
    </row>
    <row r="393" spans="1:31" ht="14.25" customHeight="1" x14ac:dyDescent="0.4">
      <c r="A393">
        <v>469</v>
      </c>
      <c r="B393" s="34">
        <v>0</v>
      </c>
      <c r="C393" s="34">
        <v>0</v>
      </c>
      <c r="D393" s="34">
        <v>0</v>
      </c>
      <c r="E393" s="32">
        <v>41143</v>
      </c>
      <c r="F393" s="24" t="s">
        <v>392</v>
      </c>
      <c r="G393" s="24">
        <v>41152</v>
      </c>
      <c r="H393" s="37">
        <v>77</v>
      </c>
      <c r="I393" s="23">
        <v>41122</v>
      </c>
      <c r="J393" s="37">
        <v>45</v>
      </c>
      <c r="K393" s="24" t="s">
        <v>411</v>
      </c>
      <c r="L393" s="24">
        <v>41122</v>
      </c>
      <c r="M393" s="32">
        <v>41129</v>
      </c>
      <c r="N393" s="22" t="s">
        <v>673</v>
      </c>
      <c r="O393">
        <v>9130764</v>
      </c>
      <c r="P393" s="22">
        <v>1020</v>
      </c>
      <c r="Q393" s="22">
        <v>50</v>
      </c>
      <c r="R393" s="22" t="s">
        <v>826</v>
      </c>
      <c r="S393" s="47"/>
      <c r="T393" s="4"/>
      <c r="U393" s="88"/>
      <c r="V393" s="4"/>
      <c r="W393" s="89"/>
      <c r="X393" s="170"/>
      <c r="Y393" s="28" t="e">
        <v>#REF!</v>
      </c>
      <c r="Z393" s="28"/>
      <c r="AA393" s="24" t="s">
        <v>392</v>
      </c>
      <c r="AB393" s="28">
        <v>41152</v>
      </c>
    </row>
    <row r="394" spans="1:31" ht="14.25" customHeight="1" x14ac:dyDescent="0.4">
      <c r="A394">
        <v>470</v>
      </c>
      <c r="B394" s="34">
        <v>0</v>
      </c>
      <c r="C394" s="34" t="s">
        <v>2165</v>
      </c>
      <c r="D394" s="34">
        <v>0</v>
      </c>
      <c r="E394" s="32">
        <v>0</v>
      </c>
      <c r="F394" s="24">
        <v>0</v>
      </c>
      <c r="G394" s="24">
        <v>0</v>
      </c>
      <c r="H394" s="37">
        <v>508</v>
      </c>
      <c r="I394" s="23">
        <v>41334</v>
      </c>
      <c r="J394" s="37">
        <v>54</v>
      </c>
      <c r="K394" s="24" t="s">
        <v>411</v>
      </c>
      <c r="L394" s="24">
        <v>41334</v>
      </c>
      <c r="M394" s="32">
        <v>41129</v>
      </c>
      <c r="N394" s="22" t="s">
        <v>673</v>
      </c>
      <c r="O394">
        <v>9130765</v>
      </c>
      <c r="P394" s="22">
        <v>1020</v>
      </c>
      <c r="Q394" s="22">
        <v>42</v>
      </c>
      <c r="R394" s="22" t="s">
        <v>822</v>
      </c>
      <c r="S394" s="4"/>
      <c r="T394" s="4"/>
      <c r="U394" s="44"/>
      <c r="V394" s="4"/>
      <c r="W394" s="89"/>
      <c r="X394" s="84"/>
      <c r="Y394" s="28" t="e">
        <v>#REF!</v>
      </c>
      <c r="Z394" s="28"/>
      <c r="AA394" s="24">
        <v>0</v>
      </c>
      <c r="AB394" s="28">
        <v>0</v>
      </c>
    </row>
    <row r="395" spans="1:31" ht="14.25" customHeight="1" x14ac:dyDescent="0.4">
      <c r="A395">
        <v>471</v>
      </c>
      <c r="B395" s="34">
        <v>0</v>
      </c>
      <c r="C395" s="34">
        <v>0</v>
      </c>
      <c r="D395" s="34">
        <v>0</v>
      </c>
      <c r="E395" s="32">
        <v>0</v>
      </c>
      <c r="F395" s="24">
        <v>0</v>
      </c>
      <c r="G395" s="24">
        <v>0</v>
      </c>
      <c r="H395" s="37">
        <v>509</v>
      </c>
      <c r="I395" s="23">
        <v>41334</v>
      </c>
      <c r="J395" s="37">
        <v>55</v>
      </c>
      <c r="K395" s="24" t="s">
        <v>411</v>
      </c>
      <c r="L395" s="24">
        <v>41334</v>
      </c>
      <c r="M395" s="32">
        <v>41129</v>
      </c>
      <c r="N395" s="22" t="s">
        <v>673</v>
      </c>
      <c r="O395">
        <v>9130767</v>
      </c>
      <c r="P395" s="22">
        <v>1020</v>
      </c>
      <c r="Q395" s="22">
        <v>42</v>
      </c>
      <c r="R395" s="22" t="s">
        <v>815</v>
      </c>
      <c r="S395" s="4"/>
      <c r="T395" s="4"/>
      <c r="U395" s="44"/>
      <c r="V395" s="4"/>
      <c r="W395" s="9"/>
      <c r="Y395" s="28" t="e">
        <v>#REF!</v>
      </c>
      <c r="Z395" s="28"/>
      <c r="AA395" s="24">
        <v>0</v>
      </c>
      <c r="AB395" s="28">
        <v>0</v>
      </c>
    </row>
    <row r="396" spans="1:31" ht="14.25" customHeight="1" x14ac:dyDescent="0.4">
      <c r="A396">
        <v>472</v>
      </c>
      <c r="B396" s="34">
        <v>0</v>
      </c>
      <c r="C396" s="34">
        <v>0</v>
      </c>
      <c r="D396" s="34">
        <v>0</v>
      </c>
      <c r="E396" s="32">
        <v>0</v>
      </c>
      <c r="F396" s="24">
        <v>0</v>
      </c>
      <c r="G396" s="24">
        <v>0</v>
      </c>
      <c r="H396" s="37">
        <v>510</v>
      </c>
      <c r="I396" s="23">
        <v>41334</v>
      </c>
      <c r="J396" s="37">
        <v>56</v>
      </c>
      <c r="K396" s="24" t="s">
        <v>411</v>
      </c>
      <c r="L396" s="24">
        <v>41334</v>
      </c>
      <c r="M396" s="32">
        <v>41129</v>
      </c>
      <c r="N396" s="22" t="s">
        <v>673</v>
      </c>
      <c r="O396">
        <v>9130768</v>
      </c>
      <c r="P396" s="22">
        <v>1020</v>
      </c>
      <c r="Q396" s="22">
        <v>42</v>
      </c>
      <c r="R396" s="22" t="s">
        <v>1620</v>
      </c>
      <c r="S396" s="4"/>
      <c r="T396" s="4"/>
      <c r="U396" s="42"/>
      <c r="V396" s="4"/>
      <c r="W396" s="28"/>
      <c r="X396" s="74"/>
      <c r="Y396" s="28" t="e">
        <v>#REF!</v>
      </c>
      <c r="Z396" s="9"/>
      <c r="AA396" s="24">
        <v>0</v>
      </c>
      <c r="AB396" s="28">
        <v>0</v>
      </c>
    </row>
    <row r="397" spans="1:31" ht="14.25" customHeight="1" x14ac:dyDescent="0.4">
      <c r="A397">
        <v>473</v>
      </c>
      <c r="B397" s="32">
        <v>0</v>
      </c>
      <c r="C397" s="32">
        <v>0</v>
      </c>
      <c r="D397" s="32">
        <v>0</v>
      </c>
      <c r="E397" s="32">
        <v>0</v>
      </c>
      <c r="F397" s="24">
        <v>0</v>
      </c>
      <c r="G397" s="24">
        <v>0</v>
      </c>
      <c r="H397" s="37">
        <v>511</v>
      </c>
      <c r="I397" s="23">
        <v>41334</v>
      </c>
      <c r="J397" s="37">
        <v>57</v>
      </c>
      <c r="K397" s="24" t="s">
        <v>411</v>
      </c>
      <c r="L397" s="24">
        <v>41334</v>
      </c>
      <c r="M397" s="32">
        <v>41129</v>
      </c>
      <c r="N397" s="22" t="s">
        <v>673</v>
      </c>
      <c r="O397">
        <v>9130769</v>
      </c>
      <c r="P397" s="22">
        <v>1020</v>
      </c>
      <c r="Q397" s="22">
        <v>42</v>
      </c>
      <c r="R397" s="22" t="s">
        <v>2420</v>
      </c>
      <c r="T397" s="4"/>
      <c r="U397" s="164"/>
      <c r="V397" s="4"/>
      <c r="W397" s="43"/>
      <c r="Y397" s="28" t="e">
        <v>#REF!</v>
      </c>
      <c r="AA397" s="24">
        <v>0</v>
      </c>
      <c r="AB397" s="28">
        <v>0</v>
      </c>
    </row>
    <row r="398" spans="1:31" ht="14.25" customHeight="1" x14ac:dyDescent="0.4">
      <c r="A398">
        <v>474</v>
      </c>
      <c r="B398" s="32">
        <v>0</v>
      </c>
      <c r="C398" s="32">
        <v>0</v>
      </c>
      <c r="D398" s="32">
        <v>0</v>
      </c>
      <c r="E398" s="32">
        <v>0</v>
      </c>
      <c r="F398" s="24">
        <v>0</v>
      </c>
      <c r="G398" s="24">
        <v>0</v>
      </c>
      <c r="H398" s="37">
        <v>516</v>
      </c>
      <c r="I398" s="23">
        <v>41365</v>
      </c>
      <c r="J398" s="37">
        <v>5</v>
      </c>
      <c r="K398" s="24" t="s">
        <v>411</v>
      </c>
      <c r="L398" s="24">
        <v>41365</v>
      </c>
      <c r="M398" s="32">
        <v>41129</v>
      </c>
      <c r="N398" s="22" t="s">
        <v>673</v>
      </c>
      <c r="O398">
        <v>9130770</v>
      </c>
      <c r="P398" s="22">
        <v>1020</v>
      </c>
      <c r="Q398" s="22">
        <v>42</v>
      </c>
      <c r="R398" s="22" t="s">
        <v>833</v>
      </c>
      <c r="T398" s="4"/>
      <c r="U398" s="94"/>
      <c r="V398" s="4"/>
      <c r="W398" s="43"/>
      <c r="Y398" s="28" t="e">
        <v>#REF!</v>
      </c>
      <c r="AA398" s="24">
        <v>0</v>
      </c>
      <c r="AB398" s="28">
        <v>0</v>
      </c>
    </row>
    <row r="399" spans="1:31" ht="14.25" customHeight="1" x14ac:dyDescent="0.4">
      <c r="A399">
        <v>475</v>
      </c>
      <c r="B399" s="34">
        <v>0</v>
      </c>
      <c r="C399" s="34">
        <v>0</v>
      </c>
      <c r="D399" s="34">
        <v>0</v>
      </c>
      <c r="E399" s="32">
        <v>0</v>
      </c>
      <c r="F399" s="24">
        <v>0</v>
      </c>
      <c r="G399" s="24">
        <v>0</v>
      </c>
      <c r="H399" s="37">
        <v>517</v>
      </c>
      <c r="I399" s="23">
        <v>41365</v>
      </c>
      <c r="J399" s="37">
        <v>6</v>
      </c>
      <c r="K399" s="24" t="s">
        <v>411</v>
      </c>
      <c r="L399" s="24">
        <v>41365</v>
      </c>
      <c r="M399" s="24">
        <v>41129</v>
      </c>
      <c r="N399" s="22" t="s">
        <v>673</v>
      </c>
      <c r="O399">
        <v>9130772</v>
      </c>
      <c r="P399" s="22">
        <v>1020</v>
      </c>
      <c r="Q399" s="22">
        <v>42</v>
      </c>
      <c r="R399" s="22" t="s">
        <v>2421</v>
      </c>
      <c r="S399" s="55"/>
      <c r="T399" s="4"/>
      <c r="U399" s="94"/>
      <c r="V399" s="4"/>
      <c r="W399" s="92"/>
      <c r="X399" s="74"/>
      <c r="Y399" s="28" t="e">
        <v>#REF!</v>
      </c>
      <c r="Z399" s="9"/>
      <c r="AA399" s="24">
        <v>0</v>
      </c>
      <c r="AB399" s="28">
        <v>0</v>
      </c>
    </row>
    <row r="400" spans="1:31" ht="14.25" customHeight="1" x14ac:dyDescent="0.4">
      <c r="A400">
        <v>476</v>
      </c>
      <c r="B400" s="34">
        <v>0</v>
      </c>
      <c r="C400" s="34">
        <v>0</v>
      </c>
      <c r="D400" s="34">
        <v>0</v>
      </c>
      <c r="E400" s="32">
        <v>0</v>
      </c>
      <c r="F400" s="24">
        <v>0</v>
      </c>
      <c r="G400" s="24">
        <v>0</v>
      </c>
      <c r="H400" s="37">
        <v>518</v>
      </c>
      <c r="I400" s="23">
        <v>41365</v>
      </c>
      <c r="J400" s="37">
        <v>7</v>
      </c>
      <c r="K400" s="24" t="s">
        <v>411</v>
      </c>
      <c r="L400" s="24">
        <v>41365</v>
      </c>
      <c r="M400" s="32">
        <v>41129</v>
      </c>
      <c r="N400" s="22" t="s">
        <v>673</v>
      </c>
      <c r="O400">
        <v>9130773</v>
      </c>
      <c r="P400" s="22">
        <v>1020</v>
      </c>
      <c r="Q400" s="22">
        <v>42</v>
      </c>
      <c r="R400" s="22" t="s">
        <v>2422</v>
      </c>
      <c r="S400" s="55"/>
      <c r="T400" s="4"/>
      <c r="U400" s="94"/>
      <c r="V400" s="4"/>
      <c r="W400" s="92"/>
      <c r="X400" s="74"/>
      <c r="Y400" s="28" t="e">
        <v>#REF!</v>
      </c>
      <c r="Z400" s="9"/>
      <c r="AA400" s="24">
        <v>0</v>
      </c>
      <c r="AB400" s="28">
        <v>0</v>
      </c>
    </row>
    <row r="401" spans="1:29" ht="14.25" customHeight="1" x14ac:dyDescent="0.4">
      <c r="A401">
        <v>477</v>
      </c>
      <c r="B401" s="34">
        <v>0</v>
      </c>
      <c r="C401" s="34" t="s">
        <v>2165</v>
      </c>
      <c r="D401" s="34">
        <v>0</v>
      </c>
      <c r="E401" s="32">
        <v>0</v>
      </c>
      <c r="F401" s="24">
        <v>0</v>
      </c>
      <c r="G401" s="24">
        <v>0</v>
      </c>
      <c r="H401" s="37">
        <v>519</v>
      </c>
      <c r="I401" s="23">
        <v>41365</v>
      </c>
      <c r="J401" s="37">
        <v>8</v>
      </c>
      <c r="K401" s="24" t="s">
        <v>411</v>
      </c>
      <c r="L401" s="24">
        <v>41365</v>
      </c>
      <c r="M401" s="32">
        <v>41129</v>
      </c>
      <c r="N401" s="22" t="s">
        <v>673</v>
      </c>
      <c r="O401">
        <v>9130777</v>
      </c>
      <c r="P401" s="22">
        <v>1020</v>
      </c>
      <c r="Q401" s="22">
        <v>42</v>
      </c>
      <c r="R401" s="22" t="s">
        <v>820</v>
      </c>
      <c r="S401" s="55"/>
      <c r="T401" s="4"/>
      <c r="U401" s="94"/>
      <c r="V401" s="4"/>
      <c r="W401" s="92"/>
      <c r="X401" s="175"/>
      <c r="Y401" s="28" t="e">
        <v>#REF!</v>
      </c>
      <c r="Z401" s="9"/>
      <c r="AA401" s="24">
        <v>0</v>
      </c>
      <c r="AB401" s="28">
        <v>0</v>
      </c>
    </row>
    <row r="402" spans="1:29" ht="14.25" customHeight="1" x14ac:dyDescent="0.4">
      <c r="A402">
        <v>146</v>
      </c>
      <c r="B402" s="34">
        <v>0</v>
      </c>
      <c r="C402" s="34">
        <v>0</v>
      </c>
      <c r="D402" s="34">
        <v>0</v>
      </c>
      <c r="E402" s="32">
        <v>0</v>
      </c>
      <c r="F402" s="24">
        <v>0</v>
      </c>
      <c r="G402" s="24">
        <v>0</v>
      </c>
      <c r="H402" s="37">
        <v>175</v>
      </c>
      <c r="I402" s="23">
        <v>41183</v>
      </c>
      <c r="J402" s="37">
        <v>23</v>
      </c>
      <c r="K402" s="24" t="s">
        <v>524</v>
      </c>
      <c r="L402" s="24">
        <v>41183</v>
      </c>
      <c r="M402" s="32">
        <v>41068</v>
      </c>
      <c r="N402" s="22" t="s">
        <v>1423</v>
      </c>
      <c r="O402">
        <v>9130238</v>
      </c>
      <c r="P402" s="22">
        <v>720</v>
      </c>
      <c r="Q402" s="22">
        <v>50</v>
      </c>
      <c r="R402" s="22" t="s">
        <v>2423</v>
      </c>
      <c r="T402" s="4"/>
      <c r="U402" s="164"/>
      <c r="V402" s="4"/>
      <c r="Y402" s="28" t="e">
        <v>#REF!</v>
      </c>
      <c r="AA402" s="24">
        <v>0</v>
      </c>
      <c r="AB402" s="28">
        <v>0</v>
      </c>
    </row>
    <row r="403" spans="1:29" ht="14.25" customHeight="1" x14ac:dyDescent="0.4">
      <c r="A403">
        <v>147</v>
      </c>
      <c r="B403" s="34">
        <v>0</v>
      </c>
      <c r="C403" s="34">
        <v>0</v>
      </c>
      <c r="D403" s="34">
        <v>0</v>
      </c>
      <c r="E403" s="32">
        <v>0</v>
      </c>
      <c r="F403" s="24">
        <v>0</v>
      </c>
      <c r="G403" s="24">
        <v>0</v>
      </c>
      <c r="H403" s="37">
        <v>176</v>
      </c>
      <c r="I403" s="23">
        <v>41183</v>
      </c>
      <c r="J403" s="37">
        <v>24</v>
      </c>
      <c r="K403" s="24" t="s">
        <v>524</v>
      </c>
      <c r="L403" s="24">
        <v>41183</v>
      </c>
      <c r="M403" s="32">
        <v>41068</v>
      </c>
      <c r="N403" s="22" t="s">
        <v>1423</v>
      </c>
      <c r="O403">
        <v>9130239</v>
      </c>
      <c r="P403" s="22">
        <v>720</v>
      </c>
      <c r="Q403" s="22">
        <v>50</v>
      </c>
      <c r="R403" s="22" t="s">
        <v>2424</v>
      </c>
      <c r="T403" s="4"/>
      <c r="U403" s="164"/>
      <c r="V403" s="4"/>
      <c r="Y403" s="28" t="e">
        <v>#REF!</v>
      </c>
      <c r="AA403" s="24">
        <v>0</v>
      </c>
      <c r="AB403" s="28">
        <v>0</v>
      </c>
    </row>
    <row r="404" spans="1:29" ht="14.25" customHeight="1" x14ac:dyDescent="0.4">
      <c r="A404">
        <v>523</v>
      </c>
      <c r="B404" s="34">
        <v>0</v>
      </c>
      <c r="C404" s="34" t="s">
        <v>2165</v>
      </c>
      <c r="D404" s="34">
        <v>0</v>
      </c>
      <c r="E404" s="32">
        <v>0</v>
      </c>
      <c r="F404" s="24">
        <v>0</v>
      </c>
      <c r="G404" s="24">
        <v>0</v>
      </c>
      <c r="H404" s="37">
        <v>202</v>
      </c>
      <c r="I404" s="23">
        <v>41183</v>
      </c>
      <c r="J404" s="37">
        <v>50</v>
      </c>
      <c r="K404" s="24" t="s">
        <v>524</v>
      </c>
      <c r="L404" s="24">
        <v>41244</v>
      </c>
      <c r="M404" s="32">
        <v>41169</v>
      </c>
      <c r="N404" s="22" t="s">
        <v>1423</v>
      </c>
      <c r="O404">
        <v>9130875</v>
      </c>
      <c r="P404" s="22">
        <v>720</v>
      </c>
      <c r="Q404" s="22">
        <v>50</v>
      </c>
      <c r="R404" s="22" t="s">
        <v>2425</v>
      </c>
      <c r="S404" s="102"/>
      <c r="T404" s="4"/>
      <c r="U404" s="44"/>
      <c r="V404" s="4"/>
      <c r="W404" s="92"/>
      <c r="X404" s="74"/>
      <c r="Y404" s="28" t="e">
        <v>#REF!</v>
      </c>
      <c r="Z404" s="28"/>
      <c r="AA404" s="24">
        <v>0</v>
      </c>
      <c r="AB404" s="28">
        <v>0</v>
      </c>
    </row>
    <row r="405" spans="1:29" ht="14.25" customHeight="1" x14ac:dyDescent="0.4">
      <c r="A405">
        <v>524</v>
      </c>
      <c r="B405" s="34">
        <v>0</v>
      </c>
      <c r="C405" s="34">
        <v>0</v>
      </c>
      <c r="D405" s="34">
        <v>0</v>
      </c>
      <c r="E405" s="32">
        <v>0</v>
      </c>
      <c r="F405" s="24">
        <v>0</v>
      </c>
      <c r="G405" s="24">
        <v>0</v>
      </c>
      <c r="H405" s="37">
        <v>203</v>
      </c>
      <c r="I405" s="23">
        <v>41183</v>
      </c>
      <c r="J405" s="37">
        <v>51</v>
      </c>
      <c r="K405" s="24" t="s">
        <v>524</v>
      </c>
      <c r="L405" s="24">
        <v>41244</v>
      </c>
      <c r="M405" s="32">
        <v>41169</v>
      </c>
      <c r="N405" s="22" t="s">
        <v>1423</v>
      </c>
      <c r="O405">
        <v>9130876</v>
      </c>
      <c r="P405" s="22">
        <v>720</v>
      </c>
      <c r="Q405" s="22">
        <v>50</v>
      </c>
      <c r="R405" s="22" t="s">
        <v>2426</v>
      </c>
      <c r="S405" s="4"/>
      <c r="T405" s="4"/>
      <c r="U405" s="42"/>
      <c r="V405" s="4"/>
      <c r="W405" s="28"/>
      <c r="X405" s="74"/>
      <c r="Y405" s="28" t="e">
        <v>#REF!</v>
      </c>
      <c r="Z405" s="28"/>
      <c r="AA405" s="24">
        <v>0</v>
      </c>
      <c r="AB405" s="28">
        <v>0</v>
      </c>
    </row>
    <row r="406" spans="1:29" ht="14.25" customHeight="1" x14ac:dyDescent="0.4">
      <c r="A406">
        <v>201</v>
      </c>
      <c r="B406" s="32">
        <v>41162</v>
      </c>
      <c r="C406" s="32">
        <v>41162</v>
      </c>
      <c r="D406" s="32">
        <v>41162</v>
      </c>
      <c r="E406" s="32">
        <v>41162</v>
      </c>
      <c r="F406" s="24" t="s">
        <v>392</v>
      </c>
      <c r="G406" s="24">
        <v>41180</v>
      </c>
      <c r="H406" s="37">
        <v>110</v>
      </c>
      <c r="I406" s="23">
        <v>41153</v>
      </c>
      <c r="J406" s="37">
        <v>15</v>
      </c>
      <c r="K406" s="24" t="s">
        <v>524</v>
      </c>
      <c r="L406" s="24">
        <v>41122</v>
      </c>
      <c r="M406" s="32">
        <v>41068</v>
      </c>
      <c r="N406" s="22" t="s">
        <v>1377</v>
      </c>
      <c r="O406">
        <v>9130328</v>
      </c>
      <c r="P406" s="22">
        <v>1025</v>
      </c>
      <c r="Q406" s="22">
        <v>42</v>
      </c>
      <c r="R406" s="22">
        <v>1</v>
      </c>
      <c r="S406" s="55"/>
      <c r="T406" s="4"/>
      <c r="U406" s="42"/>
      <c r="V406" s="4"/>
      <c r="W406" s="70"/>
      <c r="X406" s="74"/>
      <c r="Y406" s="28" t="e">
        <v>#REF!</v>
      </c>
      <c r="Z406" s="29"/>
      <c r="AA406" s="24" t="s">
        <v>392</v>
      </c>
      <c r="AB406" s="28">
        <v>41180</v>
      </c>
      <c r="AC406" s="121"/>
    </row>
    <row r="407" spans="1:29" ht="14.25" customHeight="1" x14ac:dyDescent="0.4">
      <c r="A407">
        <v>202</v>
      </c>
      <c r="B407" s="32">
        <v>41150</v>
      </c>
      <c r="C407" s="32">
        <v>41150</v>
      </c>
      <c r="D407" s="32">
        <v>41150</v>
      </c>
      <c r="E407" s="32">
        <v>41150</v>
      </c>
      <c r="F407" s="24" t="s">
        <v>392</v>
      </c>
      <c r="G407" s="24">
        <v>41159</v>
      </c>
      <c r="H407" s="37">
        <v>90</v>
      </c>
      <c r="I407" s="23">
        <v>41122</v>
      </c>
      <c r="J407" s="37">
        <v>58</v>
      </c>
      <c r="K407" s="24" t="s">
        <v>524</v>
      </c>
      <c r="L407" s="24">
        <v>41153</v>
      </c>
      <c r="M407" s="32">
        <v>41068</v>
      </c>
      <c r="N407" s="22" t="s">
        <v>1377</v>
      </c>
      <c r="O407">
        <v>9130329</v>
      </c>
      <c r="P407" s="22">
        <v>720</v>
      </c>
      <c r="Q407" s="22">
        <v>42</v>
      </c>
      <c r="R407" s="22">
        <v>2</v>
      </c>
      <c r="S407" s="49"/>
      <c r="T407" s="4"/>
      <c r="U407" s="164"/>
      <c r="V407" s="4"/>
      <c r="Y407" s="28" t="e">
        <v>#REF!</v>
      </c>
      <c r="AA407" s="24" t="s">
        <v>392</v>
      </c>
      <c r="AB407" s="28">
        <v>41159</v>
      </c>
    </row>
    <row r="408" spans="1:29" ht="14.25" customHeight="1" x14ac:dyDescent="0.4">
      <c r="A408">
        <v>203</v>
      </c>
      <c r="B408" s="34">
        <v>0</v>
      </c>
      <c r="C408" s="34">
        <v>0</v>
      </c>
      <c r="D408" s="34">
        <v>0</v>
      </c>
      <c r="E408" s="32">
        <v>0</v>
      </c>
      <c r="F408" s="24" t="s">
        <v>531</v>
      </c>
      <c r="G408" s="24">
        <v>0</v>
      </c>
      <c r="H408" s="37">
        <v>157</v>
      </c>
      <c r="I408" s="23">
        <v>41183</v>
      </c>
      <c r="J408" s="37">
        <v>5</v>
      </c>
      <c r="K408" s="24" t="s">
        <v>524</v>
      </c>
      <c r="L408" s="24">
        <v>41183</v>
      </c>
      <c r="M408" s="32">
        <v>41068</v>
      </c>
      <c r="N408" s="22" t="s">
        <v>1377</v>
      </c>
      <c r="O408">
        <v>9130330</v>
      </c>
      <c r="P408" s="22">
        <v>1025</v>
      </c>
      <c r="Q408" s="22">
        <v>42</v>
      </c>
      <c r="R408" s="22">
        <v>3</v>
      </c>
      <c r="S408" s="55"/>
      <c r="T408" s="4"/>
      <c r="U408" s="42"/>
      <c r="V408" s="4"/>
      <c r="W408" s="28"/>
      <c r="X408" s="74"/>
      <c r="Y408" s="28" t="e">
        <v>#REF!</v>
      </c>
      <c r="Z408" s="28"/>
      <c r="AA408" s="24" t="s">
        <v>531</v>
      </c>
      <c r="AB408" s="28">
        <v>0</v>
      </c>
    </row>
    <row r="409" spans="1:29" ht="14.25" customHeight="1" x14ac:dyDescent="0.4">
      <c r="A409">
        <v>204</v>
      </c>
      <c r="B409" s="34">
        <v>0</v>
      </c>
      <c r="C409" s="34">
        <v>0</v>
      </c>
      <c r="D409" s="34">
        <v>0</v>
      </c>
      <c r="E409" s="32">
        <v>0</v>
      </c>
      <c r="F409" s="24">
        <v>0</v>
      </c>
      <c r="G409" s="24">
        <v>0</v>
      </c>
      <c r="H409" s="37">
        <v>270</v>
      </c>
      <c r="I409" s="23">
        <v>41214</v>
      </c>
      <c r="J409" s="37">
        <v>49</v>
      </c>
      <c r="K409" s="24" t="s">
        <v>524</v>
      </c>
      <c r="L409" s="24">
        <v>41214</v>
      </c>
      <c r="M409" s="32">
        <v>41068</v>
      </c>
      <c r="N409" s="22" t="s">
        <v>1377</v>
      </c>
      <c r="O409">
        <v>9130331</v>
      </c>
      <c r="P409" s="22">
        <v>720</v>
      </c>
      <c r="Q409" s="22">
        <v>42</v>
      </c>
      <c r="R409" s="22">
        <v>4</v>
      </c>
      <c r="S409" s="102"/>
      <c r="T409" s="4"/>
      <c r="U409" s="42"/>
      <c r="V409" s="4"/>
      <c r="W409" s="28"/>
      <c r="X409" s="74"/>
      <c r="Y409" s="28" t="e">
        <v>#REF!</v>
      </c>
      <c r="Z409" s="9"/>
      <c r="AA409" s="24">
        <v>0</v>
      </c>
      <c r="AB409" s="28">
        <v>0</v>
      </c>
    </row>
    <row r="410" spans="1:29" ht="14.25" customHeight="1" x14ac:dyDescent="0.4">
      <c r="A410">
        <v>139</v>
      </c>
      <c r="B410" s="34">
        <v>0</v>
      </c>
      <c r="C410" s="34">
        <v>0</v>
      </c>
      <c r="D410" s="34">
        <v>0</v>
      </c>
      <c r="E410" s="32">
        <v>0</v>
      </c>
      <c r="F410" s="24">
        <v>0</v>
      </c>
      <c r="G410" s="24">
        <v>0</v>
      </c>
      <c r="H410" s="37">
        <v>174</v>
      </c>
      <c r="I410" s="23">
        <v>41183</v>
      </c>
      <c r="J410" s="37">
        <v>22</v>
      </c>
      <c r="K410" s="24" t="s">
        <v>524</v>
      </c>
      <c r="L410" s="24">
        <v>41183</v>
      </c>
      <c r="M410" s="32">
        <v>41068</v>
      </c>
      <c r="N410" s="22" t="s">
        <v>597</v>
      </c>
      <c r="O410">
        <v>9130226</v>
      </c>
      <c r="P410" s="22">
        <v>1025</v>
      </c>
      <c r="Q410" s="22">
        <v>50</v>
      </c>
      <c r="R410" s="22" t="s">
        <v>2423</v>
      </c>
      <c r="S410" s="4"/>
      <c r="T410" s="4"/>
      <c r="U410" s="44"/>
      <c r="V410" s="4"/>
      <c r="W410" s="9"/>
      <c r="Y410" s="28" t="e">
        <v>#REF!</v>
      </c>
      <c r="Z410" s="28"/>
      <c r="AA410" s="24">
        <v>0</v>
      </c>
      <c r="AB410" s="28">
        <v>0</v>
      </c>
    </row>
    <row r="411" spans="1:29" ht="14.25" customHeight="1" x14ac:dyDescent="0.4">
      <c r="A411">
        <v>140</v>
      </c>
      <c r="B411" s="32">
        <v>0</v>
      </c>
      <c r="C411" s="32">
        <v>0</v>
      </c>
      <c r="D411" s="32">
        <v>0</v>
      </c>
      <c r="E411" s="32">
        <v>0</v>
      </c>
      <c r="F411" s="24">
        <v>0</v>
      </c>
      <c r="G411" s="24">
        <v>0</v>
      </c>
      <c r="H411" s="37">
        <v>265</v>
      </c>
      <c r="I411" s="23">
        <v>41214</v>
      </c>
      <c r="J411" s="37">
        <v>44</v>
      </c>
      <c r="K411" s="24" t="s">
        <v>524</v>
      </c>
      <c r="L411" s="24">
        <v>41214</v>
      </c>
      <c r="M411" s="32">
        <v>41068</v>
      </c>
      <c r="N411" s="22" t="s">
        <v>597</v>
      </c>
      <c r="O411">
        <v>9130228</v>
      </c>
      <c r="P411" s="22">
        <v>1025</v>
      </c>
      <c r="Q411" s="22">
        <v>50</v>
      </c>
      <c r="R411" s="22" t="s">
        <v>2424</v>
      </c>
      <c r="T411" s="4"/>
      <c r="U411" s="164"/>
      <c r="V411" s="4"/>
      <c r="Y411" s="28" t="e">
        <v>#REF!</v>
      </c>
      <c r="AA411" s="24">
        <v>0</v>
      </c>
      <c r="AB411" s="28">
        <v>0</v>
      </c>
    </row>
    <row r="412" spans="1:29" ht="14.25" customHeight="1" x14ac:dyDescent="0.4">
      <c r="A412">
        <v>141</v>
      </c>
      <c r="B412" s="32">
        <v>0</v>
      </c>
      <c r="C412" s="32">
        <v>0</v>
      </c>
      <c r="D412" s="32">
        <v>0</v>
      </c>
      <c r="E412" s="32">
        <v>0</v>
      </c>
      <c r="F412" s="24">
        <v>0</v>
      </c>
      <c r="G412" s="24">
        <v>0</v>
      </c>
      <c r="H412" s="37">
        <v>322</v>
      </c>
      <c r="I412" s="23">
        <v>41244</v>
      </c>
      <c r="J412" s="37">
        <v>44</v>
      </c>
      <c r="K412" s="24" t="s">
        <v>524</v>
      </c>
      <c r="L412" s="24">
        <v>41244</v>
      </c>
      <c r="M412" s="32">
        <v>41068</v>
      </c>
      <c r="N412" s="22" t="s">
        <v>597</v>
      </c>
      <c r="O412">
        <v>9130229</v>
      </c>
      <c r="P412" s="22">
        <v>1025</v>
      </c>
      <c r="Q412" s="22">
        <v>50</v>
      </c>
      <c r="R412" s="22" t="s">
        <v>2427</v>
      </c>
      <c r="S412" s="3" t="s">
        <v>1460</v>
      </c>
      <c r="T412" s="4" t="s">
        <v>404</v>
      </c>
      <c r="U412" s="164">
        <v>41150</v>
      </c>
      <c r="V412" s="4"/>
      <c r="Y412" s="28" t="e">
        <v>#REF!</v>
      </c>
      <c r="AA412" s="24">
        <v>0</v>
      </c>
      <c r="AB412" s="28">
        <v>0</v>
      </c>
    </row>
    <row r="413" spans="1:29" ht="14.25" customHeight="1" x14ac:dyDescent="0.4">
      <c r="A413">
        <v>182</v>
      </c>
      <c r="B413" s="32">
        <v>0</v>
      </c>
      <c r="C413" s="32">
        <v>0</v>
      </c>
      <c r="D413" s="32">
        <v>0</v>
      </c>
      <c r="E413" s="32">
        <v>0</v>
      </c>
      <c r="F413" s="24">
        <v>0</v>
      </c>
      <c r="G413" s="24">
        <v>0</v>
      </c>
      <c r="H413" s="37">
        <v>177</v>
      </c>
      <c r="I413" s="23">
        <v>41183</v>
      </c>
      <c r="J413" s="37">
        <v>25</v>
      </c>
      <c r="K413" s="24" t="s">
        <v>524</v>
      </c>
      <c r="L413" s="24">
        <v>41183</v>
      </c>
      <c r="M413" s="32">
        <v>41068</v>
      </c>
      <c r="N413" s="22" t="s">
        <v>1380</v>
      </c>
      <c r="O413">
        <v>9130283</v>
      </c>
      <c r="P413" s="22">
        <v>720</v>
      </c>
      <c r="Q413" s="22">
        <v>50</v>
      </c>
      <c r="R413" s="22" t="s">
        <v>2428</v>
      </c>
      <c r="S413" s="4" t="s">
        <v>1866</v>
      </c>
      <c r="T413" s="4" t="s">
        <v>404</v>
      </c>
      <c r="U413" s="44">
        <v>41179</v>
      </c>
      <c r="V413" s="4"/>
      <c r="W413" s="28"/>
      <c r="X413" s="74">
        <v>0</v>
      </c>
      <c r="Y413" s="28" t="e">
        <v>#REF!</v>
      </c>
      <c r="Z413" s="9"/>
      <c r="AA413" s="24">
        <v>0</v>
      </c>
      <c r="AB413" s="28">
        <v>0</v>
      </c>
    </row>
    <row r="414" spans="1:29" ht="14.25" customHeight="1" x14ac:dyDescent="0.4">
      <c r="A414">
        <v>183</v>
      </c>
      <c r="B414" s="32">
        <v>0</v>
      </c>
      <c r="C414" s="32">
        <v>0</v>
      </c>
      <c r="D414" s="32">
        <v>0</v>
      </c>
      <c r="E414" s="32">
        <v>0</v>
      </c>
      <c r="F414" s="24">
        <v>0</v>
      </c>
      <c r="G414" s="24">
        <v>0</v>
      </c>
      <c r="H414" s="37">
        <v>323</v>
      </c>
      <c r="I414" s="23">
        <v>41244</v>
      </c>
      <c r="J414" s="37">
        <v>45</v>
      </c>
      <c r="K414" s="24" t="s">
        <v>524</v>
      </c>
      <c r="L414" s="24">
        <v>41244</v>
      </c>
      <c r="M414" s="32">
        <v>41068</v>
      </c>
      <c r="N414" s="22" t="s">
        <v>1380</v>
      </c>
      <c r="O414">
        <v>9130288</v>
      </c>
      <c r="P414" s="22">
        <v>720</v>
      </c>
      <c r="Q414" s="22">
        <v>42</v>
      </c>
      <c r="R414" s="22">
        <v>2</v>
      </c>
      <c r="S414" s="38"/>
      <c r="T414" s="4"/>
      <c r="U414" s="60"/>
      <c r="V414" s="4"/>
      <c r="W414" s="9"/>
      <c r="X414" s="74">
        <v>0</v>
      </c>
      <c r="Y414" s="28" t="e">
        <v>#REF!</v>
      </c>
      <c r="AA414" s="24">
        <v>0</v>
      </c>
      <c r="AB414" s="28">
        <v>0</v>
      </c>
    </row>
    <row r="415" spans="1:29" ht="14.25" customHeight="1" x14ac:dyDescent="0.4">
      <c r="A415">
        <v>184</v>
      </c>
      <c r="B415" s="32">
        <v>0</v>
      </c>
      <c r="C415" s="32">
        <v>0</v>
      </c>
      <c r="D415" s="32">
        <v>0</v>
      </c>
      <c r="E415" s="32">
        <v>0</v>
      </c>
      <c r="F415" s="24">
        <v>0</v>
      </c>
      <c r="G415" s="24">
        <v>0</v>
      </c>
      <c r="H415" s="37">
        <v>440</v>
      </c>
      <c r="I415" s="23">
        <v>41306</v>
      </c>
      <c r="J415" s="37">
        <v>45</v>
      </c>
      <c r="K415" s="24" t="s">
        <v>524</v>
      </c>
      <c r="L415" s="24">
        <v>41306</v>
      </c>
      <c r="M415" s="32">
        <v>41068</v>
      </c>
      <c r="N415" s="22" t="s">
        <v>1380</v>
      </c>
      <c r="O415">
        <v>9130293</v>
      </c>
      <c r="P415" s="22">
        <v>720</v>
      </c>
      <c r="Q415" s="22">
        <v>42</v>
      </c>
      <c r="R415" s="22">
        <v>3</v>
      </c>
      <c r="S415" s="38"/>
      <c r="T415" s="4"/>
      <c r="U415" s="60"/>
      <c r="V415" s="4"/>
      <c r="W415" s="4"/>
      <c r="X415" s="74">
        <v>0</v>
      </c>
      <c r="Y415" s="28" t="e">
        <v>#REF!</v>
      </c>
      <c r="AA415" s="24">
        <v>0</v>
      </c>
      <c r="AB415" s="28">
        <v>0</v>
      </c>
    </row>
    <row r="416" spans="1:29" ht="14.25" customHeight="1" x14ac:dyDescent="0.4">
      <c r="A416">
        <v>185</v>
      </c>
      <c r="B416" s="32">
        <v>0</v>
      </c>
      <c r="C416" s="32">
        <v>0</v>
      </c>
      <c r="D416" s="32">
        <v>0</v>
      </c>
      <c r="E416" s="32">
        <v>0</v>
      </c>
      <c r="F416" s="24">
        <v>0</v>
      </c>
      <c r="G416" s="24">
        <v>0</v>
      </c>
      <c r="H416" s="37">
        <v>324</v>
      </c>
      <c r="I416" s="23">
        <v>41244</v>
      </c>
      <c r="J416" s="37">
        <v>46</v>
      </c>
      <c r="K416" s="24" t="s">
        <v>524</v>
      </c>
      <c r="L416" s="24">
        <v>41244</v>
      </c>
      <c r="M416" s="32">
        <v>41068</v>
      </c>
      <c r="N416" s="22" t="s">
        <v>1380</v>
      </c>
      <c r="O416">
        <v>9130294</v>
      </c>
      <c r="P416" s="22">
        <v>720</v>
      </c>
      <c r="Q416" s="22">
        <v>50</v>
      </c>
      <c r="R416" s="22">
        <v>4</v>
      </c>
      <c r="S416" s="4"/>
      <c r="T416" s="4"/>
      <c r="U416" s="44"/>
      <c r="V416" s="4"/>
      <c r="W416" s="9"/>
      <c r="X416" s="74">
        <v>0</v>
      </c>
      <c r="Y416" s="28" t="e">
        <v>#REF!</v>
      </c>
      <c r="Z416" s="9"/>
      <c r="AA416" s="24">
        <v>0</v>
      </c>
      <c r="AB416" s="28">
        <v>0</v>
      </c>
    </row>
    <row r="417" spans="1:28" ht="14.25" customHeight="1" x14ac:dyDescent="0.4">
      <c r="A417">
        <v>186</v>
      </c>
      <c r="B417" s="34">
        <v>0</v>
      </c>
      <c r="C417" s="34" t="s">
        <v>2165</v>
      </c>
      <c r="D417" s="34">
        <v>0</v>
      </c>
      <c r="E417" s="32">
        <v>0</v>
      </c>
      <c r="F417" s="24">
        <v>0</v>
      </c>
      <c r="G417" s="24">
        <v>0</v>
      </c>
      <c r="H417" s="37">
        <v>441</v>
      </c>
      <c r="I417" s="23">
        <v>41306</v>
      </c>
      <c r="J417" s="37">
        <v>46</v>
      </c>
      <c r="K417" s="24" t="s">
        <v>524</v>
      </c>
      <c r="L417" s="24">
        <v>41306</v>
      </c>
      <c r="M417" s="32">
        <v>41068</v>
      </c>
      <c r="N417" s="22" t="s">
        <v>1380</v>
      </c>
      <c r="O417">
        <v>9130295</v>
      </c>
      <c r="P417" s="22">
        <v>720</v>
      </c>
      <c r="Q417" s="22">
        <v>50</v>
      </c>
      <c r="R417" s="22">
        <v>5</v>
      </c>
      <c r="T417" s="4"/>
      <c r="U417" s="164"/>
      <c r="V417" s="4"/>
      <c r="Y417" s="28" t="e">
        <v>#REF!</v>
      </c>
      <c r="AA417" s="24">
        <v>0</v>
      </c>
      <c r="AB417" s="28">
        <v>0</v>
      </c>
    </row>
    <row r="418" spans="1:28" ht="14.25" customHeight="1" x14ac:dyDescent="0.4">
      <c r="A418">
        <v>187</v>
      </c>
      <c r="B418" s="34">
        <v>0</v>
      </c>
      <c r="C418" s="34">
        <v>0</v>
      </c>
      <c r="D418" s="34">
        <v>0</v>
      </c>
      <c r="E418" s="32">
        <v>0</v>
      </c>
      <c r="F418" s="24">
        <v>0</v>
      </c>
      <c r="G418" s="24">
        <v>0</v>
      </c>
      <c r="H418" s="37">
        <v>386</v>
      </c>
      <c r="I418" s="23">
        <v>41275</v>
      </c>
      <c r="J418" s="37">
        <v>57</v>
      </c>
      <c r="K418" s="24" t="s">
        <v>524</v>
      </c>
      <c r="L418" s="24">
        <v>41275</v>
      </c>
      <c r="M418" s="32">
        <v>41068</v>
      </c>
      <c r="N418" s="22" t="s">
        <v>1380</v>
      </c>
      <c r="O418">
        <v>9130299</v>
      </c>
      <c r="P418" s="22">
        <v>720</v>
      </c>
      <c r="Q418" s="22">
        <v>50</v>
      </c>
      <c r="R418" s="22">
        <v>6</v>
      </c>
      <c r="T418" s="4"/>
      <c r="U418" s="164"/>
      <c r="V418" s="4"/>
      <c r="Y418" s="28" t="e">
        <v>#REF!</v>
      </c>
      <c r="AA418" s="24">
        <v>0</v>
      </c>
      <c r="AB418" s="28">
        <v>0</v>
      </c>
    </row>
    <row r="419" spans="1:28" ht="14.25" customHeight="1" x14ac:dyDescent="0.4">
      <c r="A419">
        <v>188</v>
      </c>
      <c r="B419" s="34">
        <v>0</v>
      </c>
      <c r="C419" s="34">
        <v>0</v>
      </c>
      <c r="D419" s="34">
        <v>0</v>
      </c>
      <c r="E419" s="32">
        <v>0</v>
      </c>
      <c r="F419" s="24">
        <v>0</v>
      </c>
      <c r="G419" s="24">
        <v>0</v>
      </c>
      <c r="H419" s="37">
        <v>178</v>
      </c>
      <c r="I419" s="23">
        <v>41183</v>
      </c>
      <c r="J419" s="37">
        <v>26</v>
      </c>
      <c r="K419" s="24" t="s">
        <v>524</v>
      </c>
      <c r="L419" s="24">
        <v>41183</v>
      </c>
      <c r="M419" s="24">
        <v>41068</v>
      </c>
      <c r="N419" s="22" t="s">
        <v>1380</v>
      </c>
      <c r="O419">
        <v>9130300</v>
      </c>
      <c r="P419" s="22">
        <v>720</v>
      </c>
      <c r="Q419" s="22">
        <v>50</v>
      </c>
      <c r="R419" s="22">
        <v>7</v>
      </c>
      <c r="T419" s="4"/>
      <c r="U419" s="164"/>
      <c r="V419" s="4"/>
      <c r="Y419" s="28" t="e">
        <v>#REF!</v>
      </c>
      <c r="AA419" s="24">
        <v>0</v>
      </c>
      <c r="AB419" s="28">
        <v>0</v>
      </c>
    </row>
    <row r="420" spans="1:28" ht="14.25" customHeight="1" x14ac:dyDescent="0.4">
      <c r="A420">
        <v>189</v>
      </c>
      <c r="B420" s="34">
        <v>0</v>
      </c>
      <c r="C420" s="34">
        <v>0</v>
      </c>
      <c r="D420" s="34">
        <v>0</v>
      </c>
      <c r="E420" s="32">
        <v>41149</v>
      </c>
      <c r="F420" s="24" t="s">
        <v>393</v>
      </c>
      <c r="G420" s="24">
        <v>41152</v>
      </c>
      <c r="H420" s="37">
        <v>88</v>
      </c>
      <c r="I420" s="23">
        <v>41122</v>
      </c>
      <c r="J420" s="37">
        <v>56</v>
      </c>
      <c r="K420" s="24" t="s">
        <v>524</v>
      </c>
      <c r="L420" s="24">
        <v>41153</v>
      </c>
      <c r="M420" s="32">
        <v>41068</v>
      </c>
      <c r="N420" s="22" t="s">
        <v>1380</v>
      </c>
      <c r="O420">
        <v>9130301</v>
      </c>
      <c r="P420" s="22">
        <v>720</v>
      </c>
      <c r="Q420" s="22">
        <v>50</v>
      </c>
      <c r="R420" s="22">
        <v>8</v>
      </c>
      <c r="T420" s="4"/>
      <c r="U420" s="164"/>
      <c r="V420" s="4"/>
      <c r="Y420" s="28" t="e">
        <v>#REF!</v>
      </c>
      <c r="AA420" s="24" t="s">
        <v>393</v>
      </c>
      <c r="AB420" s="28">
        <v>41152</v>
      </c>
    </row>
    <row r="421" spans="1:28" ht="14.25" customHeight="1" x14ac:dyDescent="0.4">
      <c r="A421">
        <v>190</v>
      </c>
      <c r="B421" s="34">
        <v>0</v>
      </c>
      <c r="C421" s="34" t="s">
        <v>2165</v>
      </c>
      <c r="D421" s="34">
        <v>0</v>
      </c>
      <c r="E421" s="32">
        <v>0</v>
      </c>
      <c r="F421" s="24">
        <v>0</v>
      </c>
      <c r="G421" s="24">
        <v>0</v>
      </c>
      <c r="H421" s="37">
        <v>387</v>
      </c>
      <c r="I421" s="23">
        <v>41275</v>
      </c>
      <c r="J421" s="37">
        <v>58</v>
      </c>
      <c r="K421" s="24" t="s">
        <v>524</v>
      </c>
      <c r="L421" s="24">
        <v>41275</v>
      </c>
      <c r="M421" s="32">
        <v>41068</v>
      </c>
      <c r="N421" s="22" t="s">
        <v>1380</v>
      </c>
      <c r="O421">
        <v>9130303</v>
      </c>
      <c r="P421" s="22">
        <v>720</v>
      </c>
      <c r="Q421" s="22">
        <v>50</v>
      </c>
      <c r="R421" s="22">
        <v>9</v>
      </c>
      <c r="T421" s="4"/>
      <c r="U421" s="164"/>
      <c r="V421" s="4"/>
      <c r="Y421" s="28" t="e">
        <v>#REF!</v>
      </c>
      <c r="AA421" s="24">
        <v>0</v>
      </c>
      <c r="AB421" s="28">
        <v>0</v>
      </c>
    </row>
    <row r="422" spans="1:28" ht="14.25" customHeight="1" x14ac:dyDescent="0.4">
      <c r="A422">
        <v>191</v>
      </c>
      <c r="B422" s="34">
        <v>0</v>
      </c>
      <c r="C422" s="34">
        <v>0</v>
      </c>
      <c r="D422" s="34">
        <v>0</v>
      </c>
      <c r="E422" s="32">
        <v>0</v>
      </c>
      <c r="F422" s="24">
        <v>0</v>
      </c>
      <c r="G422" s="24">
        <v>0</v>
      </c>
      <c r="H422" s="37">
        <v>268</v>
      </c>
      <c r="I422" s="23">
        <v>41214</v>
      </c>
      <c r="J422" s="37">
        <v>47</v>
      </c>
      <c r="K422" s="24" t="s">
        <v>524</v>
      </c>
      <c r="L422" s="24">
        <v>41214</v>
      </c>
      <c r="M422" s="32">
        <v>41068</v>
      </c>
      <c r="N422" s="22" t="s">
        <v>1380</v>
      </c>
      <c r="O422">
        <v>9130305</v>
      </c>
      <c r="P422" s="22">
        <v>720</v>
      </c>
      <c r="Q422" s="22">
        <v>50</v>
      </c>
      <c r="R422" s="22">
        <v>10</v>
      </c>
      <c r="T422" s="4"/>
      <c r="U422" s="164"/>
      <c r="V422" s="4"/>
      <c r="Y422" s="28" t="e">
        <v>#REF!</v>
      </c>
      <c r="AA422" s="24">
        <v>0</v>
      </c>
      <c r="AB422" s="28">
        <v>0</v>
      </c>
    </row>
    <row r="423" spans="1:28" ht="14.25" customHeight="1" x14ac:dyDescent="0.4">
      <c r="A423">
        <v>192</v>
      </c>
      <c r="B423" s="34">
        <v>0</v>
      </c>
      <c r="C423" s="34">
        <v>0</v>
      </c>
      <c r="D423" s="34">
        <v>0</v>
      </c>
      <c r="E423" s="32">
        <v>0</v>
      </c>
      <c r="F423" s="24">
        <v>0</v>
      </c>
      <c r="G423" s="24">
        <v>0</v>
      </c>
      <c r="H423" s="37">
        <v>442</v>
      </c>
      <c r="I423" s="23">
        <v>41306</v>
      </c>
      <c r="J423" s="37">
        <v>47</v>
      </c>
      <c r="K423" s="24" t="s">
        <v>524</v>
      </c>
      <c r="L423" s="24">
        <v>41306</v>
      </c>
      <c r="M423" s="32">
        <v>41068</v>
      </c>
      <c r="N423" s="22" t="s">
        <v>1380</v>
      </c>
      <c r="O423">
        <v>9130306</v>
      </c>
      <c r="P423" s="22">
        <v>720</v>
      </c>
      <c r="Q423" s="22">
        <v>50</v>
      </c>
      <c r="R423" s="22">
        <v>11</v>
      </c>
      <c r="T423" s="4"/>
      <c r="U423" s="164"/>
      <c r="V423" s="4"/>
      <c r="Y423" s="28" t="e">
        <v>#REF!</v>
      </c>
      <c r="AA423" s="24">
        <v>0</v>
      </c>
      <c r="AB423" s="28">
        <v>0</v>
      </c>
    </row>
    <row r="424" spans="1:28" ht="14.25" customHeight="1" x14ac:dyDescent="0.4">
      <c r="A424">
        <v>193</v>
      </c>
      <c r="B424" s="34">
        <v>0</v>
      </c>
      <c r="C424" s="34">
        <v>0</v>
      </c>
      <c r="D424" s="34">
        <v>0</v>
      </c>
      <c r="E424" s="32">
        <v>0</v>
      </c>
      <c r="F424" s="24">
        <v>0</v>
      </c>
      <c r="G424" s="24">
        <v>0</v>
      </c>
      <c r="H424" s="37">
        <v>269</v>
      </c>
      <c r="I424" s="23">
        <v>41214</v>
      </c>
      <c r="J424" s="37">
        <v>48</v>
      </c>
      <c r="K424" s="24" t="s">
        <v>524</v>
      </c>
      <c r="L424" s="24">
        <v>41214</v>
      </c>
      <c r="M424" s="32">
        <v>41068</v>
      </c>
      <c r="N424" s="22" t="s">
        <v>1380</v>
      </c>
      <c r="O424">
        <v>9130311</v>
      </c>
      <c r="P424" s="22">
        <v>720</v>
      </c>
      <c r="Q424" s="22">
        <v>50</v>
      </c>
      <c r="R424" s="22">
        <v>12</v>
      </c>
      <c r="T424" s="4"/>
      <c r="U424" s="164"/>
      <c r="V424" s="4"/>
      <c r="Y424" s="28" t="e">
        <v>#REF!</v>
      </c>
      <c r="AA424" s="24">
        <v>0</v>
      </c>
      <c r="AB424" s="28">
        <v>0</v>
      </c>
    </row>
    <row r="425" spans="1:28" ht="14.25" customHeight="1" x14ac:dyDescent="0.4">
      <c r="A425">
        <v>194</v>
      </c>
      <c r="B425" s="34">
        <v>0</v>
      </c>
      <c r="C425" s="34">
        <v>0</v>
      </c>
      <c r="D425" s="34">
        <v>0</v>
      </c>
      <c r="E425" s="32">
        <v>41149</v>
      </c>
      <c r="F425" s="24" t="s">
        <v>393</v>
      </c>
      <c r="G425" s="24">
        <v>41152</v>
      </c>
      <c r="H425" s="37">
        <v>89</v>
      </c>
      <c r="I425" s="23">
        <v>41122</v>
      </c>
      <c r="J425" s="37">
        <v>57</v>
      </c>
      <c r="K425" s="24" t="s">
        <v>524</v>
      </c>
      <c r="L425" s="24">
        <v>41153</v>
      </c>
      <c r="M425" s="32">
        <v>41068</v>
      </c>
      <c r="N425" s="22" t="s">
        <v>1380</v>
      </c>
      <c r="O425">
        <v>9130314</v>
      </c>
      <c r="P425" s="22">
        <v>720</v>
      </c>
      <c r="Q425" s="22">
        <v>50</v>
      </c>
      <c r="R425" s="22">
        <v>13</v>
      </c>
      <c r="T425" s="4"/>
      <c r="U425" s="164"/>
      <c r="V425" s="4"/>
      <c r="Y425" s="28" t="e">
        <v>#REF!</v>
      </c>
      <c r="AA425" s="24" t="s">
        <v>393</v>
      </c>
      <c r="AB425" s="28">
        <v>41152</v>
      </c>
    </row>
    <row r="426" spans="1:28" ht="14.25" customHeight="1" x14ac:dyDescent="0.4">
      <c r="A426">
        <v>195</v>
      </c>
      <c r="B426" s="34">
        <v>0</v>
      </c>
      <c r="C426" s="34" t="s">
        <v>2165</v>
      </c>
      <c r="D426" s="34">
        <v>0</v>
      </c>
      <c r="E426" s="32">
        <v>41166</v>
      </c>
      <c r="F426" s="24" t="s">
        <v>392</v>
      </c>
      <c r="G426" s="24">
        <v>41179</v>
      </c>
      <c r="H426" s="37">
        <v>123</v>
      </c>
      <c r="I426" s="23">
        <v>41153</v>
      </c>
      <c r="J426" s="37">
        <v>28</v>
      </c>
      <c r="K426" s="24" t="s">
        <v>524</v>
      </c>
      <c r="L426" s="24">
        <v>41153</v>
      </c>
      <c r="M426" s="32">
        <v>41068</v>
      </c>
      <c r="N426" s="22" t="s">
        <v>1380</v>
      </c>
      <c r="O426">
        <v>9130316</v>
      </c>
      <c r="P426" s="22">
        <v>1025</v>
      </c>
      <c r="Q426" s="22">
        <v>42</v>
      </c>
      <c r="R426" s="22">
        <v>14</v>
      </c>
      <c r="T426" s="4"/>
      <c r="U426" s="164"/>
      <c r="V426" s="4"/>
      <c r="Y426" s="28" t="e">
        <v>#REF!</v>
      </c>
      <c r="AA426" s="24" t="s">
        <v>392</v>
      </c>
      <c r="AB426" s="28">
        <v>41179</v>
      </c>
    </row>
    <row r="427" spans="1:28" ht="14.25" customHeight="1" x14ac:dyDescent="0.4">
      <c r="A427">
        <v>591</v>
      </c>
      <c r="B427" s="34">
        <v>0</v>
      </c>
      <c r="C427" s="34">
        <v>0</v>
      </c>
      <c r="D427" s="34">
        <v>0</v>
      </c>
      <c r="E427" s="32">
        <v>0</v>
      </c>
      <c r="F427" s="24">
        <v>0</v>
      </c>
      <c r="G427" s="24">
        <v>0</v>
      </c>
      <c r="H427" s="37">
        <v>244</v>
      </c>
      <c r="I427" s="23">
        <v>41214</v>
      </c>
      <c r="J427" s="37">
        <v>23</v>
      </c>
      <c r="K427" s="24" t="s">
        <v>524</v>
      </c>
      <c r="L427" s="24">
        <v>41214</v>
      </c>
      <c r="M427" s="32">
        <v>41068</v>
      </c>
      <c r="N427" s="22" t="s">
        <v>1380</v>
      </c>
      <c r="O427">
        <v>9130318</v>
      </c>
      <c r="P427" s="22">
        <v>1025</v>
      </c>
      <c r="Q427" s="22">
        <v>42</v>
      </c>
      <c r="R427" s="22">
        <v>15</v>
      </c>
      <c r="T427" s="4"/>
      <c r="V427" s="4"/>
      <c r="AA427" s="24">
        <v>0</v>
      </c>
      <c r="AB427" s="28">
        <v>0</v>
      </c>
    </row>
    <row r="428" spans="1:28" ht="14.25" customHeight="1" x14ac:dyDescent="0.4">
      <c r="A428">
        <v>592</v>
      </c>
      <c r="B428" s="34">
        <v>0</v>
      </c>
      <c r="C428" s="34">
        <v>0</v>
      </c>
      <c r="D428" s="34">
        <v>0</v>
      </c>
      <c r="E428" s="32">
        <v>0</v>
      </c>
      <c r="F428" s="24">
        <v>0</v>
      </c>
      <c r="G428" s="24">
        <v>0</v>
      </c>
      <c r="H428" s="37">
        <v>295</v>
      </c>
      <c r="I428" s="23">
        <v>41244</v>
      </c>
      <c r="J428" s="37">
        <v>17</v>
      </c>
      <c r="K428" s="24" t="s">
        <v>524</v>
      </c>
      <c r="L428" s="24">
        <v>41244</v>
      </c>
      <c r="M428" s="32">
        <v>41068</v>
      </c>
      <c r="N428" s="22" t="s">
        <v>1380</v>
      </c>
      <c r="O428">
        <v>9130319</v>
      </c>
      <c r="P428" s="22">
        <v>1025</v>
      </c>
      <c r="Q428" s="22">
        <v>50</v>
      </c>
      <c r="R428" s="22">
        <v>16</v>
      </c>
      <c r="T428" s="4"/>
      <c r="V428" s="4"/>
      <c r="AA428" s="24">
        <v>0</v>
      </c>
      <c r="AB428" s="28">
        <v>0</v>
      </c>
    </row>
    <row r="429" spans="1:28" ht="14.25" customHeight="1" x14ac:dyDescent="0.4">
      <c r="A429">
        <v>593</v>
      </c>
      <c r="B429" s="34">
        <v>0</v>
      </c>
      <c r="C429" s="34">
        <v>0</v>
      </c>
      <c r="D429" s="34">
        <v>0</v>
      </c>
      <c r="E429" s="32">
        <v>0</v>
      </c>
      <c r="F429" s="24">
        <v>0</v>
      </c>
      <c r="G429" s="24">
        <v>0</v>
      </c>
      <c r="H429" s="37">
        <v>354</v>
      </c>
      <c r="I429" s="23">
        <v>41275</v>
      </c>
      <c r="J429" s="37">
        <v>25</v>
      </c>
      <c r="K429" s="24" t="s">
        <v>524</v>
      </c>
      <c r="L429" s="24">
        <v>41275</v>
      </c>
      <c r="M429" s="32">
        <v>41068</v>
      </c>
      <c r="N429" s="22" t="s">
        <v>1380</v>
      </c>
      <c r="O429">
        <v>9130320</v>
      </c>
      <c r="P429" s="22">
        <v>1025</v>
      </c>
      <c r="Q429" s="22">
        <v>50</v>
      </c>
      <c r="R429" s="22">
        <v>17</v>
      </c>
      <c r="T429" s="4"/>
      <c r="U429" s="13"/>
      <c r="V429" s="4"/>
      <c r="AA429" s="24">
        <v>0</v>
      </c>
      <c r="AB429" s="28">
        <v>0</v>
      </c>
    </row>
    <row r="430" spans="1:28" ht="14.25" customHeight="1" x14ac:dyDescent="0.4">
      <c r="A430">
        <v>594</v>
      </c>
      <c r="B430" s="34">
        <v>0</v>
      </c>
      <c r="C430" s="34">
        <v>0</v>
      </c>
      <c r="D430" s="34">
        <v>0</v>
      </c>
      <c r="E430" s="32">
        <v>41169</v>
      </c>
      <c r="F430" s="24" t="s">
        <v>392</v>
      </c>
      <c r="G430" s="24">
        <v>41179</v>
      </c>
      <c r="H430" s="37">
        <v>124</v>
      </c>
      <c r="I430" s="23">
        <v>41153</v>
      </c>
      <c r="J430" s="37">
        <v>29</v>
      </c>
      <c r="K430" s="24" t="s">
        <v>524</v>
      </c>
      <c r="L430" s="24">
        <v>41153</v>
      </c>
      <c r="M430" s="32">
        <v>41068</v>
      </c>
      <c r="N430" s="22" t="s">
        <v>1380</v>
      </c>
      <c r="O430">
        <v>9130322</v>
      </c>
      <c r="P430" s="22">
        <v>1025</v>
      </c>
      <c r="Q430" s="22">
        <v>50</v>
      </c>
      <c r="R430" s="22">
        <v>18</v>
      </c>
      <c r="T430" s="4"/>
      <c r="V430" s="4"/>
      <c r="AA430" s="24" t="s">
        <v>392</v>
      </c>
      <c r="AB430" s="28">
        <v>41179</v>
      </c>
    </row>
    <row r="431" spans="1:28" ht="14.25" customHeight="1" x14ac:dyDescent="0.4">
      <c r="A431">
        <v>489</v>
      </c>
      <c r="B431" s="32">
        <v>0</v>
      </c>
      <c r="C431" s="32">
        <v>0</v>
      </c>
      <c r="D431" s="32">
        <v>0</v>
      </c>
      <c r="E431" s="32">
        <v>0</v>
      </c>
      <c r="F431" s="24">
        <v>0</v>
      </c>
      <c r="G431" s="24">
        <v>0</v>
      </c>
      <c r="H431" s="37">
        <v>170</v>
      </c>
      <c r="I431" s="23">
        <v>41183</v>
      </c>
      <c r="J431" s="37">
        <v>18</v>
      </c>
      <c r="K431" s="24" t="s">
        <v>1369</v>
      </c>
      <c r="L431" s="24">
        <v>41153</v>
      </c>
      <c r="M431" s="32">
        <v>41141</v>
      </c>
      <c r="N431" s="22" t="s">
        <v>1705</v>
      </c>
      <c r="O431">
        <v>9130803</v>
      </c>
      <c r="P431" s="22">
        <v>1020</v>
      </c>
      <c r="Q431" s="22">
        <v>50</v>
      </c>
      <c r="R431" s="22">
        <v>0</v>
      </c>
      <c r="S431" s="4"/>
      <c r="T431" s="4"/>
      <c r="U431" s="44"/>
      <c r="V431" s="4"/>
      <c r="W431" s="9"/>
      <c r="X431" s="74">
        <v>0</v>
      </c>
      <c r="Y431" s="28" t="e">
        <v>#REF!</v>
      </c>
      <c r="Z431" s="9"/>
      <c r="AA431" s="24">
        <v>0</v>
      </c>
      <c r="AB431" s="28">
        <v>0</v>
      </c>
    </row>
    <row r="432" spans="1:28" ht="14.25" customHeight="1" x14ac:dyDescent="0.4">
      <c r="A432">
        <v>490</v>
      </c>
      <c r="B432" s="34">
        <v>0</v>
      </c>
      <c r="C432" s="34" t="s">
        <v>2165</v>
      </c>
      <c r="D432" s="34">
        <v>0</v>
      </c>
      <c r="E432" s="32">
        <v>0</v>
      </c>
      <c r="F432" s="24">
        <v>0</v>
      </c>
      <c r="G432" s="24">
        <v>0</v>
      </c>
      <c r="H432" s="37">
        <v>218</v>
      </c>
      <c r="I432" s="23">
        <v>41183</v>
      </c>
      <c r="J432" s="37">
        <v>66</v>
      </c>
      <c r="K432" s="24" t="s">
        <v>1369</v>
      </c>
      <c r="L432" s="24">
        <v>41183</v>
      </c>
      <c r="M432" s="32">
        <v>41141</v>
      </c>
      <c r="N432" s="22" t="s">
        <v>1705</v>
      </c>
      <c r="O432">
        <v>9130805</v>
      </c>
      <c r="P432" s="22">
        <v>1020</v>
      </c>
      <c r="Q432" s="22">
        <v>50</v>
      </c>
      <c r="R432" s="22">
        <v>0</v>
      </c>
      <c r="S432" s="4"/>
      <c r="T432" s="4"/>
      <c r="U432" s="44"/>
      <c r="V432" s="4"/>
      <c r="W432" s="127"/>
      <c r="X432" s="74"/>
      <c r="Y432" s="28" t="e">
        <v>#REF!</v>
      </c>
      <c r="Z432" s="9"/>
      <c r="AA432" s="24">
        <v>0</v>
      </c>
      <c r="AB432" s="28">
        <v>0</v>
      </c>
    </row>
    <row r="433" spans="1:28" ht="14.25" customHeight="1" x14ac:dyDescent="0.4">
      <c r="A433">
        <v>491</v>
      </c>
      <c r="B433" s="34">
        <v>0</v>
      </c>
      <c r="C433" s="34" t="s">
        <v>2165</v>
      </c>
      <c r="D433" s="34">
        <v>0</v>
      </c>
      <c r="E433" s="32">
        <v>0</v>
      </c>
      <c r="F433" s="24">
        <v>0</v>
      </c>
      <c r="G433" s="24">
        <v>0</v>
      </c>
      <c r="H433" s="37">
        <v>283</v>
      </c>
      <c r="I433" s="23">
        <v>41244</v>
      </c>
      <c r="J433" s="37">
        <v>5</v>
      </c>
      <c r="K433" s="24" t="s">
        <v>1369</v>
      </c>
      <c r="L433" s="24">
        <v>41244</v>
      </c>
      <c r="M433" s="32">
        <v>41141</v>
      </c>
      <c r="N433" s="22" t="s">
        <v>1705</v>
      </c>
      <c r="O433">
        <v>9130806</v>
      </c>
      <c r="P433" s="22">
        <v>1020</v>
      </c>
      <c r="Q433" s="22">
        <v>50</v>
      </c>
      <c r="R433" s="22" t="s">
        <v>2429</v>
      </c>
      <c r="S433" s="38"/>
      <c r="T433" s="4"/>
      <c r="U433" s="44"/>
      <c r="V433" s="4"/>
      <c r="W433" s="127"/>
      <c r="X433" s="74"/>
      <c r="Y433" s="28" t="e">
        <v>#REF!</v>
      </c>
      <c r="Z433" s="28"/>
      <c r="AA433" s="24">
        <v>0</v>
      </c>
      <c r="AB433" s="28">
        <v>0</v>
      </c>
    </row>
    <row r="434" spans="1:28" ht="14.25" customHeight="1" x14ac:dyDescent="0.4">
      <c r="A434">
        <v>492</v>
      </c>
      <c r="B434" s="32">
        <v>0</v>
      </c>
      <c r="C434" s="32">
        <v>0</v>
      </c>
      <c r="D434" s="32">
        <v>0</v>
      </c>
      <c r="E434" s="32">
        <v>0</v>
      </c>
      <c r="F434" s="24">
        <v>0</v>
      </c>
      <c r="G434" s="24">
        <v>0</v>
      </c>
      <c r="H434" s="37">
        <v>335</v>
      </c>
      <c r="I434" s="23">
        <v>41275</v>
      </c>
      <c r="J434" s="37">
        <v>6</v>
      </c>
      <c r="K434" s="24" t="s">
        <v>1369</v>
      </c>
      <c r="L434" s="24">
        <v>41275</v>
      </c>
      <c r="M434" s="32">
        <v>41141</v>
      </c>
      <c r="N434" s="22" t="s">
        <v>1705</v>
      </c>
      <c r="O434">
        <v>9130808</v>
      </c>
      <c r="P434" s="22">
        <v>1020</v>
      </c>
      <c r="Q434" s="22">
        <v>50</v>
      </c>
      <c r="R434" s="22" t="s">
        <v>2429</v>
      </c>
      <c r="S434" s="4"/>
      <c r="T434" s="4"/>
      <c r="U434" s="44"/>
      <c r="V434" s="4"/>
      <c r="W434" s="127"/>
      <c r="X434" s="74"/>
      <c r="Y434" s="28" t="e">
        <v>#REF!</v>
      </c>
      <c r="Z434" s="9"/>
      <c r="AA434" s="24">
        <v>0</v>
      </c>
      <c r="AB434" s="28">
        <v>0</v>
      </c>
    </row>
    <row r="435" spans="1:28" ht="14.25" customHeight="1" x14ac:dyDescent="0.4">
      <c r="A435">
        <v>493</v>
      </c>
      <c r="B435" s="32">
        <v>0</v>
      </c>
      <c r="C435" s="32">
        <v>0</v>
      </c>
      <c r="D435" s="32">
        <v>0</v>
      </c>
      <c r="E435" s="32">
        <v>0</v>
      </c>
      <c r="F435" s="24">
        <v>0</v>
      </c>
      <c r="G435" s="24">
        <v>0</v>
      </c>
      <c r="H435" s="37">
        <v>522</v>
      </c>
      <c r="I435" s="23">
        <v>41365</v>
      </c>
      <c r="J435" s="37">
        <v>11</v>
      </c>
      <c r="K435" s="24" t="s">
        <v>1369</v>
      </c>
      <c r="L435" s="24">
        <v>41365</v>
      </c>
      <c r="M435" s="32">
        <v>41141</v>
      </c>
      <c r="N435" s="22" t="s">
        <v>1705</v>
      </c>
      <c r="O435">
        <v>9130809</v>
      </c>
      <c r="P435" s="22">
        <v>1020</v>
      </c>
      <c r="Q435" s="22">
        <v>50</v>
      </c>
      <c r="R435" s="22" t="s">
        <v>2429</v>
      </c>
      <c r="S435" s="4"/>
      <c r="T435" s="4"/>
      <c r="U435" s="44"/>
      <c r="V435" s="4"/>
      <c r="W435" s="127"/>
      <c r="X435" s="74"/>
      <c r="Y435" s="28" t="e">
        <v>#REF!</v>
      </c>
      <c r="Z435" s="9"/>
      <c r="AA435" s="24">
        <v>0</v>
      </c>
      <c r="AB435" s="28">
        <v>0</v>
      </c>
    </row>
    <row r="436" spans="1:28" ht="14.25" customHeight="1" x14ac:dyDescent="0.4">
      <c r="A436">
        <v>494</v>
      </c>
      <c r="B436" s="32">
        <v>0</v>
      </c>
      <c r="C436" s="32">
        <v>0</v>
      </c>
      <c r="D436" s="32">
        <v>0</v>
      </c>
      <c r="E436" s="32">
        <v>0</v>
      </c>
      <c r="F436" s="24">
        <v>0</v>
      </c>
      <c r="G436" s="24">
        <v>0</v>
      </c>
      <c r="H436" s="37">
        <v>535</v>
      </c>
      <c r="I436" s="23">
        <v>41395</v>
      </c>
      <c r="J436" s="37">
        <v>5</v>
      </c>
      <c r="K436" s="24" t="s">
        <v>1369</v>
      </c>
      <c r="L436" s="24">
        <v>41395</v>
      </c>
      <c r="M436" s="32">
        <v>41141</v>
      </c>
      <c r="N436" s="22" t="s">
        <v>1705</v>
      </c>
      <c r="O436">
        <v>9130811</v>
      </c>
      <c r="P436" s="22">
        <v>1020</v>
      </c>
      <c r="Q436" s="22">
        <v>50</v>
      </c>
      <c r="R436" s="22" t="s">
        <v>2429</v>
      </c>
      <c r="T436" s="4"/>
      <c r="U436" s="164"/>
      <c r="V436" s="4"/>
      <c r="Y436" s="28" t="e">
        <v>#REF!</v>
      </c>
      <c r="AA436" s="24">
        <v>0</v>
      </c>
      <c r="AB436" s="28">
        <v>0</v>
      </c>
    </row>
    <row r="437" spans="1:28" ht="14.25" customHeight="1" x14ac:dyDescent="0.4">
      <c r="A437">
        <v>495</v>
      </c>
      <c r="B437" s="32">
        <v>0</v>
      </c>
      <c r="C437" s="32">
        <v>0</v>
      </c>
      <c r="D437" s="32">
        <v>0</v>
      </c>
      <c r="E437" s="32">
        <v>0</v>
      </c>
      <c r="F437" s="24">
        <v>0</v>
      </c>
      <c r="G437" s="24">
        <v>0</v>
      </c>
      <c r="H437" s="37">
        <v>219</v>
      </c>
      <c r="I437" s="23">
        <v>41183</v>
      </c>
      <c r="J437" s="37">
        <v>67</v>
      </c>
      <c r="K437" s="24" t="s">
        <v>1369</v>
      </c>
      <c r="L437" s="24">
        <v>41183</v>
      </c>
      <c r="M437" s="32">
        <v>41141</v>
      </c>
      <c r="N437" s="22" t="s">
        <v>1705</v>
      </c>
      <c r="O437">
        <v>9130818</v>
      </c>
      <c r="P437" s="22">
        <v>1220</v>
      </c>
      <c r="Q437" s="22">
        <v>50</v>
      </c>
      <c r="R437" s="22">
        <v>0</v>
      </c>
      <c r="S437" s="4"/>
      <c r="T437" s="4"/>
      <c r="U437" s="44"/>
      <c r="V437" s="4"/>
      <c r="W437" s="57"/>
      <c r="X437" s="74"/>
      <c r="Y437" s="28" t="e">
        <v>#REF!</v>
      </c>
      <c r="Z437" s="28"/>
      <c r="AA437" s="24">
        <v>0</v>
      </c>
      <c r="AB437" s="28">
        <v>0</v>
      </c>
    </row>
    <row r="438" spans="1:28" ht="14.25" customHeight="1" x14ac:dyDescent="0.4">
      <c r="A438">
        <v>496</v>
      </c>
      <c r="B438" s="32">
        <v>0</v>
      </c>
      <c r="C438" s="32">
        <v>0</v>
      </c>
      <c r="D438" s="32">
        <v>0</v>
      </c>
      <c r="E438" s="32">
        <v>0</v>
      </c>
      <c r="F438" s="24">
        <v>0</v>
      </c>
      <c r="G438" s="24">
        <v>0</v>
      </c>
      <c r="H438" s="37">
        <v>284</v>
      </c>
      <c r="I438" s="23">
        <v>41244</v>
      </c>
      <c r="J438" s="37">
        <v>6</v>
      </c>
      <c r="K438" s="24" t="s">
        <v>1369</v>
      </c>
      <c r="L438" s="24">
        <v>41244</v>
      </c>
      <c r="M438" s="32">
        <v>41141</v>
      </c>
      <c r="N438" s="22" t="s">
        <v>1705</v>
      </c>
      <c r="O438">
        <v>9130821</v>
      </c>
      <c r="P438" s="22">
        <v>1220</v>
      </c>
      <c r="Q438" s="22">
        <v>50</v>
      </c>
      <c r="R438" s="22" t="s">
        <v>2429</v>
      </c>
      <c r="S438" s="4"/>
      <c r="T438" s="4"/>
      <c r="U438" s="44"/>
      <c r="V438" s="4"/>
      <c r="W438" s="9"/>
      <c r="X438" s="74">
        <v>0</v>
      </c>
      <c r="Y438" s="28" t="e">
        <v>#REF!</v>
      </c>
      <c r="Z438" s="9"/>
      <c r="AA438" s="24">
        <v>0</v>
      </c>
      <c r="AB438" s="28">
        <v>0</v>
      </c>
    </row>
    <row r="439" spans="1:28" ht="14.25" customHeight="1" x14ac:dyDescent="0.4">
      <c r="A439">
        <v>497</v>
      </c>
      <c r="B439" s="34">
        <v>0</v>
      </c>
      <c r="C439" s="34">
        <v>0</v>
      </c>
      <c r="D439" s="34">
        <v>0</v>
      </c>
      <c r="E439" s="32">
        <v>0</v>
      </c>
      <c r="F439" s="24">
        <v>0</v>
      </c>
      <c r="G439" s="24">
        <v>0</v>
      </c>
      <c r="H439" s="37">
        <v>393</v>
      </c>
      <c r="I439" s="23">
        <v>41275</v>
      </c>
      <c r="J439" s="37">
        <v>64</v>
      </c>
      <c r="K439" s="24" t="s">
        <v>1369</v>
      </c>
      <c r="L439" s="24">
        <v>41306</v>
      </c>
      <c r="M439" s="32">
        <v>41141</v>
      </c>
      <c r="N439" s="22" t="s">
        <v>1705</v>
      </c>
      <c r="O439">
        <v>9130822</v>
      </c>
      <c r="P439" s="22">
        <v>1220</v>
      </c>
      <c r="Q439" s="22">
        <v>50</v>
      </c>
      <c r="R439" s="22" t="s">
        <v>2429</v>
      </c>
      <c r="S439" s="4"/>
      <c r="T439" s="4"/>
      <c r="U439" s="44"/>
      <c r="V439" s="4"/>
      <c r="W439" s="9"/>
      <c r="X439" s="74"/>
      <c r="Y439" s="28" t="e">
        <v>#REF!</v>
      </c>
      <c r="Z439" s="9"/>
      <c r="AA439" s="24">
        <v>0</v>
      </c>
      <c r="AB439" s="28">
        <v>0</v>
      </c>
    </row>
    <row r="440" spans="1:28" ht="14.25" customHeight="1" x14ac:dyDescent="0.4">
      <c r="A440">
        <v>498</v>
      </c>
      <c r="B440" s="34">
        <v>0</v>
      </c>
      <c r="C440" s="34">
        <v>0</v>
      </c>
      <c r="D440" s="34">
        <v>0</v>
      </c>
      <c r="E440" s="32">
        <v>0</v>
      </c>
      <c r="F440" s="24">
        <v>0</v>
      </c>
      <c r="G440" s="24">
        <v>0</v>
      </c>
      <c r="H440" s="37">
        <v>461</v>
      </c>
      <c r="I440" s="23">
        <v>41334</v>
      </c>
      <c r="J440" s="37">
        <v>7</v>
      </c>
      <c r="K440" s="24" t="s">
        <v>1369</v>
      </c>
      <c r="L440" s="24">
        <v>41334</v>
      </c>
      <c r="M440" s="32">
        <v>41141</v>
      </c>
      <c r="N440" s="22" t="s">
        <v>1705</v>
      </c>
      <c r="O440">
        <v>9130823</v>
      </c>
      <c r="P440" s="22">
        <v>1220</v>
      </c>
      <c r="Q440" s="22">
        <v>50</v>
      </c>
      <c r="R440" s="22" t="s">
        <v>2429</v>
      </c>
      <c r="S440" s="4"/>
      <c r="T440" s="4"/>
      <c r="U440" s="44"/>
      <c r="V440" s="4"/>
      <c r="W440" s="57"/>
      <c r="Y440" s="28" t="e">
        <v>#REF!</v>
      </c>
      <c r="Z440" s="28"/>
      <c r="AA440" s="24">
        <v>0</v>
      </c>
      <c r="AB440" s="28">
        <v>0</v>
      </c>
    </row>
    <row r="441" spans="1:28" ht="14.25" customHeight="1" x14ac:dyDescent="0.4">
      <c r="A441">
        <v>499</v>
      </c>
      <c r="B441" s="34">
        <v>0</v>
      </c>
      <c r="C441" s="34">
        <v>0</v>
      </c>
      <c r="D441" s="34">
        <v>0</v>
      </c>
      <c r="E441" s="32">
        <v>0</v>
      </c>
      <c r="F441" s="24">
        <v>0</v>
      </c>
      <c r="G441" s="24">
        <v>0</v>
      </c>
      <c r="H441" s="37">
        <v>278</v>
      </c>
      <c r="I441" s="23">
        <v>41214</v>
      </c>
      <c r="J441" s="37">
        <v>57</v>
      </c>
      <c r="K441" s="24" t="s">
        <v>1369</v>
      </c>
      <c r="L441" s="24">
        <v>41214</v>
      </c>
      <c r="M441" s="32">
        <v>41141</v>
      </c>
      <c r="N441" s="22" t="s">
        <v>1705</v>
      </c>
      <c r="O441">
        <v>9130824</v>
      </c>
      <c r="P441" s="22">
        <v>1220</v>
      </c>
      <c r="Q441" s="22">
        <v>50</v>
      </c>
      <c r="R441" s="22" t="s">
        <v>2429</v>
      </c>
      <c r="S441" s="4"/>
      <c r="T441" s="4"/>
      <c r="U441" s="42"/>
      <c r="V441" s="4"/>
      <c r="W441" s="28"/>
      <c r="X441" s="74"/>
      <c r="Y441" s="28" t="e">
        <v>#REF!</v>
      </c>
      <c r="Z441" s="28"/>
      <c r="AA441" s="24">
        <v>0</v>
      </c>
      <c r="AB441" s="28">
        <v>0</v>
      </c>
    </row>
    <row r="442" spans="1:28" ht="14.25" customHeight="1" x14ac:dyDescent="0.4">
      <c r="A442">
        <v>480</v>
      </c>
      <c r="B442" s="34">
        <v>0</v>
      </c>
      <c r="C442" s="34">
        <v>0</v>
      </c>
      <c r="D442" s="34">
        <v>0</v>
      </c>
      <c r="E442" s="32">
        <v>41156</v>
      </c>
      <c r="F442" s="24" t="s">
        <v>392</v>
      </c>
      <c r="G442" s="24">
        <v>41180</v>
      </c>
      <c r="H442" s="37">
        <v>96</v>
      </c>
      <c r="I442" s="23">
        <v>41153</v>
      </c>
      <c r="J442" s="37">
        <v>1</v>
      </c>
      <c r="K442" s="24" t="s">
        <v>1369</v>
      </c>
      <c r="L442" s="24">
        <v>41153</v>
      </c>
      <c r="M442" s="32">
        <v>41131</v>
      </c>
      <c r="N442" s="22" t="s">
        <v>1727</v>
      </c>
      <c r="O442">
        <v>9130783</v>
      </c>
      <c r="P442" s="22">
        <v>720</v>
      </c>
      <c r="Q442" s="22">
        <v>42</v>
      </c>
      <c r="R442" s="22" t="s">
        <v>2430</v>
      </c>
      <c r="S442" s="55"/>
      <c r="T442" s="4"/>
      <c r="U442" s="94"/>
      <c r="V442" s="4"/>
      <c r="W442" s="92"/>
      <c r="X442" s="74"/>
      <c r="Y442" s="28" t="e">
        <v>#REF!</v>
      </c>
      <c r="Z442" s="9"/>
      <c r="AA442" s="24" t="s">
        <v>392</v>
      </c>
      <c r="AB442" s="28">
        <v>41180</v>
      </c>
    </row>
    <row r="443" spans="1:28" ht="14.25" customHeight="1" x14ac:dyDescent="0.4">
      <c r="A443">
        <v>481</v>
      </c>
      <c r="B443" s="34">
        <v>0</v>
      </c>
      <c r="C443" s="34">
        <v>0</v>
      </c>
      <c r="D443" s="34">
        <v>0</v>
      </c>
      <c r="E443" s="32">
        <v>41163</v>
      </c>
      <c r="F443" s="24" t="s">
        <v>392</v>
      </c>
      <c r="G443" s="24">
        <v>41179</v>
      </c>
      <c r="H443" s="37">
        <v>114</v>
      </c>
      <c r="I443" s="23">
        <v>41153</v>
      </c>
      <c r="J443" s="37">
        <v>19</v>
      </c>
      <c r="K443" s="24" t="s">
        <v>1369</v>
      </c>
      <c r="L443" s="24">
        <v>41153</v>
      </c>
      <c r="M443" s="32">
        <v>41131</v>
      </c>
      <c r="N443" s="22" t="s">
        <v>1727</v>
      </c>
      <c r="O443">
        <v>9130784</v>
      </c>
      <c r="P443" s="22">
        <v>1025</v>
      </c>
      <c r="Q443" s="22">
        <v>50</v>
      </c>
      <c r="R443" s="22" t="s">
        <v>2431</v>
      </c>
      <c r="S443" s="55"/>
      <c r="T443" s="4"/>
      <c r="U443" s="94"/>
      <c r="V443" s="4"/>
      <c r="W443" s="92"/>
      <c r="X443" s="74"/>
      <c r="Y443" s="28" t="e">
        <v>#REF!</v>
      </c>
      <c r="Z443" s="9"/>
      <c r="AA443" s="24" t="s">
        <v>392</v>
      </c>
      <c r="AB443" s="28">
        <v>41179</v>
      </c>
    </row>
    <row r="444" spans="1:28" ht="14.25" customHeight="1" x14ac:dyDescent="0.4">
      <c r="A444">
        <v>482</v>
      </c>
      <c r="B444" s="32">
        <v>41164</v>
      </c>
      <c r="C444" s="32">
        <v>41164</v>
      </c>
      <c r="D444" s="32">
        <v>41164</v>
      </c>
      <c r="E444" s="32">
        <v>41164</v>
      </c>
      <c r="F444" s="24" t="s">
        <v>392</v>
      </c>
      <c r="G444" s="24">
        <v>41179</v>
      </c>
      <c r="H444" s="37">
        <v>115</v>
      </c>
      <c r="I444" s="23">
        <v>41153</v>
      </c>
      <c r="J444" s="37">
        <v>20</v>
      </c>
      <c r="K444" s="24" t="s">
        <v>1369</v>
      </c>
      <c r="L444" s="24">
        <v>41153</v>
      </c>
      <c r="M444" s="32">
        <v>41131</v>
      </c>
      <c r="N444" s="22" t="s">
        <v>1727</v>
      </c>
      <c r="O444">
        <v>9130785</v>
      </c>
      <c r="P444" s="22">
        <v>1025</v>
      </c>
      <c r="Q444" s="22">
        <v>42</v>
      </c>
      <c r="R444" s="22" t="s">
        <v>2432</v>
      </c>
      <c r="S444" s="55"/>
      <c r="T444" s="4"/>
      <c r="U444" s="42"/>
      <c r="V444" s="4"/>
      <c r="W444" s="28"/>
      <c r="X444" s="74"/>
      <c r="Y444" s="28" t="e">
        <v>#REF!</v>
      </c>
      <c r="Z444" s="9"/>
      <c r="AA444" s="24" t="s">
        <v>392</v>
      </c>
      <c r="AB444" s="28">
        <v>41179</v>
      </c>
    </row>
    <row r="445" spans="1:28" ht="14.25" customHeight="1" x14ac:dyDescent="0.4">
      <c r="A445">
        <v>501</v>
      </c>
      <c r="B445" s="34">
        <v>0</v>
      </c>
      <c r="C445" s="34">
        <v>0</v>
      </c>
      <c r="D445" s="34">
        <v>0</v>
      </c>
      <c r="E445" s="32">
        <v>41156</v>
      </c>
      <c r="F445" s="24" t="s">
        <v>392</v>
      </c>
      <c r="G445" s="24">
        <v>41170</v>
      </c>
      <c r="H445" s="37">
        <v>97</v>
      </c>
      <c r="I445" s="23">
        <v>41153</v>
      </c>
      <c r="J445" s="37">
        <v>2</v>
      </c>
      <c r="K445" s="24" t="s">
        <v>1369</v>
      </c>
      <c r="L445" s="24">
        <v>41153</v>
      </c>
      <c r="M445" s="32">
        <v>41141</v>
      </c>
      <c r="N445" s="22" t="s">
        <v>1727</v>
      </c>
      <c r="O445">
        <v>9130828</v>
      </c>
      <c r="P445" s="22" t="s">
        <v>2257</v>
      </c>
      <c r="Q445" s="22">
        <v>50</v>
      </c>
      <c r="R445" s="22" t="s">
        <v>2433</v>
      </c>
      <c r="T445" s="4"/>
      <c r="U445" s="164"/>
      <c r="V445" s="4"/>
      <c r="Y445" s="28" t="e">
        <v>#REF!</v>
      </c>
      <c r="AA445" s="24" t="s">
        <v>392</v>
      </c>
      <c r="AB445" s="28">
        <v>41170</v>
      </c>
    </row>
    <row r="446" spans="1:28" ht="14.25" customHeight="1" x14ac:dyDescent="0.4">
      <c r="A446">
        <v>173</v>
      </c>
      <c r="B446" s="34">
        <v>0</v>
      </c>
      <c r="C446" s="34" t="s">
        <v>2165</v>
      </c>
      <c r="D446" s="34">
        <v>0</v>
      </c>
      <c r="E446" s="32">
        <v>41145</v>
      </c>
      <c r="F446" s="24" t="s">
        <v>392</v>
      </c>
      <c r="G446" s="24">
        <v>41180</v>
      </c>
      <c r="H446" s="37">
        <v>81</v>
      </c>
      <c r="I446" s="23">
        <v>41122</v>
      </c>
      <c r="J446" s="37">
        <v>49</v>
      </c>
      <c r="K446" s="24" t="s">
        <v>1760</v>
      </c>
      <c r="L446" s="24">
        <v>41091</v>
      </c>
      <c r="M446" s="32">
        <v>41068</v>
      </c>
      <c r="N446" s="22" t="s">
        <v>557</v>
      </c>
      <c r="O446">
        <v>9130272</v>
      </c>
      <c r="P446" s="22">
        <v>1220</v>
      </c>
      <c r="Q446" s="22">
        <v>50</v>
      </c>
      <c r="R446" s="22">
        <v>1</v>
      </c>
      <c r="S446" s="38"/>
      <c r="T446" s="4"/>
      <c r="U446" s="44"/>
      <c r="V446" s="4"/>
      <c r="W446" s="127"/>
      <c r="X446" s="74"/>
      <c r="Y446" s="28" t="e">
        <v>#REF!</v>
      </c>
      <c r="Z446" s="28"/>
      <c r="AA446" s="24" t="s">
        <v>392</v>
      </c>
      <c r="AB446" s="28">
        <v>41180</v>
      </c>
    </row>
    <row r="447" spans="1:28" ht="14.25" customHeight="1" x14ac:dyDescent="0.4">
      <c r="A447">
        <v>174</v>
      </c>
      <c r="B447" s="34">
        <v>0</v>
      </c>
      <c r="C447" s="34" t="s">
        <v>2165</v>
      </c>
      <c r="D447" s="34">
        <v>0</v>
      </c>
      <c r="E447" s="32">
        <v>41127</v>
      </c>
      <c r="F447" s="24" t="s">
        <v>393</v>
      </c>
      <c r="G447" s="24">
        <v>41134</v>
      </c>
      <c r="H447" s="37">
        <v>40</v>
      </c>
      <c r="I447" s="23">
        <v>41122</v>
      </c>
      <c r="J447" s="37">
        <v>8</v>
      </c>
      <c r="K447" s="24" t="s">
        <v>1760</v>
      </c>
      <c r="L447" s="24">
        <v>41091</v>
      </c>
      <c r="M447" s="24">
        <v>41068</v>
      </c>
      <c r="N447" s="22" t="s">
        <v>557</v>
      </c>
      <c r="O447">
        <v>9130273</v>
      </c>
      <c r="P447" s="22">
        <v>1220</v>
      </c>
      <c r="Q447" s="22">
        <v>50</v>
      </c>
      <c r="R447" s="22">
        <v>2</v>
      </c>
      <c r="S447" s="4"/>
      <c r="T447" s="4"/>
      <c r="U447" s="44"/>
      <c r="V447" s="4"/>
      <c r="W447" s="127"/>
      <c r="X447" s="74"/>
      <c r="Y447" s="28" t="e">
        <v>#REF!</v>
      </c>
      <c r="Z447" s="28"/>
      <c r="AA447" s="24" t="s">
        <v>393</v>
      </c>
      <c r="AB447" s="28">
        <v>41134</v>
      </c>
    </row>
    <row r="448" spans="1:28" ht="14.25" customHeight="1" x14ac:dyDescent="0.4">
      <c r="A448">
        <v>175</v>
      </c>
      <c r="B448" s="32">
        <v>41149</v>
      </c>
      <c r="C448" s="32">
        <v>41149</v>
      </c>
      <c r="D448" s="32">
        <v>41149</v>
      </c>
      <c r="E448" s="32">
        <v>41149</v>
      </c>
      <c r="F448" s="24" t="s">
        <v>392</v>
      </c>
      <c r="G448" s="24">
        <v>41152</v>
      </c>
      <c r="H448" s="37">
        <v>87</v>
      </c>
      <c r="I448" s="23">
        <v>41122</v>
      </c>
      <c r="J448" s="37">
        <v>55</v>
      </c>
      <c r="K448" s="24" t="s">
        <v>1760</v>
      </c>
      <c r="L448" s="24">
        <v>41153</v>
      </c>
      <c r="M448" s="32">
        <v>41068</v>
      </c>
      <c r="N448" s="22" t="s">
        <v>557</v>
      </c>
      <c r="O448">
        <v>9130275</v>
      </c>
      <c r="P448" s="22">
        <v>720</v>
      </c>
      <c r="Q448" s="22">
        <v>42</v>
      </c>
      <c r="R448" s="22">
        <v>3</v>
      </c>
      <c r="S448" s="4"/>
      <c r="T448" s="4"/>
      <c r="U448" s="44"/>
      <c r="V448" s="4"/>
      <c r="W448" s="127"/>
      <c r="X448" s="74">
        <v>0</v>
      </c>
      <c r="Y448" s="28" t="e">
        <v>#REF!</v>
      </c>
      <c r="Z448" s="9"/>
      <c r="AA448" s="24" t="s">
        <v>392</v>
      </c>
      <c r="AB448" s="28">
        <v>41152</v>
      </c>
    </row>
    <row r="449" spans="1:28" ht="14.25" customHeight="1" x14ac:dyDescent="0.4">
      <c r="A449">
        <v>176</v>
      </c>
      <c r="B449" s="34">
        <v>0</v>
      </c>
      <c r="C449" s="34" t="s">
        <v>2102</v>
      </c>
      <c r="D449" s="34">
        <v>0</v>
      </c>
      <c r="E449" s="32">
        <v>41144</v>
      </c>
      <c r="F449" s="24" t="s">
        <v>393</v>
      </c>
      <c r="G449" s="24">
        <v>41151</v>
      </c>
      <c r="H449" s="37">
        <v>79</v>
      </c>
      <c r="I449" s="23">
        <v>41122</v>
      </c>
      <c r="J449" s="37">
        <v>47</v>
      </c>
      <c r="K449" s="24" t="s">
        <v>1760</v>
      </c>
      <c r="L449" s="24">
        <v>41153</v>
      </c>
      <c r="M449" s="32">
        <v>41068</v>
      </c>
      <c r="N449" s="22" t="s">
        <v>557</v>
      </c>
      <c r="O449">
        <v>9130277</v>
      </c>
      <c r="P449" s="22">
        <v>1220</v>
      </c>
      <c r="Q449" s="22">
        <v>50</v>
      </c>
      <c r="R449" s="22">
        <v>4</v>
      </c>
      <c r="S449" s="4" t="s">
        <v>403</v>
      </c>
      <c r="T449" s="4" t="s">
        <v>404</v>
      </c>
      <c r="U449" s="42">
        <v>41166</v>
      </c>
      <c r="V449" s="4"/>
      <c r="W449" s="28"/>
      <c r="X449" s="74"/>
      <c r="Y449" s="28" t="e">
        <v>#REF!</v>
      </c>
      <c r="Z449" s="9"/>
      <c r="AA449" s="24" t="s">
        <v>393</v>
      </c>
      <c r="AB449" s="28">
        <v>41151</v>
      </c>
    </row>
    <row r="450" spans="1:28" ht="14.25" customHeight="1" x14ac:dyDescent="0.4">
      <c r="A450">
        <v>177</v>
      </c>
      <c r="B450" s="34">
        <v>0</v>
      </c>
      <c r="C450" s="34">
        <v>0</v>
      </c>
      <c r="D450" s="34">
        <v>0</v>
      </c>
      <c r="E450" s="32">
        <v>0</v>
      </c>
      <c r="F450" s="24">
        <v>0</v>
      </c>
      <c r="G450" s="24">
        <v>0</v>
      </c>
      <c r="H450" s="37">
        <v>267</v>
      </c>
      <c r="I450" s="23">
        <v>41214</v>
      </c>
      <c r="J450" s="37">
        <v>46</v>
      </c>
      <c r="K450" s="24" t="s">
        <v>1760</v>
      </c>
      <c r="L450" s="24">
        <v>41214</v>
      </c>
      <c r="M450" s="32">
        <v>41068</v>
      </c>
      <c r="N450" s="22" t="s">
        <v>557</v>
      </c>
      <c r="O450">
        <v>9130278</v>
      </c>
      <c r="P450" s="22">
        <v>1020</v>
      </c>
      <c r="Q450" s="22">
        <v>42</v>
      </c>
      <c r="R450" s="22">
        <v>5</v>
      </c>
      <c r="S450" s="102"/>
      <c r="T450" s="4"/>
      <c r="U450" s="94"/>
      <c r="V450" s="4"/>
      <c r="W450" s="92"/>
      <c r="X450" s="74"/>
      <c r="Y450" s="28" t="e">
        <v>#REF!</v>
      </c>
      <c r="Z450" s="9"/>
      <c r="AA450" s="24">
        <v>0</v>
      </c>
      <c r="AB450" s="28">
        <v>0</v>
      </c>
    </row>
    <row r="451" spans="1:28" ht="14.25" customHeight="1" x14ac:dyDescent="0.4">
      <c r="A451">
        <v>178</v>
      </c>
      <c r="B451" s="32">
        <v>0</v>
      </c>
      <c r="C451" s="32">
        <v>0</v>
      </c>
      <c r="D451" s="32">
        <v>0</v>
      </c>
      <c r="E451" s="32">
        <v>0</v>
      </c>
      <c r="F451" s="24">
        <v>0</v>
      </c>
      <c r="G451" s="24">
        <v>0</v>
      </c>
      <c r="H451" s="37">
        <v>224</v>
      </c>
      <c r="I451" s="23">
        <v>41214</v>
      </c>
      <c r="J451" s="37">
        <v>3</v>
      </c>
      <c r="K451" s="24" t="s">
        <v>1760</v>
      </c>
      <c r="L451" s="24">
        <v>41214</v>
      </c>
      <c r="M451" s="32">
        <v>41068</v>
      </c>
      <c r="N451" s="22" t="s">
        <v>557</v>
      </c>
      <c r="O451">
        <v>9130279</v>
      </c>
      <c r="P451" s="22">
        <v>1020</v>
      </c>
      <c r="Q451" s="22">
        <v>42</v>
      </c>
      <c r="R451" s="22">
        <v>6</v>
      </c>
      <c r="S451" s="4"/>
      <c r="T451" s="4"/>
      <c r="U451" s="44"/>
      <c r="V451" s="4"/>
      <c r="W451" s="9"/>
      <c r="X451" s="74">
        <v>0</v>
      </c>
      <c r="Y451" s="28" t="e">
        <v>#REF!</v>
      </c>
      <c r="Z451" s="9"/>
      <c r="AA451" s="24">
        <v>0</v>
      </c>
      <c r="AB451" s="28">
        <v>0</v>
      </c>
    </row>
    <row r="452" spans="1:28" ht="14.25" customHeight="1" x14ac:dyDescent="0.4">
      <c r="A452">
        <v>522</v>
      </c>
      <c r="B452" s="32">
        <v>0</v>
      </c>
      <c r="C452" s="32">
        <v>0</v>
      </c>
      <c r="D452" s="32">
        <v>0</v>
      </c>
      <c r="E452" s="32">
        <v>0</v>
      </c>
      <c r="F452" s="24">
        <v>0</v>
      </c>
      <c r="G452" s="24">
        <v>0</v>
      </c>
      <c r="H452" s="37">
        <v>336</v>
      </c>
      <c r="I452" s="23">
        <v>41275</v>
      </c>
      <c r="J452" s="37">
        <v>7</v>
      </c>
      <c r="K452" s="24" t="s">
        <v>1760</v>
      </c>
      <c r="L452" s="24">
        <v>41244</v>
      </c>
      <c r="M452" s="32">
        <v>41169</v>
      </c>
      <c r="N452" s="22" t="s">
        <v>1950</v>
      </c>
      <c r="O452">
        <v>9130872</v>
      </c>
      <c r="P452" s="22" t="s">
        <v>2257</v>
      </c>
      <c r="Q452" s="22">
        <v>50</v>
      </c>
      <c r="R452" s="22" t="s">
        <v>2434</v>
      </c>
      <c r="S452" s="4"/>
      <c r="T452" s="4"/>
      <c r="U452" s="44"/>
      <c r="V452" s="4"/>
      <c r="W452" s="9"/>
      <c r="X452" s="74">
        <v>0</v>
      </c>
      <c r="Y452" s="28" t="e">
        <v>#REF!</v>
      </c>
      <c r="Z452" s="9"/>
      <c r="AA452" s="24">
        <v>0</v>
      </c>
      <c r="AB452" s="28">
        <v>0</v>
      </c>
    </row>
    <row r="453" spans="1:28" ht="14.25" customHeight="1" x14ac:dyDescent="0.4">
      <c r="A453">
        <v>92</v>
      </c>
      <c r="B453" s="32">
        <v>41145</v>
      </c>
      <c r="C453" s="32">
        <v>41145</v>
      </c>
      <c r="D453" s="32">
        <v>41145</v>
      </c>
      <c r="E453" s="32">
        <v>41145</v>
      </c>
      <c r="F453" s="24" t="s">
        <v>2316</v>
      </c>
      <c r="G453" s="24">
        <v>0</v>
      </c>
      <c r="H453" s="37">
        <v>82</v>
      </c>
      <c r="I453" s="23">
        <v>41122</v>
      </c>
      <c r="J453" s="37">
        <v>50</v>
      </c>
      <c r="K453" s="24" t="s">
        <v>1760</v>
      </c>
      <c r="L453" s="24">
        <v>41091</v>
      </c>
      <c r="M453" s="32">
        <v>41068</v>
      </c>
      <c r="N453" s="22" t="s">
        <v>210</v>
      </c>
      <c r="O453">
        <v>9130135</v>
      </c>
      <c r="P453" s="22" t="s">
        <v>2257</v>
      </c>
      <c r="Q453" s="22">
        <v>50</v>
      </c>
      <c r="R453" s="22" t="s">
        <v>2435</v>
      </c>
      <c r="S453" s="1"/>
      <c r="T453" s="4"/>
      <c r="U453" s="94"/>
      <c r="V453" s="4"/>
      <c r="W453" s="92"/>
      <c r="X453" s="74"/>
      <c r="Y453" s="28" t="e">
        <v>#REF!</v>
      </c>
      <c r="Z453" s="9"/>
      <c r="AA453" s="24" t="s">
        <v>2316</v>
      </c>
      <c r="AB453" s="28">
        <v>0</v>
      </c>
    </row>
    <row r="454" spans="1:28" ht="14.25" customHeight="1" x14ac:dyDescent="0.4">
      <c r="A454">
        <v>93</v>
      </c>
      <c r="B454" s="34">
        <v>0</v>
      </c>
      <c r="C454" s="34" t="s">
        <v>2165</v>
      </c>
      <c r="D454" s="34">
        <v>0</v>
      </c>
      <c r="E454" s="32">
        <v>0</v>
      </c>
      <c r="F454" s="24">
        <v>0</v>
      </c>
      <c r="G454" s="24">
        <v>0</v>
      </c>
      <c r="H454" s="37">
        <v>337</v>
      </c>
      <c r="I454" s="23">
        <v>41275</v>
      </c>
      <c r="J454" s="37">
        <v>8</v>
      </c>
      <c r="K454" s="24" t="s">
        <v>1760</v>
      </c>
      <c r="L454" s="24">
        <v>41275</v>
      </c>
      <c r="M454" s="32">
        <v>41068</v>
      </c>
      <c r="N454" s="22" t="s">
        <v>210</v>
      </c>
      <c r="O454">
        <v>9130138</v>
      </c>
      <c r="P454" s="22">
        <v>1220</v>
      </c>
      <c r="Q454" s="22">
        <v>50</v>
      </c>
      <c r="R454" s="22" t="s">
        <v>2436</v>
      </c>
      <c r="T454" s="4"/>
      <c r="U454" s="164"/>
      <c r="V454" s="4"/>
      <c r="Y454" s="28" t="e">
        <v>#REF!</v>
      </c>
      <c r="AA454" s="24">
        <v>0</v>
      </c>
      <c r="AB454" s="28">
        <v>0</v>
      </c>
    </row>
    <row r="455" spans="1:28" ht="14.25" customHeight="1" x14ac:dyDescent="0.4">
      <c r="A455">
        <v>94</v>
      </c>
      <c r="B455" s="34">
        <v>0</v>
      </c>
      <c r="C455" s="34" t="s">
        <v>2165</v>
      </c>
      <c r="D455" s="34">
        <v>0</v>
      </c>
      <c r="E455" s="32">
        <v>0</v>
      </c>
      <c r="F455" s="24">
        <v>0</v>
      </c>
      <c r="G455" s="24">
        <v>0</v>
      </c>
      <c r="H455" s="37">
        <v>338</v>
      </c>
      <c r="I455" s="23">
        <v>41275</v>
      </c>
      <c r="J455" s="37">
        <v>9</v>
      </c>
      <c r="K455" s="24" t="s">
        <v>1760</v>
      </c>
      <c r="L455" s="24">
        <v>41275</v>
      </c>
      <c r="M455" s="32">
        <v>41068</v>
      </c>
      <c r="N455" s="22" t="s">
        <v>210</v>
      </c>
      <c r="O455">
        <v>9130139</v>
      </c>
      <c r="P455" s="22">
        <v>1220</v>
      </c>
      <c r="Q455" s="22">
        <v>50</v>
      </c>
      <c r="R455" s="22" t="s">
        <v>2437</v>
      </c>
      <c r="T455" s="4"/>
      <c r="U455" s="164"/>
      <c r="V455" s="4"/>
      <c r="W455" s="43"/>
      <c r="Y455" s="28" t="e">
        <v>#REF!</v>
      </c>
      <c r="AA455" s="24">
        <v>0</v>
      </c>
      <c r="AB455" s="28">
        <v>0</v>
      </c>
    </row>
    <row r="456" spans="1:28" ht="14.25" customHeight="1" x14ac:dyDescent="0.4">
      <c r="A456">
        <v>95</v>
      </c>
      <c r="B456" s="34">
        <v>0</v>
      </c>
      <c r="C456" s="34" t="s">
        <v>2165</v>
      </c>
      <c r="D456" s="34">
        <v>0</v>
      </c>
      <c r="E456" s="32">
        <v>0</v>
      </c>
      <c r="F456" s="24">
        <v>0</v>
      </c>
      <c r="G456" s="24">
        <v>0</v>
      </c>
      <c r="H456" s="37">
        <v>397</v>
      </c>
      <c r="I456" s="23">
        <v>41306</v>
      </c>
      <c r="J456" s="37">
        <v>2</v>
      </c>
      <c r="K456" s="24" t="s">
        <v>1760</v>
      </c>
      <c r="L456" s="24">
        <v>41306</v>
      </c>
      <c r="M456" s="24">
        <v>41068</v>
      </c>
      <c r="N456" s="22" t="s">
        <v>210</v>
      </c>
      <c r="O456">
        <v>9130140</v>
      </c>
      <c r="P456" s="22" t="s">
        <v>2257</v>
      </c>
      <c r="Q456" s="22">
        <v>50</v>
      </c>
      <c r="R456" s="22" t="s">
        <v>2438</v>
      </c>
      <c r="T456" s="4"/>
      <c r="U456" s="164"/>
      <c r="V456" s="4"/>
      <c r="W456" s="43"/>
      <c r="Y456" s="28" t="e">
        <v>#REF!</v>
      </c>
      <c r="AA456" s="24">
        <v>0</v>
      </c>
      <c r="AB456" s="28">
        <v>0</v>
      </c>
    </row>
    <row r="457" spans="1:28" ht="14.25" customHeight="1" x14ac:dyDescent="0.4">
      <c r="A457">
        <v>96</v>
      </c>
      <c r="B457" s="34">
        <v>0</v>
      </c>
      <c r="C457" s="34">
        <v>0</v>
      </c>
      <c r="D457" s="34">
        <v>0</v>
      </c>
      <c r="E457" s="32">
        <v>0</v>
      </c>
      <c r="F457" s="24">
        <v>0</v>
      </c>
      <c r="G457" s="24">
        <v>0</v>
      </c>
      <c r="H457" s="37">
        <v>398</v>
      </c>
      <c r="I457" s="23">
        <v>41306</v>
      </c>
      <c r="J457" s="37">
        <v>3</v>
      </c>
      <c r="K457" s="24" t="s">
        <v>1760</v>
      </c>
      <c r="L457" s="24">
        <v>41306</v>
      </c>
      <c r="M457" s="32">
        <v>41068</v>
      </c>
      <c r="N457" s="22" t="s">
        <v>210</v>
      </c>
      <c r="O457">
        <v>9130143</v>
      </c>
      <c r="P457" s="22">
        <v>1220</v>
      </c>
      <c r="Q457" s="22">
        <v>50</v>
      </c>
      <c r="R457" s="22" t="s">
        <v>2439</v>
      </c>
      <c r="T457" s="4"/>
      <c r="U457" s="164"/>
      <c r="V457" s="4"/>
      <c r="Y457" s="28" t="e">
        <v>#REF!</v>
      </c>
      <c r="AA457" s="24">
        <v>0</v>
      </c>
      <c r="AB457" s="28"/>
    </row>
    <row r="458" spans="1:28" ht="14.25" customHeight="1" x14ac:dyDescent="0.4">
      <c r="A458">
        <v>460</v>
      </c>
      <c r="B458" s="34">
        <v>0</v>
      </c>
      <c r="C458" s="34" t="s">
        <v>2165</v>
      </c>
      <c r="D458" s="34">
        <v>0</v>
      </c>
      <c r="E458" s="32">
        <v>0</v>
      </c>
      <c r="F458" s="24">
        <v>0</v>
      </c>
      <c r="G458" s="24">
        <v>0</v>
      </c>
      <c r="H458" s="37">
        <v>227</v>
      </c>
      <c r="I458" s="23">
        <v>41214</v>
      </c>
      <c r="J458" s="37">
        <v>6</v>
      </c>
      <c r="K458" s="24" t="s">
        <v>1760</v>
      </c>
      <c r="L458" s="24">
        <v>41214</v>
      </c>
      <c r="M458" s="32">
        <v>41110</v>
      </c>
      <c r="N458" s="22" t="s">
        <v>592</v>
      </c>
      <c r="O458">
        <v>9130740</v>
      </c>
      <c r="P458" s="22" t="s">
        <v>2257</v>
      </c>
      <c r="Q458" s="22">
        <v>50</v>
      </c>
      <c r="R458" s="22" t="s">
        <v>2440</v>
      </c>
      <c r="S458" s="4" t="s">
        <v>403</v>
      </c>
      <c r="T458" s="4" t="s">
        <v>404</v>
      </c>
      <c r="U458" s="44">
        <v>41166</v>
      </c>
      <c r="V458" s="4"/>
      <c r="W458" s="9"/>
      <c r="X458" s="74"/>
      <c r="Y458" s="28" t="e">
        <v>#REF!</v>
      </c>
      <c r="Z458" s="9"/>
      <c r="AA458" s="24">
        <v>0</v>
      </c>
      <c r="AB458" s="28">
        <v>0</v>
      </c>
    </row>
    <row r="459" spans="1:28" ht="14.25" customHeight="1" x14ac:dyDescent="0.4">
      <c r="A459">
        <v>284</v>
      </c>
      <c r="B459" s="34">
        <v>0</v>
      </c>
      <c r="C459" s="34" t="s">
        <v>2102</v>
      </c>
      <c r="D459" s="34">
        <v>0</v>
      </c>
      <c r="E459" s="32">
        <v>0</v>
      </c>
      <c r="F459" s="24">
        <v>0</v>
      </c>
      <c r="G459" s="24">
        <v>0</v>
      </c>
      <c r="H459" s="37">
        <v>228</v>
      </c>
      <c r="I459" s="23">
        <v>41214</v>
      </c>
      <c r="J459" s="37">
        <v>7</v>
      </c>
      <c r="K459" s="24" t="s">
        <v>1760</v>
      </c>
      <c r="L459" s="24">
        <v>41214</v>
      </c>
      <c r="M459" s="32">
        <v>41110</v>
      </c>
      <c r="N459" s="22" t="s">
        <v>592</v>
      </c>
      <c r="O459">
        <v>9130741</v>
      </c>
      <c r="P459" s="22" t="s">
        <v>2257</v>
      </c>
      <c r="Q459" s="22">
        <v>50</v>
      </c>
      <c r="R459" s="22" t="s">
        <v>2441</v>
      </c>
      <c r="S459" s="55"/>
      <c r="T459" s="4"/>
      <c r="U459" s="94"/>
      <c r="V459" s="4"/>
      <c r="W459" s="28"/>
      <c r="X459" s="74"/>
      <c r="Y459" s="28" t="e">
        <v>#REF!</v>
      </c>
      <c r="Z459" s="9"/>
      <c r="AA459" s="24">
        <v>0</v>
      </c>
      <c r="AB459" s="28">
        <v>0</v>
      </c>
    </row>
    <row r="460" spans="1:28" ht="14.25" customHeight="1" x14ac:dyDescent="0.4">
      <c r="A460">
        <v>527</v>
      </c>
      <c r="B460" s="34">
        <v>0</v>
      </c>
      <c r="C460" s="34">
        <v>0</v>
      </c>
      <c r="D460" s="34">
        <v>0</v>
      </c>
      <c r="E460" s="32">
        <v>0</v>
      </c>
      <c r="F460" s="24">
        <v>0</v>
      </c>
      <c r="G460" s="24">
        <v>0</v>
      </c>
      <c r="H460" s="37">
        <v>220</v>
      </c>
      <c r="I460" s="23">
        <v>41183</v>
      </c>
      <c r="J460" s="37">
        <v>68</v>
      </c>
      <c r="K460" s="24" t="s">
        <v>1760</v>
      </c>
      <c r="L460" s="24">
        <v>41183</v>
      </c>
      <c r="M460" s="32">
        <v>41177</v>
      </c>
      <c r="N460" s="22" t="s">
        <v>592</v>
      </c>
      <c r="O460">
        <v>9130880</v>
      </c>
      <c r="P460" s="22" t="s">
        <v>2257</v>
      </c>
      <c r="Q460" s="22">
        <v>50</v>
      </c>
      <c r="R460" s="22" t="s">
        <v>2442</v>
      </c>
      <c r="S460" s="4"/>
      <c r="T460" s="4"/>
      <c r="U460" s="44"/>
      <c r="V460" s="4"/>
      <c r="W460" s="28"/>
      <c r="X460" s="74"/>
      <c r="Y460" s="28" t="e">
        <v>#REF!</v>
      </c>
      <c r="Z460" s="28"/>
      <c r="AA460" s="24">
        <v>0</v>
      </c>
      <c r="AB460" s="28">
        <v>0</v>
      </c>
    </row>
    <row r="461" spans="1:28" ht="14.25" customHeight="1" x14ac:dyDescent="0.4">
      <c r="A461">
        <v>528</v>
      </c>
      <c r="B461" s="34">
        <v>0</v>
      </c>
      <c r="C461" s="34" t="s">
        <v>2102</v>
      </c>
      <c r="D461" s="34">
        <v>0</v>
      </c>
      <c r="E461" s="32">
        <v>0</v>
      </c>
      <c r="F461" s="24">
        <v>0</v>
      </c>
      <c r="G461" s="24">
        <v>0</v>
      </c>
      <c r="H461" s="37">
        <v>221</v>
      </c>
      <c r="I461" s="23">
        <v>41183</v>
      </c>
      <c r="J461" s="37">
        <v>69</v>
      </c>
      <c r="K461" s="24" t="s">
        <v>1760</v>
      </c>
      <c r="L461" s="24">
        <v>41183</v>
      </c>
      <c r="M461" s="32">
        <v>41177</v>
      </c>
      <c r="N461" s="22" t="s">
        <v>592</v>
      </c>
      <c r="O461">
        <v>9130883</v>
      </c>
      <c r="P461" s="22" t="s">
        <v>2257</v>
      </c>
      <c r="Q461" s="22">
        <v>50</v>
      </c>
      <c r="R461" s="22" t="s">
        <v>2442</v>
      </c>
      <c r="S461" s="4"/>
      <c r="T461" s="4"/>
      <c r="U461" s="44"/>
      <c r="V461" s="4"/>
      <c r="W461" s="28"/>
      <c r="X461" s="74"/>
      <c r="Y461" s="28" t="e">
        <v>#REF!</v>
      </c>
      <c r="Z461" s="28"/>
      <c r="AA461" s="24">
        <v>0</v>
      </c>
      <c r="AB461" s="28">
        <v>0</v>
      </c>
    </row>
    <row r="462" spans="1:28" ht="14.25" customHeight="1" x14ac:dyDescent="0.4">
      <c r="A462">
        <v>312</v>
      </c>
      <c r="B462" s="34">
        <v>0</v>
      </c>
      <c r="C462" s="34">
        <v>0</v>
      </c>
      <c r="D462" s="34">
        <v>0</v>
      </c>
      <c r="E462" s="32">
        <v>41123</v>
      </c>
      <c r="F462" s="24" t="s">
        <v>393</v>
      </c>
      <c r="G462" s="24">
        <v>41124</v>
      </c>
      <c r="H462" s="37">
        <v>34</v>
      </c>
      <c r="I462" s="23">
        <v>41122</v>
      </c>
      <c r="J462" s="37">
        <v>2</v>
      </c>
      <c r="K462" s="24" t="s">
        <v>549</v>
      </c>
      <c r="L462" s="24">
        <v>41091</v>
      </c>
      <c r="M462" s="32">
        <v>41066</v>
      </c>
      <c r="N462" s="22" t="s">
        <v>567</v>
      </c>
      <c r="O462">
        <v>9130478</v>
      </c>
      <c r="P462" s="22">
        <v>720</v>
      </c>
      <c r="Q462" s="22">
        <v>42</v>
      </c>
      <c r="R462" s="22" t="s">
        <v>2443</v>
      </c>
      <c r="S462" s="47"/>
      <c r="T462" s="4"/>
      <c r="U462" s="88"/>
      <c r="V462" s="4"/>
      <c r="W462" s="89"/>
      <c r="X462" s="74"/>
      <c r="Y462" s="28" t="e">
        <v>#REF!</v>
      </c>
      <c r="Z462" s="9"/>
      <c r="AA462" s="24" t="s">
        <v>393</v>
      </c>
      <c r="AB462" s="28">
        <v>41124</v>
      </c>
    </row>
    <row r="463" spans="1:28" ht="14.25" customHeight="1" x14ac:dyDescent="0.4">
      <c r="A463">
        <v>314</v>
      </c>
      <c r="B463" s="32">
        <v>41114</v>
      </c>
      <c r="C463" s="32">
        <v>41114</v>
      </c>
      <c r="D463" s="32">
        <v>41114</v>
      </c>
      <c r="E463" s="32">
        <v>41114</v>
      </c>
      <c r="F463" s="24" t="s">
        <v>393</v>
      </c>
      <c r="G463" s="24">
        <v>41121</v>
      </c>
      <c r="H463" s="37">
        <v>27</v>
      </c>
      <c r="I463" s="23">
        <v>41091</v>
      </c>
      <c r="J463" s="37">
        <v>27</v>
      </c>
      <c r="K463" s="24" t="s">
        <v>549</v>
      </c>
      <c r="L463" s="24">
        <v>41091</v>
      </c>
      <c r="M463" s="32">
        <v>41066</v>
      </c>
      <c r="N463" s="22" t="s">
        <v>567</v>
      </c>
      <c r="O463">
        <v>9130479</v>
      </c>
      <c r="P463" s="22">
        <v>1025</v>
      </c>
      <c r="Q463" s="22">
        <v>42</v>
      </c>
      <c r="R463" s="22" t="s">
        <v>2444</v>
      </c>
      <c r="S463" s="47"/>
      <c r="T463" s="4"/>
      <c r="U463" s="88"/>
      <c r="V463" s="4"/>
      <c r="W463" s="89"/>
      <c r="Y463" s="28" t="e">
        <v>#REF!</v>
      </c>
      <c r="AA463" s="24" t="s">
        <v>393</v>
      </c>
      <c r="AB463" s="28">
        <v>41121</v>
      </c>
    </row>
    <row r="464" spans="1:28" ht="14.25" customHeight="1" x14ac:dyDescent="0.4">
      <c r="A464">
        <v>315</v>
      </c>
      <c r="B464" s="32">
        <v>41130</v>
      </c>
      <c r="C464" s="32">
        <v>41130</v>
      </c>
      <c r="D464" s="32">
        <v>41130</v>
      </c>
      <c r="E464" s="32">
        <v>41130</v>
      </c>
      <c r="F464" s="24" t="s">
        <v>393</v>
      </c>
      <c r="G464" s="24">
        <v>41131</v>
      </c>
      <c r="H464" s="37">
        <v>51</v>
      </c>
      <c r="I464" s="23">
        <v>41122</v>
      </c>
      <c r="J464" s="37">
        <v>19</v>
      </c>
      <c r="K464" s="24" t="s">
        <v>549</v>
      </c>
      <c r="L464" s="24">
        <v>41091</v>
      </c>
      <c r="M464" s="32">
        <v>41066</v>
      </c>
      <c r="N464" s="22" t="s">
        <v>567</v>
      </c>
      <c r="O464">
        <v>9130480</v>
      </c>
      <c r="P464" s="22" t="s">
        <v>2312</v>
      </c>
      <c r="Q464" s="22">
        <v>50</v>
      </c>
      <c r="R464" s="22" t="s">
        <v>2445</v>
      </c>
      <c r="S464" s="47"/>
      <c r="T464" s="4"/>
      <c r="U464" s="88"/>
      <c r="V464" s="4"/>
      <c r="W464" s="89"/>
      <c r="Y464" s="28" t="e">
        <v>#REF!</v>
      </c>
      <c r="Z464" s="28"/>
      <c r="AA464" s="24" t="s">
        <v>393</v>
      </c>
      <c r="AB464" s="28">
        <v>41131</v>
      </c>
    </row>
    <row r="465" spans="1:34" ht="14.25" customHeight="1" x14ac:dyDescent="0.4">
      <c r="A465">
        <v>316</v>
      </c>
      <c r="B465" s="32">
        <v>41136</v>
      </c>
      <c r="C465" s="32">
        <v>41136</v>
      </c>
      <c r="D465" s="32">
        <v>41136</v>
      </c>
      <c r="E465" s="32">
        <v>41136</v>
      </c>
      <c r="F465" s="24" t="s">
        <v>393</v>
      </c>
      <c r="G465" s="24">
        <v>41143</v>
      </c>
      <c r="H465" s="37">
        <v>61</v>
      </c>
      <c r="I465" s="23">
        <v>41122</v>
      </c>
      <c r="J465" s="37">
        <v>29</v>
      </c>
      <c r="K465" s="24" t="s">
        <v>549</v>
      </c>
      <c r="L465" s="24">
        <v>41122</v>
      </c>
      <c r="M465" s="32">
        <v>41066</v>
      </c>
      <c r="N465" s="22" t="s">
        <v>567</v>
      </c>
      <c r="O465">
        <v>9130481</v>
      </c>
      <c r="P465" s="22">
        <v>720</v>
      </c>
      <c r="Q465" s="22">
        <v>42</v>
      </c>
      <c r="R465" s="22" t="s">
        <v>2446</v>
      </c>
      <c r="S465" s="47"/>
      <c r="T465" s="4"/>
      <c r="U465" s="88"/>
      <c r="V465" s="4"/>
      <c r="W465" s="89"/>
      <c r="X465" s="74"/>
      <c r="Y465" s="28" t="e">
        <v>#REF!</v>
      </c>
      <c r="Z465" s="28"/>
      <c r="AA465" s="24" t="s">
        <v>393</v>
      </c>
      <c r="AB465" s="28">
        <v>41143</v>
      </c>
    </row>
    <row r="466" spans="1:34" ht="14.25" customHeight="1" x14ac:dyDescent="0.4">
      <c r="A466">
        <v>317</v>
      </c>
      <c r="B466" s="34">
        <v>0</v>
      </c>
      <c r="C466" s="34">
        <v>0</v>
      </c>
      <c r="D466" s="34">
        <v>0</v>
      </c>
      <c r="E466" s="32">
        <v>41163</v>
      </c>
      <c r="F466" s="24" t="s">
        <v>393</v>
      </c>
      <c r="G466" s="24">
        <v>41179</v>
      </c>
      <c r="H466" s="37">
        <v>112</v>
      </c>
      <c r="I466" s="23">
        <v>41153</v>
      </c>
      <c r="J466" s="37">
        <v>17</v>
      </c>
      <c r="K466" s="24" t="s">
        <v>549</v>
      </c>
      <c r="L466" s="24">
        <v>41122</v>
      </c>
      <c r="M466" s="32">
        <v>41066</v>
      </c>
      <c r="N466" s="22" t="s">
        <v>567</v>
      </c>
      <c r="O466">
        <v>9130482</v>
      </c>
      <c r="P466" s="22">
        <v>1025</v>
      </c>
      <c r="Q466" s="22">
        <v>42</v>
      </c>
      <c r="R466" s="22" t="s">
        <v>2447</v>
      </c>
      <c r="S466" s="47"/>
      <c r="T466" s="4"/>
      <c r="U466" s="88"/>
      <c r="V466" s="4"/>
      <c r="W466" s="89"/>
      <c r="X466" s="74"/>
      <c r="Y466" s="28" t="e">
        <v>#REF!</v>
      </c>
      <c r="Z466" s="9"/>
      <c r="AA466" s="24" t="s">
        <v>393</v>
      </c>
      <c r="AB466" s="28">
        <v>41179</v>
      </c>
    </row>
    <row r="467" spans="1:34" ht="14.25" customHeight="1" x14ac:dyDescent="0.4">
      <c r="A467">
        <v>318</v>
      </c>
      <c r="B467" s="34">
        <v>0</v>
      </c>
      <c r="C467" s="34" t="s">
        <v>2165</v>
      </c>
      <c r="D467" s="34">
        <v>0</v>
      </c>
      <c r="E467" s="32">
        <v>41137</v>
      </c>
      <c r="F467" s="24" t="s">
        <v>392</v>
      </c>
      <c r="G467" s="24">
        <v>41150</v>
      </c>
      <c r="H467" s="37">
        <v>65</v>
      </c>
      <c r="I467" s="23">
        <v>41122</v>
      </c>
      <c r="J467" s="37">
        <v>33</v>
      </c>
      <c r="K467" s="24" t="s">
        <v>549</v>
      </c>
      <c r="L467" s="24">
        <v>41122</v>
      </c>
      <c r="M467" s="32">
        <v>41066</v>
      </c>
      <c r="N467" s="22" t="s">
        <v>567</v>
      </c>
      <c r="O467">
        <v>9130484</v>
      </c>
      <c r="P467" s="22" t="s">
        <v>2312</v>
      </c>
      <c r="Q467" s="22">
        <v>50</v>
      </c>
      <c r="R467" s="22" t="s">
        <v>2448</v>
      </c>
      <c r="S467" s="47"/>
      <c r="T467" s="4"/>
      <c r="U467" s="88"/>
      <c r="V467" s="4"/>
      <c r="W467" s="89"/>
      <c r="X467" s="74"/>
      <c r="Y467" s="28" t="e">
        <v>#REF!</v>
      </c>
      <c r="Z467" s="9"/>
      <c r="AA467" s="24" t="s">
        <v>392</v>
      </c>
      <c r="AB467" s="28">
        <v>41150</v>
      </c>
    </row>
    <row r="468" spans="1:34" s="69" customFormat="1" ht="14.25" customHeight="1" x14ac:dyDescent="0.4">
      <c r="A468">
        <v>319</v>
      </c>
      <c r="B468" s="34">
        <v>0</v>
      </c>
      <c r="C468" s="34" t="s">
        <v>2165</v>
      </c>
      <c r="D468" s="34">
        <v>0</v>
      </c>
      <c r="E468" s="32">
        <v>41172</v>
      </c>
      <c r="F468" s="24" t="s">
        <v>392</v>
      </c>
      <c r="G468" s="24">
        <v>41177</v>
      </c>
      <c r="H468" s="37">
        <v>135</v>
      </c>
      <c r="I468" s="23">
        <v>41153</v>
      </c>
      <c r="J468" s="37">
        <v>40</v>
      </c>
      <c r="K468" s="24" t="s">
        <v>549</v>
      </c>
      <c r="L468" s="24">
        <v>41153</v>
      </c>
      <c r="M468" s="32">
        <v>41066</v>
      </c>
      <c r="N468" s="22" t="s">
        <v>567</v>
      </c>
      <c r="O468">
        <v>9130487</v>
      </c>
      <c r="P468" s="22">
        <v>720</v>
      </c>
      <c r="Q468" s="22">
        <v>42</v>
      </c>
      <c r="R468" s="22" t="s">
        <v>2449</v>
      </c>
      <c r="S468" s="47"/>
      <c r="T468" s="4"/>
      <c r="U468" s="88"/>
      <c r="V468" s="4"/>
      <c r="W468" s="89"/>
      <c r="X468" s="74"/>
      <c r="Y468" s="28" t="e">
        <v>#REF!</v>
      </c>
      <c r="Z468" s="9"/>
      <c r="AA468" s="24" t="s">
        <v>392</v>
      </c>
      <c r="AB468" s="28">
        <v>41177</v>
      </c>
      <c r="AH468" s="64"/>
    </row>
    <row r="469" spans="1:34" ht="14.25" customHeight="1" x14ac:dyDescent="0.4">
      <c r="A469">
        <v>320</v>
      </c>
      <c r="B469" s="34">
        <v>0</v>
      </c>
      <c r="C469" s="34" t="s">
        <v>2102</v>
      </c>
      <c r="D469" s="34">
        <v>0</v>
      </c>
      <c r="E469" s="32">
        <v>41177</v>
      </c>
      <c r="F469" s="24" t="s">
        <v>422</v>
      </c>
      <c r="G469" s="24">
        <v>0</v>
      </c>
      <c r="H469" s="37">
        <v>143</v>
      </c>
      <c r="I469" s="23">
        <v>41153</v>
      </c>
      <c r="J469" s="37">
        <v>48</v>
      </c>
      <c r="K469" s="24" t="s">
        <v>549</v>
      </c>
      <c r="L469" s="24">
        <v>41153</v>
      </c>
      <c r="M469" s="32">
        <v>41066</v>
      </c>
      <c r="N469" s="22" t="s">
        <v>567</v>
      </c>
      <c r="O469">
        <v>9130488</v>
      </c>
      <c r="P469" s="22">
        <v>1025</v>
      </c>
      <c r="Q469" s="22">
        <v>42</v>
      </c>
      <c r="R469" s="22" t="s">
        <v>2450</v>
      </c>
      <c r="S469" s="47"/>
      <c r="T469" s="4"/>
      <c r="U469" s="88"/>
      <c r="V469" s="4"/>
      <c r="W469" s="89"/>
      <c r="X469" s="74"/>
      <c r="Y469" s="28" t="e">
        <v>#REF!</v>
      </c>
      <c r="Z469" s="9"/>
      <c r="AA469" s="24" t="s">
        <v>422</v>
      </c>
      <c r="AB469" s="28">
        <v>0</v>
      </c>
    </row>
    <row r="470" spans="1:34" ht="14.25" customHeight="1" x14ac:dyDescent="0.4">
      <c r="A470">
        <v>321</v>
      </c>
      <c r="B470" s="32">
        <v>41177</v>
      </c>
      <c r="C470" s="32">
        <v>41177</v>
      </c>
      <c r="D470" s="32">
        <v>41177</v>
      </c>
      <c r="E470" s="32">
        <v>41177</v>
      </c>
      <c r="F470" s="24" t="s">
        <v>422</v>
      </c>
      <c r="G470" s="24">
        <v>0</v>
      </c>
      <c r="H470" s="37">
        <v>144</v>
      </c>
      <c r="I470" s="23">
        <v>41153</v>
      </c>
      <c r="J470" s="37">
        <v>49</v>
      </c>
      <c r="K470" s="24" t="s">
        <v>549</v>
      </c>
      <c r="L470" s="24">
        <v>41153</v>
      </c>
      <c r="M470" s="32">
        <v>41066</v>
      </c>
      <c r="N470" s="22" t="s">
        <v>567</v>
      </c>
      <c r="O470">
        <v>9130489</v>
      </c>
      <c r="P470" s="22">
        <v>1025</v>
      </c>
      <c r="Q470" s="22">
        <v>50</v>
      </c>
      <c r="R470" s="22" t="s">
        <v>2451</v>
      </c>
      <c r="S470" s="47"/>
      <c r="T470" s="4"/>
      <c r="U470" s="88"/>
      <c r="V470" s="4"/>
      <c r="W470" s="89"/>
      <c r="Y470" s="28" t="e">
        <v>#REF!</v>
      </c>
      <c r="AA470" s="24" t="s">
        <v>422</v>
      </c>
      <c r="AB470" s="28">
        <v>0</v>
      </c>
    </row>
    <row r="471" spans="1:34" ht="14.25" customHeight="1" x14ac:dyDescent="0.4">
      <c r="A471">
        <v>322</v>
      </c>
      <c r="B471" s="32">
        <v>0</v>
      </c>
      <c r="C471" s="32">
        <v>0</v>
      </c>
      <c r="D471" s="32">
        <v>0</v>
      </c>
      <c r="E471" s="32">
        <v>0</v>
      </c>
      <c r="F471" s="24">
        <v>0</v>
      </c>
      <c r="G471" s="24">
        <v>0</v>
      </c>
      <c r="H471" s="37">
        <v>180</v>
      </c>
      <c r="I471" s="23">
        <v>41183</v>
      </c>
      <c r="J471" s="37">
        <v>28</v>
      </c>
      <c r="K471" s="24" t="s">
        <v>549</v>
      </c>
      <c r="L471" s="24">
        <v>41183</v>
      </c>
      <c r="M471" s="32">
        <v>41066</v>
      </c>
      <c r="N471" s="22" t="s">
        <v>567</v>
      </c>
      <c r="O471">
        <v>9130493</v>
      </c>
      <c r="P471" s="22">
        <v>720</v>
      </c>
      <c r="Q471" s="22">
        <v>42</v>
      </c>
      <c r="R471" s="22" t="s">
        <v>2452</v>
      </c>
      <c r="S471" s="47"/>
      <c r="T471" s="4"/>
      <c r="U471" s="88"/>
      <c r="V471" s="4"/>
      <c r="W471" s="89"/>
      <c r="Y471" s="28" t="e">
        <v>#REF!</v>
      </c>
      <c r="AA471" s="24">
        <v>0</v>
      </c>
      <c r="AB471" s="28">
        <v>0</v>
      </c>
    </row>
    <row r="472" spans="1:34" ht="14.25" customHeight="1" x14ac:dyDescent="0.4">
      <c r="A472">
        <v>323</v>
      </c>
      <c r="B472" s="32">
        <v>0</v>
      </c>
      <c r="C472" s="32">
        <v>0</v>
      </c>
      <c r="D472" s="32">
        <v>0</v>
      </c>
      <c r="E472" s="32">
        <v>0</v>
      </c>
      <c r="F472" s="24">
        <v>0</v>
      </c>
      <c r="G472" s="24">
        <v>0</v>
      </c>
      <c r="H472" s="37">
        <v>181</v>
      </c>
      <c r="I472" s="23">
        <v>41183</v>
      </c>
      <c r="J472" s="37">
        <v>29</v>
      </c>
      <c r="K472" s="24" t="s">
        <v>549</v>
      </c>
      <c r="L472" s="24">
        <v>41183</v>
      </c>
      <c r="M472" s="32">
        <v>41066</v>
      </c>
      <c r="N472" s="22" t="s">
        <v>567</v>
      </c>
      <c r="O472">
        <v>9130494</v>
      </c>
      <c r="P472" s="22">
        <v>720</v>
      </c>
      <c r="Q472" s="22">
        <v>42</v>
      </c>
      <c r="R472" s="22" t="s">
        <v>2453</v>
      </c>
      <c r="S472" s="47"/>
      <c r="T472" s="4"/>
      <c r="U472" s="88"/>
      <c r="V472" s="4"/>
      <c r="W472" s="89"/>
      <c r="Y472" s="28" t="e">
        <v>#REF!</v>
      </c>
      <c r="AA472" s="24">
        <v>0</v>
      </c>
      <c r="AB472" s="28">
        <v>0</v>
      </c>
    </row>
    <row r="473" spans="1:34" ht="14.25" customHeight="1" x14ac:dyDescent="0.4">
      <c r="A473">
        <v>324</v>
      </c>
      <c r="B473" s="32">
        <v>41178</v>
      </c>
      <c r="C473" s="32">
        <v>41178</v>
      </c>
      <c r="D473" s="32">
        <v>41178</v>
      </c>
      <c r="E473" s="32">
        <v>41178</v>
      </c>
      <c r="F473" s="24" t="s">
        <v>392</v>
      </c>
      <c r="G473" s="24">
        <v>41180</v>
      </c>
      <c r="H473" s="37">
        <v>146</v>
      </c>
      <c r="I473" s="23">
        <v>41153</v>
      </c>
      <c r="J473" s="37">
        <v>51</v>
      </c>
      <c r="K473" s="24" t="s">
        <v>549</v>
      </c>
      <c r="L473" s="24">
        <v>41183</v>
      </c>
      <c r="M473" s="32">
        <v>41066</v>
      </c>
      <c r="N473" s="22" t="s">
        <v>567</v>
      </c>
      <c r="O473">
        <v>9130496</v>
      </c>
      <c r="P473" s="22">
        <v>1025</v>
      </c>
      <c r="Q473" s="22">
        <v>42</v>
      </c>
      <c r="R473" s="22" t="s">
        <v>2454</v>
      </c>
      <c r="S473" s="47"/>
      <c r="T473" s="4"/>
      <c r="U473" s="88"/>
      <c r="V473" s="4"/>
      <c r="W473" s="89"/>
      <c r="Y473" s="28" t="e">
        <v>#REF!</v>
      </c>
      <c r="AA473" s="24" t="s">
        <v>392</v>
      </c>
      <c r="AB473" s="28">
        <v>41180</v>
      </c>
    </row>
    <row r="474" spans="1:34" ht="14.25" customHeight="1" x14ac:dyDescent="0.4">
      <c r="A474">
        <v>325</v>
      </c>
      <c r="B474" s="32">
        <v>41178</v>
      </c>
      <c r="C474" s="32">
        <v>41178</v>
      </c>
      <c r="D474" s="32">
        <v>41178</v>
      </c>
      <c r="E474" s="32">
        <v>41178</v>
      </c>
      <c r="F474" s="24" t="s">
        <v>392</v>
      </c>
      <c r="G474" s="24">
        <v>41180</v>
      </c>
      <c r="H474" s="37">
        <v>147</v>
      </c>
      <c r="I474" s="23">
        <v>41153</v>
      </c>
      <c r="J474" s="37">
        <v>52</v>
      </c>
      <c r="K474" s="24" t="s">
        <v>549</v>
      </c>
      <c r="L474" s="24">
        <v>41183</v>
      </c>
      <c r="M474" s="32">
        <v>41066</v>
      </c>
      <c r="N474" s="22" t="s">
        <v>567</v>
      </c>
      <c r="O474">
        <v>9130497</v>
      </c>
      <c r="P474" s="22">
        <v>1025</v>
      </c>
      <c r="Q474" s="22">
        <v>42</v>
      </c>
      <c r="R474" s="22" t="s">
        <v>2455</v>
      </c>
      <c r="S474" s="47"/>
      <c r="T474" s="4"/>
      <c r="U474" s="88"/>
      <c r="V474" s="4"/>
      <c r="W474" s="89"/>
      <c r="Y474" s="28" t="e">
        <v>#REF!</v>
      </c>
      <c r="AA474" s="24" t="s">
        <v>392</v>
      </c>
      <c r="AB474" s="28">
        <v>41180</v>
      </c>
    </row>
    <row r="475" spans="1:34" ht="14.25" customHeight="1" x14ac:dyDescent="0.4">
      <c r="A475">
        <v>330</v>
      </c>
      <c r="B475" s="32">
        <v>0</v>
      </c>
      <c r="C475" s="32">
        <v>0</v>
      </c>
      <c r="D475" s="32">
        <v>0</v>
      </c>
      <c r="E475" s="32">
        <v>0</v>
      </c>
      <c r="F475" s="24">
        <v>0</v>
      </c>
      <c r="G475" s="24">
        <v>0</v>
      </c>
      <c r="H475" s="37">
        <v>251</v>
      </c>
      <c r="I475" s="23">
        <v>41214</v>
      </c>
      <c r="J475" s="37">
        <v>30</v>
      </c>
      <c r="K475" s="24" t="s">
        <v>549</v>
      </c>
      <c r="L475" s="24">
        <v>41214</v>
      </c>
      <c r="M475" s="32">
        <v>41066</v>
      </c>
      <c r="N475" s="22" t="s">
        <v>567</v>
      </c>
      <c r="O475">
        <v>9130498</v>
      </c>
      <c r="P475" s="22">
        <v>720</v>
      </c>
      <c r="Q475" s="22">
        <v>42</v>
      </c>
      <c r="R475" s="22" t="s">
        <v>2456</v>
      </c>
      <c r="S475" s="47"/>
      <c r="T475" s="4"/>
      <c r="U475" s="88"/>
      <c r="V475" s="4"/>
      <c r="W475" s="89"/>
      <c r="X475" s="74"/>
      <c r="Y475" s="28" t="e">
        <v>#REF!</v>
      </c>
      <c r="Z475" s="9"/>
      <c r="AA475" s="24">
        <v>0</v>
      </c>
      <c r="AB475" s="28">
        <v>0</v>
      </c>
    </row>
    <row r="476" spans="1:34" ht="14.25" customHeight="1" x14ac:dyDescent="0.4">
      <c r="A476">
        <v>326</v>
      </c>
      <c r="B476" s="32">
        <v>0</v>
      </c>
      <c r="C476" s="32">
        <v>0</v>
      </c>
      <c r="D476" s="32">
        <v>0</v>
      </c>
      <c r="E476" s="32">
        <v>0</v>
      </c>
      <c r="F476" s="24">
        <v>0</v>
      </c>
      <c r="G476" s="24">
        <v>0</v>
      </c>
      <c r="H476" s="37">
        <v>252</v>
      </c>
      <c r="I476" s="23">
        <v>41214</v>
      </c>
      <c r="J476" s="37">
        <v>31</v>
      </c>
      <c r="K476" s="24" t="s">
        <v>549</v>
      </c>
      <c r="L476" s="24">
        <v>41214</v>
      </c>
      <c r="M476" s="32">
        <v>41066</v>
      </c>
      <c r="N476" s="22" t="s">
        <v>567</v>
      </c>
      <c r="O476">
        <v>9130499</v>
      </c>
      <c r="P476" s="22">
        <v>720</v>
      </c>
      <c r="Q476" s="22">
        <v>42</v>
      </c>
      <c r="R476" s="22" t="s">
        <v>2457</v>
      </c>
      <c r="S476" s="47"/>
      <c r="T476" s="4"/>
      <c r="U476" s="88"/>
      <c r="V476" s="4"/>
      <c r="W476" s="89"/>
      <c r="X476" s="74">
        <v>0</v>
      </c>
      <c r="Y476" s="28" t="e">
        <v>#REF!</v>
      </c>
      <c r="Z476" s="9"/>
      <c r="AA476" s="24">
        <v>0</v>
      </c>
      <c r="AB476" s="28">
        <v>0</v>
      </c>
    </row>
    <row r="477" spans="1:34" ht="14.25" customHeight="1" x14ac:dyDescent="0.4">
      <c r="A477">
        <v>332</v>
      </c>
      <c r="B477" s="34">
        <v>0</v>
      </c>
      <c r="C477" s="34" t="s">
        <v>2165</v>
      </c>
      <c r="D477" s="34">
        <v>0</v>
      </c>
      <c r="E477" s="32">
        <v>0</v>
      </c>
      <c r="F477" s="24">
        <v>0</v>
      </c>
      <c r="G477" s="24">
        <v>0</v>
      </c>
      <c r="H477" s="37">
        <v>253</v>
      </c>
      <c r="I477" s="23">
        <v>41214</v>
      </c>
      <c r="J477" s="37">
        <v>32</v>
      </c>
      <c r="K477" s="24" t="s">
        <v>549</v>
      </c>
      <c r="L477" s="24">
        <v>41214</v>
      </c>
      <c r="M477" s="32">
        <v>41066</v>
      </c>
      <c r="N477" s="22" t="s">
        <v>567</v>
      </c>
      <c r="O477">
        <v>9130500</v>
      </c>
      <c r="P477" s="22">
        <v>720</v>
      </c>
      <c r="Q477" s="22">
        <v>42</v>
      </c>
      <c r="R477" s="22" t="s">
        <v>2458</v>
      </c>
      <c r="S477" s="47"/>
      <c r="T477" s="4"/>
      <c r="U477" s="88"/>
      <c r="V477" s="4"/>
      <c r="W477" s="89"/>
      <c r="X477" s="74"/>
      <c r="Y477" s="28" t="e">
        <v>#REF!</v>
      </c>
      <c r="Z477" s="9"/>
      <c r="AA477" s="24">
        <v>0</v>
      </c>
      <c r="AB477" s="28">
        <v>0</v>
      </c>
    </row>
    <row r="478" spans="1:34" ht="14.25" customHeight="1" x14ac:dyDescent="0.4">
      <c r="A478">
        <v>598</v>
      </c>
      <c r="B478" s="34">
        <v>0</v>
      </c>
      <c r="C478" s="34" t="s">
        <v>2165</v>
      </c>
      <c r="D478" s="34">
        <v>0</v>
      </c>
      <c r="E478" s="32">
        <v>0</v>
      </c>
      <c r="F478" s="24">
        <v>0</v>
      </c>
      <c r="G478" s="24">
        <v>0</v>
      </c>
      <c r="H478" s="37">
        <v>229</v>
      </c>
      <c r="I478" s="23">
        <v>41214</v>
      </c>
      <c r="J478" s="37">
        <v>8</v>
      </c>
      <c r="K478" s="24" t="s">
        <v>549</v>
      </c>
      <c r="L478" s="24">
        <v>41214</v>
      </c>
      <c r="M478" s="32">
        <v>41066</v>
      </c>
      <c r="N478" s="22" t="s">
        <v>567</v>
      </c>
      <c r="O478">
        <v>9130502</v>
      </c>
      <c r="P478" s="22">
        <v>720</v>
      </c>
      <c r="Q478" s="22">
        <v>42</v>
      </c>
      <c r="R478" s="22" t="s">
        <v>2459</v>
      </c>
      <c r="S478" s="47"/>
      <c r="T478" s="4"/>
      <c r="U478" s="88"/>
      <c r="V478" s="4"/>
      <c r="W478" s="89"/>
      <c r="AA478" s="24">
        <v>0</v>
      </c>
      <c r="AB478" s="28">
        <v>0</v>
      </c>
    </row>
    <row r="479" spans="1:34" ht="14.25" customHeight="1" x14ac:dyDescent="0.4">
      <c r="A479">
        <v>311</v>
      </c>
      <c r="B479" s="34">
        <v>0</v>
      </c>
      <c r="C479" s="34" t="s">
        <v>2165</v>
      </c>
      <c r="D479" s="34">
        <v>0</v>
      </c>
      <c r="E479" s="32">
        <v>0</v>
      </c>
      <c r="F479" s="24">
        <v>0</v>
      </c>
      <c r="G479" s="24">
        <v>0</v>
      </c>
      <c r="H479" s="37">
        <v>254</v>
      </c>
      <c r="I479" s="23">
        <v>41214</v>
      </c>
      <c r="J479" s="37">
        <v>33</v>
      </c>
      <c r="K479" s="24" t="s">
        <v>549</v>
      </c>
      <c r="L479" s="24">
        <v>41214</v>
      </c>
      <c r="M479" s="32">
        <v>41066</v>
      </c>
      <c r="N479" s="22" t="s">
        <v>567</v>
      </c>
      <c r="O479">
        <v>9130504</v>
      </c>
      <c r="P479" s="22">
        <v>1025</v>
      </c>
      <c r="Q479" s="22">
        <v>42</v>
      </c>
      <c r="R479" s="22" t="s">
        <v>2460</v>
      </c>
      <c r="S479" s="47"/>
      <c r="T479" s="4"/>
      <c r="U479" s="88"/>
      <c r="V479" s="4"/>
      <c r="W479" s="89"/>
      <c r="X479" s="74"/>
      <c r="Y479" s="28" t="e">
        <v>#REF!</v>
      </c>
      <c r="Z479" s="9"/>
      <c r="AA479" s="24">
        <v>0</v>
      </c>
      <c r="AB479" s="28">
        <v>0</v>
      </c>
    </row>
    <row r="480" spans="1:34" ht="14.25" customHeight="1" x14ac:dyDescent="0.4">
      <c r="A480">
        <v>313</v>
      </c>
      <c r="B480" s="32">
        <v>0</v>
      </c>
      <c r="C480" s="32">
        <v>0</v>
      </c>
      <c r="D480" s="32">
        <v>0</v>
      </c>
      <c r="E480" s="32">
        <v>0</v>
      </c>
      <c r="F480" s="24">
        <v>0</v>
      </c>
      <c r="G480" s="24">
        <v>0</v>
      </c>
      <c r="H480" s="37">
        <v>271</v>
      </c>
      <c r="I480" s="23">
        <v>41214</v>
      </c>
      <c r="J480" s="37">
        <v>50</v>
      </c>
      <c r="K480" s="24" t="s">
        <v>549</v>
      </c>
      <c r="L480" s="24">
        <v>41214</v>
      </c>
      <c r="M480" s="32">
        <v>41066</v>
      </c>
      <c r="N480" s="22" t="s">
        <v>567</v>
      </c>
      <c r="O480">
        <v>9130507</v>
      </c>
      <c r="P480" s="22">
        <v>1025</v>
      </c>
      <c r="Q480" s="22">
        <v>42</v>
      </c>
      <c r="R480" s="22" t="s">
        <v>2461</v>
      </c>
      <c r="S480" s="47"/>
      <c r="T480" s="4"/>
      <c r="U480" s="88"/>
      <c r="V480" s="4"/>
      <c r="W480" s="89"/>
      <c r="Y480" s="28" t="e">
        <v>#REF!</v>
      </c>
      <c r="AA480" s="24">
        <v>0</v>
      </c>
      <c r="AB480" s="28">
        <v>0</v>
      </c>
    </row>
    <row r="481" spans="1:28" ht="14.25" customHeight="1" x14ac:dyDescent="0.4">
      <c r="A481">
        <v>327</v>
      </c>
      <c r="B481" s="34">
        <v>0</v>
      </c>
      <c r="C481" s="34">
        <v>0</v>
      </c>
      <c r="D481" s="34">
        <v>0</v>
      </c>
      <c r="E481" s="32">
        <v>0</v>
      </c>
      <c r="F481" s="24">
        <v>0</v>
      </c>
      <c r="G481" s="24">
        <v>0</v>
      </c>
      <c r="H481" s="37">
        <v>272</v>
      </c>
      <c r="I481" s="23">
        <v>41214</v>
      </c>
      <c r="J481" s="37">
        <v>51</v>
      </c>
      <c r="K481" s="24" t="s">
        <v>549</v>
      </c>
      <c r="L481" s="24">
        <v>41214</v>
      </c>
      <c r="M481" s="32">
        <v>41066</v>
      </c>
      <c r="N481" s="22" t="s">
        <v>567</v>
      </c>
      <c r="O481">
        <v>9130509</v>
      </c>
      <c r="P481" s="22">
        <v>1025</v>
      </c>
      <c r="Q481" s="22">
        <v>42</v>
      </c>
      <c r="R481" s="22" t="s">
        <v>2462</v>
      </c>
      <c r="S481" s="47"/>
      <c r="T481" s="4"/>
      <c r="U481" s="88"/>
      <c r="V481" s="4"/>
      <c r="W481" s="89"/>
      <c r="X481" s="74"/>
      <c r="Y481" s="28" t="e">
        <v>#REF!</v>
      </c>
      <c r="Z481" s="9"/>
      <c r="AA481" s="24">
        <v>0</v>
      </c>
      <c r="AB481" s="28">
        <v>0</v>
      </c>
    </row>
    <row r="482" spans="1:28" ht="14.25" customHeight="1" x14ac:dyDescent="0.4">
      <c r="A482">
        <v>328</v>
      </c>
      <c r="B482" s="34">
        <v>0</v>
      </c>
      <c r="C482" s="34" t="s">
        <v>2102</v>
      </c>
      <c r="D482" s="34">
        <v>0</v>
      </c>
      <c r="E482" s="32">
        <v>0</v>
      </c>
      <c r="F482" s="24">
        <v>0</v>
      </c>
      <c r="G482" s="24">
        <v>0</v>
      </c>
      <c r="H482" s="37">
        <v>255</v>
      </c>
      <c r="I482" s="23">
        <v>41214</v>
      </c>
      <c r="J482" s="37">
        <v>34</v>
      </c>
      <c r="K482" s="24" t="s">
        <v>549</v>
      </c>
      <c r="L482" s="24">
        <v>41214</v>
      </c>
      <c r="M482" s="32">
        <v>41066</v>
      </c>
      <c r="N482" s="22" t="s">
        <v>567</v>
      </c>
      <c r="O482">
        <v>9130510</v>
      </c>
      <c r="P482" s="22">
        <v>1025</v>
      </c>
      <c r="Q482" s="22">
        <v>42</v>
      </c>
      <c r="R482" s="22" t="s">
        <v>2463</v>
      </c>
      <c r="S482" s="47"/>
      <c r="T482" s="4"/>
      <c r="U482" s="88"/>
      <c r="V482" s="4"/>
      <c r="W482" s="89"/>
      <c r="X482" s="74"/>
      <c r="Y482" s="28" t="e">
        <v>#REF!</v>
      </c>
      <c r="Z482" s="28"/>
      <c r="AA482" s="24">
        <v>0</v>
      </c>
      <c r="AB482" s="28">
        <v>0</v>
      </c>
    </row>
    <row r="483" spans="1:28" ht="14.25" customHeight="1" x14ac:dyDescent="0.4">
      <c r="A483">
        <v>329</v>
      </c>
      <c r="B483" s="34">
        <v>0</v>
      </c>
      <c r="C483" s="34" t="s">
        <v>2165</v>
      </c>
      <c r="D483" s="34">
        <v>0</v>
      </c>
      <c r="E483" s="32">
        <v>0</v>
      </c>
      <c r="F483" s="24">
        <v>0</v>
      </c>
      <c r="G483" s="24">
        <v>0</v>
      </c>
      <c r="H483" s="37">
        <v>306</v>
      </c>
      <c r="I483" s="23">
        <v>41244</v>
      </c>
      <c r="J483" s="37">
        <v>28</v>
      </c>
      <c r="K483" s="24" t="s">
        <v>549</v>
      </c>
      <c r="L483" s="24">
        <v>41244</v>
      </c>
      <c r="M483" s="32">
        <v>41066</v>
      </c>
      <c r="N483" s="22" t="s">
        <v>567</v>
      </c>
      <c r="O483">
        <v>9130511</v>
      </c>
      <c r="P483" s="22">
        <v>720</v>
      </c>
      <c r="Q483" s="22">
        <v>42</v>
      </c>
      <c r="R483" s="22" t="s">
        <v>2464</v>
      </c>
      <c r="S483" s="47"/>
      <c r="T483" s="4"/>
      <c r="U483" s="88"/>
      <c r="V483" s="4"/>
      <c r="W483" s="89"/>
      <c r="X483" s="74"/>
      <c r="Y483" s="28" t="e">
        <v>#REF!</v>
      </c>
      <c r="Z483" s="28"/>
      <c r="AA483" s="24">
        <v>0</v>
      </c>
      <c r="AB483" s="28">
        <v>0</v>
      </c>
    </row>
    <row r="484" spans="1:28" ht="14.25" customHeight="1" x14ac:dyDescent="0.4">
      <c r="A484">
        <v>331</v>
      </c>
      <c r="B484" s="34">
        <v>0</v>
      </c>
      <c r="C484" s="34">
        <v>0</v>
      </c>
      <c r="D484" s="34">
        <v>0</v>
      </c>
      <c r="E484" s="32">
        <v>0</v>
      </c>
      <c r="F484" s="24">
        <v>0</v>
      </c>
      <c r="G484" s="24">
        <v>0</v>
      </c>
      <c r="H484" s="37">
        <v>307</v>
      </c>
      <c r="I484" s="23">
        <v>41244</v>
      </c>
      <c r="J484" s="37">
        <v>29</v>
      </c>
      <c r="K484" s="24" t="s">
        <v>549</v>
      </c>
      <c r="L484" s="24">
        <v>41244</v>
      </c>
      <c r="M484" s="32">
        <v>41066</v>
      </c>
      <c r="N484" s="22" t="s">
        <v>567</v>
      </c>
      <c r="O484">
        <v>9130512</v>
      </c>
      <c r="P484" s="22">
        <v>720</v>
      </c>
      <c r="Q484" s="22">
        <v>50</v>
      </c>
      <c r="R484" s="22" t="s">
        <v>2465</v>
      </c>
      <c r="S484" s="47"/>
      <c r="T484" s="4"/>
      <c r="U484" s="88"/>
      <c r="V484" s="4"/>
      <c r="W484" s="89"/>
      <c r="X484" s="84"/>
      <c r="Y484" s="28" t="e">
        <v>#REF!</v>
      </c>
      <c r="Z484" s="28"/>
      <c r="AA484" s="24">
        <v>0</v>
      </c>
      <c r="AB484" s="28">
        <v>0</v>
      </c>
    </row>
    <row r="485" spans="1:28" ht="14.25" customHeight="1" x14ac:dyDescent="0.4">
      <c r="A485">
        <v>333</v>
      </c>
      <c r="B485" s="34">
        <v>0</v>
      </c>
      <c r="C485" s="34" t="s">
        <v>2165</v>
      </c>
      <c r="D485" s="34">
        <v>0</v>
      </c>
      <c r="E485" s="32">
        <v>0</v>
      </c>
      <c r="F485" s="24">
        <v>0</v>
      </c>
      <c r="G485" s="24">
        <v>0</v>
      </c>
      <c r="H485" s="37">
        <v>308</v>
      </c>
      <c r="I485" s="23">
        <v>41244</v>
      </c>
      <c r="J485" s="37">
        <v>30</v>
      </c>
      <c r="K485" s="24" t="s">
        <v>549</v>
      </c>
      <c r="L485" s="24">
        <v>41244</v>
      </c>
      <c r="M485" s="32">
        <v>41066</v>
      </c>
      <c r="N485" s="22" t="s">
        <v>567</v>
      </c>
      <c r="O485">
        <v>9130516</v>
      </c>
      <c r="P485" s="22">
        <v>1025</v>
      </c>
      <c r="Q485" s="22">
        <v>42</v>
      </c>
      <c r="R485" s="22" t="s">
        <v>2466</v>
      </c>
      <c r="S485" s="4"/>
      <c r="T485" s="4"/>
      <c r="U485" s="44"/>
      <c r="V485" s="4"/>
      <c r="W485" s="127"/>
      <c r="Y485" s="28" t="e">
        <v>#REF!</v>
      </c>
      <c r="Z485" s="9"/>
      <c r="AA485" s="24">
        <v>0</v>
      </c>
      <c r="AB485" s="28">
        <v>0</v>
      </c>
    </row>
    <row r="486" spans="1:28" ht="14.25" customHeight="1" x14ac:dyDescent="0.4">
      <c r="A486">
        <v>334</v>
      </c>
      <c r="B486" s="34">
        <v>0</v>
      </c>
      <c r="C486" s="34" t="s">
        <v>2165</v>
      </c>
      <c r="D486" s="34">
        <v>0</v>
      </c>
      <c r="E486" s="32">
        <v>0</v>
      </c>
      <c r="F486" s="24">
        <v>0</v>
      </c>
      <c r="G486" s="24">
        <v>0</v>
      </c>
      <c r="H486" s="37">
        <v>309</v>
      </c>
      <c r="I486" s="23">
        <v>41244</v>
      </c>
      <c r="J486" s="37">
        <v>31</v>
      </c>
      <c r="K486" s="24" t="s">
        <v>549</v>
      </c>
      <c r="L486" s="24">
        <v>41244</v>
      </c>
      <c r="M486" s="32">
        <v>41066</v>
      </c>
      <c r="N486" s="22" t="s">
        <v>567</v>
      </c>
      <c r="O486">
        <v>9130518</v>
      </c>
      <c r="P486" s="22">
        <v>1025</v>
      </c>
      <c r="Q486" s="22">
        <v>42</v>
      </c>
      <c r="R486" s="22" t="s">
        <v>2467</v>
      </c>
      <c r="S486" s="1"/>
      <c r="T486" s="4"/>
      <c r="U486" s="94"/>
      <c r="V486" s="4"/>
      <c r="W486" s="92"/>
      <c r="X486" s="74"/>
      <c r="Y486" s="28" t="e">
        <v>#REF!</v>
      </c>
      <c r="Z486" s="28"/>
      <c r="AA486" s="24">
        <v>0</v>
      </c>
      <c r="AB486" s="28">
        <v>0</v>
      </c>
    </row>
    <row r="487" spans="1:28" ht="14.25" customHeight="1" x14ac:dyDescent="0.4">
      <c r="A487">
        <v>335</v>
      </c>
      <c r="B487" s="34">
        <v>0</v>
      </c>
      <c r="C487" s="34" t="s">
        <v>2102</v>
      </c>
      <c r="D487" s="34">
        <v>0</v>
      </c>
      <c r="E487" s="32">
        <v>0</v>
      </c>
      <c r="F487" s="24">
        <v>0</v>
      </c>
      <c r="G487" s="24">
        <v>0</v>
      </c>
      <c r="H487" s="37">
        <v>310</v>
      </c>
      <c r="I487" s="23">
        <v>41244</v>
      </c>
      <c r="J487" s="37">
        <v>32</v>
      </c>
      <c r="K487" s="24" t="s">
        <v>549</v>
      </c>
      <c r="L487" s="24">
        <v>41244</v>
      </c>
      <c r="M487" s="32">
        <v>41066</v>
      </c>
      <c r="N487" s="22" t="s">
        <v>567</v>
      </c>
      <c r="O487">
        <v>9130521</v>
      </c>
      <c r="P487" s="22">
        <v>1025</v>
      </c>
      <c r="Q487" s="22">
        <v>42</v>
      </c>
      <c r="R487" s="22" t="s">
        <v>2468</v>
      </c>
      <c r="S487" s="1"/>
      <c r="T487" s="4"/>
      <c r="U487" s="94"/>
      <c r="V487" s="4"/>
      <c r="W487" s="28"/>
      <c r="X487" s="74"/>
      <c r="Y487" s="28" t="e">
        <v>#REF!</v>
      </c>
      <c r="Z487" s="28"/>
      <c r="AA487" s="24">
        <v>0</v>
      </c>
      <c r="AB487" s="28">
        <v>0</v>
      </c>
    </row>
    <row r="488" spans="1:28" ht="14.25" customHeight="1" x14ac:dyDescent="0.4">
      <c r="A488">
        <v>336</v>
      </c>
      <c r="B488" s="32">
        <v>0</v>
      </c>
      <c r="C488" s="32">
        <v>0</v>
      </c>
      <c r="D488" s="32">
        <v>0</v>
      </c>
      <c r="E488" s="32">
        <v>0</v>
      </c>
      <c r="F488" s="24">
        <v>0</v>
      </c>
      <c r="G488" s="24">
        <v>0</v>
      </c>
      <c r="H488" s="37">
        <v>369</v>
      </c>
      <c r="I488" s="23">
        <v>41275</v>
      </c>
      <c r="J488" s="37">
        <v>40</v>
      </c>
      <c r="K488" s="24" t="s">
        <v>549</v>
      </c>
      <c r="L488" s="24">
        <v>41275</v>
      </c>
      <c r="M488" s="32">
        <v>41066</v>
      </c>
      <c r="N488" s="22" t="s">
        <v>567</v>
      </c>
      <c r="O488">
        <v>9130522</v>
      </c>
      <c r="P488" s="22">
        <v>720</v>
      </c>
      <c r="Q488" s="22">
        <v>42</v>
      </c>
      <c r="R488" s="22" t="s">
        <v>2469</v>
      </c>
      <c r="T488" s="4"/>
      <c r="U488" s="164"/>
      <c r="V488" s="4"/>
      <c r="W488" s="28"/>
      <c r="Y488" s="28" t="e">
        <v>#REF!</v>
      </c>
      <c r="AA488" s="24">
        <v>0</v>
      </c>
      <c r="AB488" s="28">
        <v>0</v>
      </c>
    </row>
    <row r="489" spans="1:28" ht="14.25" customHeight="1" x14ac:dyDescent="0.4">
      <c r="A489">
        <v>337</v>
      </c>
      <c r="B489" s="32">
        <v>0</v>
      </c>
      <c r="C489" s="32">
        <v>0</v>
      </c>
      <c r="D489" s="32">
        <v>0</v>
      </c>
      <c r="E489" s="32">
        <v>0</v>
      </c>
      <c r="F489" s="24">
        <v>0</v>
      </c>
      <c r="G489" s="24">
        <v>0</v>
      </c>
      <c r="H489" s="37">
        <v>389</v>
      </c>
      <c r="I489" s="23">
        <v>41275</v>
      </c>
      <c r="J489" s="37">
        <v>60</v>
      </c>
      <c r="K489" s="24" t="s">
        <v>549</v>
      </c>
      <c r="L489" s="24">
        <v>41275</v>
      </c>
      <c r="M489" s="32">
        <v>41066</v>
      </c>
      <c r="N489" s="22" t="s">
        <v>567</v>
      </c>
      <c r="O489">
        <v>9130523</v>
      </c>
      <c r="P489" s="22">
        <v>720</v>
      </c>
      <c r="Q489" s="22">
        <v>42</v>
      </c>
      <c r="R489" s="22" t="s">
        <v>2470</v>
      </c>
      <c r="S489" s="1"/>
      <c r="T489" s="4"/>
      <c r="U489" s="94"/>
      <c r="V489" s="4"/>
      <c r="W489" s="28"/>
      <c r="Y489" s="28" t="e">
        <v>#REF!</v>
      </c>
      <c r="AA489" s="24">
        <v>0</v>
      </c>
      <c r="AB489" s="28">
        <v>0</v>
      </c>
    </row>
    <row r="490" spans="1:28" ht="14.25" customHeight="1" x14ac:dyDescent="0.4">
      <c r="A490">
        <v>338</v>
      </c>
      <c r="B490" s="32">
        <v>0</v>
      </c>
      <c r="C490" s="32">
        <v>0</v>
      </c>
      <c r="D490" s="32">
        <v>0</v>
      </c>
      <c r="E490" s="32">
        <v>0</v>
      </c>
      <c r="F490" s="24">
        <v>0</v>
      </c>
      <c r="G490" s="24">
        <v>0</v>
      </c>
      <c r="H490" s="37">
        <v>390</v>
      </c>
      <c r="I490" s="23">
        <v>41275</v>
      </c>
      <c r="J490" s="37">
        <v>61</v>
      </c>
      <c r="K490" s="24" t="s">
        <v>549</v>
      </c>
      <c r="L490" s="24">
        <v>41275</v>
      </c>
      <c r="M490" s="32">
        <v>41066</v>
      </c>
      <c r="N490" s="22" t="s">
        <v>567</v>
      </c>
      <c r="O490">
        <v>9130524</v>
      </c>
      <c r="P490" s="22">
        <v>1025</v>
      </c>
      <c r="Q490" s="22">
        <v>42</v>
      </c>
      <c r="R490" s="22" t="s">
        <v>2471</v>
      </c>
      <c r="T490" s="4"/>
      <c r="U490" s="94"/>
      <c r="V490" s="4"/>
      <c r="W490" s="28"/>
      <c r="Y490" s="28" t="e">
        <v>#REF!</v>
      </c>
      <c r="AA490" s="24">
        <v>0</v>
      </c>
      <c r="AB490" s="28">
        <v>0</v>
      </c>
    </row>
    <row r="491" spans="1:28" ht="14.25" customHeight="1" x14ac:dyDescent="0.4">
      <c r="A491">
        <v>339</v>
      </c>
      <c r="B491" s="32">
        <v>0</v>
      </c>
      <c r="C491" s="32">
        <v>0</v>
      </c>
      <c r="D491" s="32">
        <v>0</v>
      </c>
      <c r="E491" s="32">
        <v>0</v>
      </c>
      <c r="F491" s="24">
        <v>0</v>
      </c>
      <c r="G491" s="24">
        <v>0</v>
      </c>
      <c r="H491" s="37">
        <v>391</v>
      </c>
      <c r="I491" s="23">
        <v>41275</v>
      </c>
      <c r="J491" s="37">
        <v>62</v>
      </c>
      <c r="K491" s="24" t="s">
        <v>549</v>
      </c>
      <c r="L491" s="24">
        <v>41275</v>
      </c>
      <c r="M491" s="32">
        <v>41066</v>
      </c>
      <c r="N491" s="22" t="s">
        <v>567</v>
      </c>
      <c r="O491">
        <v>9130527</v>
      </c>
      <c r="P491" s="22">
        <v>1025</v>
      </c>
      <c r="Q491" s="22">
        <v>42</v>
      </c>
      <c r="R491" s="22" t="s">
        <v>2472</v>
      </c>
      <c r="T491" s="4"/>
      <c r="U491" s="94"/>
      <c r="V491" s="4"/>
      <c r="W491" s="28"/>
      <c r="Y491" s="28" t="e">
        <v>#REF!</v>
      </c>
      <c r="AA491" s="24">
        <v>0</v>
      </c>
      <c r="AB491" s="28">
        <v>0</v>
      </c>
    </row>
    <row r="492" spans="1:28" ht="14.25" customHeight="1" x14ac:dyDescent="0.4">
      <c r="A492">
        <v>340</v>
      </c>
      <c r="B492" s="32">
        <v>0</v>
      </c>
      <c r="C492" s="32">
        <v>0</v>
      </c>
      <c r="D492" s="32">
        <v>0</v>
      </c>
      <c r="E492" s="32">
        <v>0</v>
      </c>
      <c r="F492" s="24">
        <v>0</v>
      </c>
      <c r="G492" s="24">
        <v>0</v>
      </c>
      <c r="H492" s="37">
        <v>447</v>
      </c>
      <c r="I492" s="23">
        <v>41306</v>
      </c>
      <c r="J492" s="37">
        <v>52</v>
      </c>
      <c r="K492" s="24" t="s">
        <v>549</v>
      </c>
      <c r="L492" s="24">
        <v>41306</v>
      </c>
      <c r="M492" s="32">
        <v>41066</v>
      </c>
      <c r="N492" s="22" t="s">
        <v>567</v>
      </c>
      <c r="O492">
        <v>9130528</v>
      </c>
      <c r="P492" s="22">
        <v>720</v>
      </c>
      <c r="Q492" s="22">
        <v>42</v>
      </c>
      <c r="R492" s="22" t="s">
        <v>2473</v>
      </c>
      <c r="T492" s="4"/>
      <c r="U492" s="164"/>
      <c r="V492" s="4"/>
      <c r="Y492" s="28" t="e">
        <v>#REF!</v>
      </c>
      <c r="AA492" s="24">
        <v>0</v>
      </c>
      <c r="AB492" s="28">
        <v>0</v>
      </c>
    </row>
    <row r="493" spans="1:28" ht="14.25" customHeight="1" x14ac:dyDescent="0.4">
      <c r="A493">
        <v>341</v>
      </c>
      <c r="B493" s="32">
        <v>0</v>
      </c>
      <c r="C493" s="32">
        <v>0</v>
      </c>
      <c r="D493" s="32">
        <v>0</v>
      </c>
      <c r="E493" s="32">
        <v>0</v>
      </c>
      <c r="F493" s="24">
        <v>0</v>
      </c>
      <c r="G493" s="24">
        <v>0</v>
      </c>
      <c r="H493" s="37">
        <v>400</v>
      </c>
      <c r="I493" s="23">
        <v>41306</v>
      </c>
      <c r="J493" s="37">
        <v>5</v>
      </c>
      <c r="K493" s="24" t="s">
        <v>549</v>
      </c>
      <c r="L493" s="24">
        <v>41306</v>
      </c>
      <c r="M493" s="32">
        <v>41066</v>
      </c>
      <c r="N493" s="22" t="s">
        <v>567</v>
      </c>
      <c r="O493">
        <v>9130531</v>
      </c>
      <c r="P493" s="22">
        <v>720</v>
      </c>
      <c r="Q493" s="22">
        <v>42</v>
      </c>
      <c r="R493" s="22" t="s">
        <v>2474</v>
      </c>
      <c r="T493" s="4"/>
      <c r="U493" s="164"/>
      <c r="V493" s="4"/>
      <c r="W493" s="28"/>
      <c r="Y493" s="28" t="e">
        <v>#REF!</v>
      </c>
      <c r="AA493" s="24">
        <v>0</v>
      </c>
      <c r="AB493" s="28">
        <v>0</v>
      </c>
    </row>
    <row r="494" spans="1:28" ht="14.25" customHeight="1" x14ac:dyDescent="0.4">
      <c r="A494">
        <v>342</v>
      </c>
      <c r="B494" s="32">
        <v>0</v>
      </c>
      <c r="C494" s="32">
        <v>0</v>
      </c>
      <c r="D494" s="32">
        <v>0</v>
      </c>
      <c r="E494" s="32">
        <v>0</v>
      </c>
      <c r="F494" s="24">
        <v>0</v>
      </c>
      <c r="G494" s="24">
        <v>0</v>
      </c>
      <c r="H494" s="37">
        <v>401</v>
      </c>
      <c r="I494" s="23">
        <v>41306</v>
      </c>
      <c r="J494" s="37">
        <v>6</v>
      </c>
      <c r="K494" s="24" t="s">
        <v>549</v>
      </c>
      <c r="L494" s="24">
        <v>41306</v>
      </c>
      <c r="M494" s="32">
        <v>41066</v>
      </c>
      <c r="N494" s="22" t="s">
        <v>567</v>
      </c>
      <c r="O494">
        <v>9130532</v>
      </c>
      <c r="P494" s="22">
        <v>720</v>
      </c>
      <c r="Q494" s="22">
        <v>42</v>
      </c>
      <c r="R494" s="22" t="s">
        <v>2475</v>
      </c>
      <c r="T494" s="4"/>
      <c r="U494" s="94"/>
      <c r="V494" s="4"/>
      <c r="W494" s="28"/>
      <c r="Y494" s="28" t="e">
        <v>#REF!</v>
      </c>
      <c r="AA494" s="24">
        <v>0</v>
      </c>
      <c r="AB494" s="28">
        <v>0</v>
      </c>
    </row>
    <row r="495" spans="1:28" ht="14.25" customHeight="1" x14ac:dyDescent="0.4">
      <c r="A495">
        <v>343</v>
      </c>
      <c r="B495" s="34">
        <v>0</v>
      </c>
      <c r="C495" s="34" t="s">
        <v>2165</v>
      </c>
      <c r="D495" s="34">
        <v>0</v>
      </c>
      <c r="E495" s="32">
        <v>0</v>
      </c>
      <c r="F495" s="24">
        <v>0</v>
      </c>
      <c r="G495" s="24">
        <v>0</v>
      </c>
      <c r="H495" s="37">
        <v>426</v>
      </c>
      <c r="I495" s="23">
        <v>41306</v>
      </c>
      <c r="J495" s="37">
        <v>31</v>
      </c>
      <c r="K495" s="24" t="s">
        <v>549</v>
      </c>
      <c r="L495" s="24">
        <v>41306</v>
      </c>
      <c r="M495" s="32">
        <v>41066</v>
      </c>
      <c r="N495" s="22" t="s">
        <v>567</v>
      </c>
      <c r="O495">
        <v>9130534</v>
      </c>
      <c r="P495" s="22">
        <v>1025</v>
      </c>
      <c r="Q495" s="22">
        <v>42</v>
      </c>
      <c r="R495" s="22" t="s">
        <v>2476</v>
      </c>
      <c r="S495" s="102"/>
      <c r="T495" s="4"/>
      <c r="U495" s="94"/>
      <c r="V495" s="4"/>
      <c r="W495" s="28"/>
      <c r="Y495" s="28" t="e">
        <v>#REF!</v>
      </c>
      <c r="Z495" s="9"/>
      <c r="AA495" s="24">
        <v>0</v>
      </c>
      <c r="AB495" s="28">
        <v>0</v>
      </c>
    </row>
    <row r="496" spans="1:28" ht="14.25" customHeight="1" x14ac:dyDescent="0.4">
      <c r="A496">
        <v>344</v>
      </c>
      <c r="B496" s="34">
        <v>0</v>
      </c>
      <c r="C496" s="34" t="s">
        <v>2165</v>
      </c>
      <c r="D496" s="34">
        <v>0</v>
      </c>
      <c r="E496" s="32">
        <v>0</v>
      </c>
      <c r="F496" s="24">
        <v>0</v>
      </c>
      <c r="G496" s="24">
        <v>0</v>
      </c>
      <c r="H496" s="37">
        <v>427</v>
      </c>
      <c r="I496" s="23">
        <v>41306</v>
      </c>
      <c r="J496" s="37">
        <v>32</v>
      </c>
      <c r="K496" s="24" t="s">
        <v>549</v>
      </c>
      <c r="L496" s="24">
        <v>41306</v>
      </c>
      <c r="M496" s="32">
        <v>41066</v>
      </c>
      <c r="N496" s="22" t="s">
        <v>567</v>
      </c>
      <c r="O496">
        <v>9130536</v>
      </c>
      <c r="P496" s="22">
        <v>1025</v>
      </c>
      <c r="Q496" s="22">
        <v>42</v>
      </c>
      <c r="R496" s="22" t="s">
        <v>2477</v>
      </c>
      <c r="S496" s="102"/>
      <c r="T496" s="4"/>
      <c r="U496" s="94"/>
      <c r="V496" s="4"/>
      <c r="W496" s="28"/>
      <c r="X496" s="74"/>
      <c r="Y496" s="28" t="e">
        <v>#REF!</v>
      </c>
      <c r="Z496" s="28"/>
      <c r="AA496" s="24">
        <v>0</v>
      </c>
      <c r="AB496" s="28">
        <v>0</v>
      </c>
    </row>
    <row r="497" spans="1:28" ht="14.25" customHeight="1" x14ac:dyDescent="0.4">
      <c r="A497">
        <v>345</v>
      </c>
      <c r="B497" s="32">
        <v>0</v>
      </c>
      <c r="C497" s="32">
        <v>0</v>
      </c>
      <c r="D497" s="32">
        <v>0</v>
      </c>
      <c r="E497" s="32">
        <v>0</v>
      </c>
      <c r="F497" s="24">
        <v>0</v>
      </c>
      <c r="G497" s="24">
        <v>0</v>
      </c>
      <c r="H497" s="37">
        <v>428</v>
      </c>
      <c r="I497" s="23">
        <v>41306</v>
      </c>
      <c r="J497" s="37">
        <v>33</v>
      </c>
      <c r="K497" s="24" t="s">
        <v>549</v>
      </c>
      <c r="L497" s="24">
        <v>41306</v>
      </c>
      <c r="M497" s="32">
        <v>41066</v>
      </c>
      <c r="N497" s="22" t="s">
        <v>567</v>
      </c>
      <c r="O497">
        <v>9130538</v>
      </c>
      <c r="P497" s="22">
        <v>1025</v>
      </c>
      <c r="Q497" s="22">
        <v>50</v>
      </c>
      <c r="R497" s="22" t="s">
        <v>2478</v>
      </c>
      <c r="S497" s="4"/>
      <c r="T497" s="4"/>
      <c r="U497" s="44"/>
      <c r="V497" s="4"/>
      <c r="W497" s="28"/>
      <c r="Y497" s="28" t="e">
        <v>#REF!</v>
      </c>
      <c r="Z497" s="28"/>
      <c r="AA497" s="24">
        <v>0</v>
      </c>
      <c r="AB497" s="28">
        <v>0</v>
      </c>
    </row>
    <row r="498" spans="1:28" ht="14.25" customHeight="1" x14ac:dyDescent="0.4">
      <c r="A498">
        <v>346</v>
      </c>
      <c r="B498" s="32">
        <v>0</v>
      </c>
      <c r="C498" s="32">
        <v>0</v>
      </c>
      <c r="D498" s="32">
        <v>0</v>
      </c>
      <c r="E498" s="32">
        <v>0</v>
      </c>
      <c r="F498" s="24">
        <v>0</v>
      </c>
      <c r="G498" s="24">
        <v>0</v>
      </c>
      <c r="H498" s="37">
        <v>464</v>
      </c>
      <c r="I498" s="23">
        <v>41334</v>
      </c>
      <c r="J498" s="37">
        <v>10</v>
      </c>
      <c r="K498" s="24" t="s">
        <v>549</v>
      </c>
      <c r="L498" s="24">
        <v>41334</v>
      </c>
      <c r="M498" s="32">
        <v>41066</v>
      </c>
      <c r="N498" s="22" t="s">
        <v>567</v>
      </c>
      <c r="O498">
        <v>9130539</v>
      </c>
      <c r="P498" s="22">
        <v>720</v>
      </c>
      <c r="Q498" s="22">
        <v>42</v>
      </c>
      <c r="R498" s="22" t="s">
        <v>2479</v>
      </c>
      <c r="S498" s="4"/>
      <c r="T498" s="4"/>
      <c r="U498" s="44"/>
      <c r="V498" s="4"/>
      <c r="W498" s="28"/>
      <c r="X498" s="74"/>
      <c r="Y498" s="28" t="e">
        <v>#REF!</v>
      </c>
      <c r="Z498" s="28"/>
      <c r="AA498" s="24">
        <v>0</v>
      </c>
      <c r="AB498" s="28">
        <v>0</v>
      </c>
    </row>
    <row r="499" spans="1:28" ht="14.25" customHeight="1" x14ac:dyDescent="0.4">
      <c r="A499">
        <v>347</v>
      </c>
      <c r="B499" s="32">
        <v>0</v>
      </c>
      <c r="C499" s="32">
        <v>0</v>
      </c>
      <c r="D499" s="32">
        <v>0</v>
      </c>
      <c r="E499" s="32">
        <v>0</v>
      </c>
      <c r="F499" s="24">
        <v>0</v>
      </c>
      <c r="G499" s="24">
        <v>0</v>
      </c>
      <c r="H499" s="37">
        <v>483</v>
      </c>
      <c r="I499" s="23">
        <v>41334</v>
      </c>
      <c r="J499" s="37">
        <v>29</v>
      </c>
      <c r="K499" s="24" t="s">
        <v>549</v>
      </c>
      <c r="L499" s="24">
        <v>41334</v>
      </c>
      <c r="M499" s="32">
        <v>41066</v>
      </c>
      <c r="N499" s="22" t="s">
        <v>567</v>
      </c>
      <c r="O499">
        <v>9130540</v>
      </c>
      <c r="P499" s="22">
        <v>1025</v>
      </c>
      <c r="Q499" s="22">
        <v>42</v>
      </c>
      <c r="R499" s="22" t="s">
        <v>2480</v>
      </c>
      <c r="T499" s="4"/>
      <c r="U499" s="164"/>
      <c r="V499" s="4"/>
      <c r="Y499" s="28" t="e">
        <v>#REF!</v>
      </c>
      <c r="AA499" s="24">
        <v>0</v>
      </c>
      <c r="AB499" s="28">
        <v>0</v>
      </c>
    </row>
    <row r="500" spans="1:28" ht="14.25" customHeight="1" x14ac:dyDescent="0.4">
      <c r="A500">
        <v>348</v>
      </c>
      <c r="B500" s="32">
        <v>0</v>
      </c>
      <c r="C500" s="32">
        <v>0</v>
      </c>
      <c r="D500" s="32">
        <v>0</v>
      </c>
      <c r="E500" s="32">
        <v>0</v>
      </c>
      <c r="F500" s="24">
        <v>0</v>
      </c>
      <c r="G500" s="24">
        <v>0</v>
      </c>
      <c r="H500" s="37">
        <v>501</v>
      </c>
      <c r="I500" s="23">
        <v>41334</v>
      </c>
      <c r="J500" s="37">
        <v>47</v>
      </c>
      <c r="K500" s="24" t="s">
        <v>549</v>
      </c>
      <c r="L500" s="24">
        <v>41334</v>
      </c>
      <c r="M500" s="32">
        <v>41066</v>
      </c>
      <c r="N500" s="22" t="s">
        <v>567</v>
      </c>
      <c r="O500">
        <v>9130541</v>
      </c>
      <c r="P500" s="22">
        <v>1025</v>
      </c>
      <c r="Q500" s="22">
        <v>42</v>
      </c>
      <c r="R500" s="22" t="s">
        <v>2481</v>
      </c>
      <c r="T500" s="4"/>
      <c r="U500" s="164"/>
      <c r="V500" s="4"/>
      <c r="Y500" s="28" t="e">
        <v>#REF!</v>
      </c>
      <c r="AA500" s="24">
        <v>0</v>
      </c>
      <c r="AB500" s="28">
        <v>0</v>
      </c>
    </row>
    <row r="501" spans="1:28" ht="14.25" customHeight="1" x14ac:dyDescent="0.4">
      <c r="A501">
        <v>349</v>
      </c>
      <c r="B501" s="32">
        <v>0</v>
      </c>
      <c r="C501" s="32">
        <v>0</v>
      </c>
      <c r="D501" s="32">
        <v>0</v>
      </c>
      <c r="E501" s="32">
        <v>0</v>
      </c>
      <c r="F501" s="24">
        <v>0</v>
      </c>
      <c r="G501" s="24">
        <v>0</v>
      </c>
      <c r="H501" s="37">
        <v>502</v>
      </c>
      <c r="I501" s="23">
        <v>41334</v>
      </c>
      <c r="J501" s="37">
        <v>48</v>
      </c>
      <c r="K501" s="24" t="s">
        <v>549</v>
      </c>
      <c r="L501" s="24">
        <v>41334</v>
      </c>
      <c r="M501" s="32">
        <v>41066</v>
      </c>
      <c r="N501" s="22" t="s">
        <v>567</v>
      </c>
      <c r="O501">
        <v>9130542</v>
      </c>
      <c r="P501" s="22">
        <v>1025</v>
      </c>
      <c r="Q501" s="22">
        <v>50</v>
      </c>
      <c r="R501" s="22" t="s">
        <v>2482</v>
      </c>
      <c r="T501" s="4"/>
      <c r="U501" s="164"/>
      <c r="V501" s="4"/>
      <c r="W501" s="28"/>
      <c r="Y501" s="28" t="e">
        <v>#REF!</v>
      </c>
      <c r="AA501" s="24">
        <v>0</v>
      </c>
      <c r="AB501" s="28">
        <v>0</v>
      </c>
    </row>
    <row r="502" spans="1:28" ht="14.25" customHeight="1" x14ac:dyDescent="0.4">
      <c r="A502">
        <v>478</v>
      </c>
      <c r="B502" s="34">
        <v>0</v>
      </c>
      <c r="C502" s="34" t="s">
        <v>2165</v>
      </c>
      <c r="D502" s="34">
        <v>0</v>
      </c>
      <c r="E502" s="32">
        <v>41156</v>
      </c>
      <c r="F502" s="24" t="s">
        <v>392</v>
      </c>
      <c r="G502" s="24">
        <v>41178</v>
      </c>
      <c r="H502" s="37">
        <v>98</v>
      </c>
      <c r="I502" s="23">
        <v>41153</v>
      </c>
      <c r="J502" s="37">
        <v>3</v>
      </c>
      <c r="K502" s="24" t="s">
        <v>410</v>
      </c>
      <c r="L502" s="24">
        <v>0</v>
      </c>
      <c r="M502" s="32">
        <v>41131</v>
      </c>
      <c r="N502" s="22" t="s">
        <v>1109</v>
      </c>
      <c r="O502">
        <v>9130781</v>
      </c>
      <c r="P502" s="22">
        <v>720</v>
      </c>
      <c r="Q502" s="22">
        <v>50</v>
      </c>
      <c r="R502" s="22" t="s">
        <v>68</v>
      </c>
      <c r="S502" s="55"/>
      <c r="T502" s="4"/>
      <c r="U502" s="94"/>
      <c r="V502" s="4"/>
      <c r="W502" s="92"/>
      <c r="X502" s="175"/>
      <c r="Y502" s="28" t="e">
        <v>#REF!</v>
      </c>
      <c r="Z502" s="9"/>
      <c r="AA502" s="24" t="s">
        <v>392</v>
      </c>
      <c r="AB502" s="28">
        <v>41178</v>
      </c>
    </row>
    <row r="503" spans="1:28" ht="14.25" customHeight="1" x14ac:dyDescent="0.4">
      <c r="A503">
        <v>479</v>
      </c>
      <c r="B503" s="34">
        <v>0</v>
      </c>
      <c r="C503" s="34" t="s">
        <v>2165</v>
      </c>
      <c r="D503" s="34">
        <v>0</v>
      </c>
      <c r="E503" s="32">
        <v>41156</v>
      </c>
      <c r="F503" s="24" t="s">
        <v>392</v>
      </c>
      <c r="G503" s="24">
        <v>41171</v>
      </c>
      <c r="H503" s="37">
        <v>99</v>
      </c>
      <c r="I503" s="23">
        <v>41153</v>
      </c>
      <c r="J503" s="37">
        <v>4</v>
      </c>
      <c r="K503" s="24" t="s">
        <v>410</v>
      </c>
      <c r="L503" s="24">
        <v>0</v>
      </c>
      <c r="M503" s="32">
        <v>41131</v>
      </c>
      <c r="N503" s="22" t="s">
        <v>1109</v>
      </c>
      <c r="O503">
        <v>9130782</v>
      </c>
      <c r="P503" s="22">
        <v>720</v>
      </c>
      <c r="Q503" s="22">
        <v>50</v>
      </c>
      <c r="R503" s="22" t="s">
        <v>69</v>
      </c>
      <c r="S503" s="55"/>
      <c r="T503" s="4"/>
      <c r="U503" s="94"/>
      <c r="V503" s="4"/>
      <c r="W503" s="92"/>
      <c r="X503" s="74"/>
      <c r="Y503" s="28" t="e">
        <v>#REF!</v>
      </c>
      <c r="Z503" s="9"/>
      <c r="AA503" s="24" t="s">
        <v>392</v>
      </c>
      <c r="AB503" s="28">
        <v>41171</v>
      </c>
    </row>
    <row r="504" spans="1:28" ht="14.25" customHeight="1" x14ac:dyDescent="0.4">
      <c r="A504">
        <v>438</v>
      </c>
      <c r="B504" s="34">
        <v>0</v>
      </c>
      <c r="C504" s="34">
        <v>0</v>
      </c>
      <c r="D504" s="34">
        <v>0</v>
      </c>
      <c r="E504" s="32">
        <v>0</v>
      </c>
      <c r="F504" s="24">
        <v>0</v>
      </c>
      <c r="G504" s="24">
        <v>0</v>
      </c>
      <c r="H504" s="37">
        <v>333</v>
      </c>
      <c r="I504" s="23">
        <v>41275</v>
      </c>
      <c r="J504" s="37">
        <v>4</v>
      </c>
      <c r="K504" s="24" t="s">
        <v>410</v>
      </c>
      <c r="L504" s="24">
        <v>41275</v>
      </c>
      <c r="M504" s="32">
        <v>41085</v>
      </c>
      <c r="N504" s="22" t="s">
        <v>1397</v>
      </c>
      <c r="O504">
        <v>9130706</v>
      </c>
      <c r="P504" s="22">
        <v>1020</v>
      </c>
      <c r="Q504" s="22">
        <v>42</v>
      </c>
      <c r="R504" s="22" t="s">
        <v>2483</v>
      </c>
      <c r="S504" s="102"/>
      <c r="T504" s="4"/>
      <c r="U504" s="94"/>
      <c r="V504" s="4"/>
      <c r="W504" s="92"/>
      <c r="X504" s="74"/>
      <c r="Y504" s="28" t="e">
        <v>#REF!</v>
      </c>
      <c r="Z504" s="28"/>
      <c r="AA504" s="24">
        <v>0</v>
      </c>
      <c r="AB504" s="28">
        <v>0</v>
      </c>
    </row>
    <row r="505" spans="1:28" ht="14.25" customHeight="1" x14ac:dyDescent="0.4">
      <c r="A505">
        <v>434</v>
      </c>
      <c r="B505" s="32">
        <v>0</v>
      </c>
      <c r="C505" s="32">
        <v>0</v>
      </c>
      <c r="D505" s="32">
        <v>0</v>
      </c>
      <c r="E505" s="32">
        <v>0</v>
      </c>
      <c r="F505" s="24">
        <v>0</v>
      </c>
      <c r="G505" s="24">
        <v>0</v>
      </c>
      <c r="H505" s="37">
        <v>331</v>
      </c>
      <c r="I505" s="23">
        <v>41275</v>
      </c>
      <c r="J505" s="37">
        <v>2</v>
      </c>
      <c r="K505" s="24" t="s">
        <v>410</v>
      </c>
      <c r="L505" s="24">
        <v>41275</v>
      </c>
      <c r="M505" s="32">
        <v>41085</v>
      </c>
      <c r="N505" s="22" t="s">
        <v>1397</v>
      </c>
      <c r="O505">
        <v>9130695</v>
      </c>
      <c r="P505" s="22">
        <v>1020</v>
      </c>
      <c r="Q505" s="22">
        <v>42</v>
      </c>
      <c r="R505" s="22" t="s">
        <v>2483</v>
      </c>
      <c r="T505" s="4"/>
      <c r="U505" s="44"/>
      <c r="V505" s="4"/>
      <c r="Y505" s="28" t="e">
        <v>#REF!</v>
      </c>
      <c r="AA505" s="24">
        <v>0</v>
      </c>
      <c r="AB505" s="28">
        <v>0</v>
      </c>
    </row>
    <row r="506" spans="1:28" ht="14.25" customHeight="1" x14ac:dyDescent="0.4">
      <c r="A506">
        <v>196</v>
      </c>
      <c r="B506" s="34">
        <v>0</v>
      </c>
      <c r="C506" s="34" t="s">
        <v>2102</v>
      </c>
      <c r="D506" s="34">
        <v>0</v>
      </c>
      <c r="E506" s="32">
        <v>0</v>
      </c>
      <c r="F506" s="24">
        <v>0</v>
      </c>
      <c r="G506" s="24">
        <v>0</v>
      </c>
      <c r="H506" s="37">
        <v>332</v>
      </c>
      <c r="I506" s="23">
        <v>41275</v>
      </c>
      <c r="J506" s="37">
        <v>3</v>
      </c>
      <c r="K506" s="24" t="s">
        <v>410</v>
      </c>
      <c r="L506" s="24">
        <v>41275</v>
      </c>
      <c r="M506" s="32">
        <v>41085</v>
      </c>
      <c r="N506" s="22" t="s">
        <v>1397</v>
      </c>
      <c r="O506">
        <v>9130697</v>
      </c>
      <c r="P506" s="22">
        <v>1020</v>
      </c>
      <c r="Q506" s="22">
        <v>42</v>
      </c>
      <c r="R506" s="22" t="s">
        <v>2483</v>
      </c>
      <c r="T506" s="4"/>
      <c r="U506" s="164"/>
      <c r="V506" s="4"/>
      <c r="W506" s="93"/>
      <c r="X506" s="74"/>
      <c r="Y506" s="28" t="e">
        <v>#REF!</v>
      </c>
      <c r="Z506" s="9"/>
      <c r="AA506" s="24">
        <v>0</v>
      </c>
      <c r="AB506" s="28">
        <v>0</v>
      </c>
    </row>
    <row r="507" spans="1:28" ht="14.25" customHeight="1" x14ac:dyDescent="0.4">
      <c r="A507">
        <v>439</v>
      </c>
      <c r="B507" s="32">
        <v>0</v>
      </c>
      <c r="C507" s="32">
        <v>0</v>
      </c>
      <c r="D507" s="32">
        <v>0</v>
      </c>
      <c r="E507" s="32">
        <v>0</v>
      </c>
      <c r="F507" s="24">
        <v>0</v>
      </c>
      <c r="G507" s="24">
        <v>0</v>
      </c>
      <c r="H507" s="37">
        <v>334</v>
      </c>
      <c r="I507" s="23">
        <v>41275</v>
      </c>
      <c r="J507" s="37">
        <v>5</v>
      </c>
      <c r="K507" s="24" t="s">
        <v>410</v>
      </c>
      <c r="L507" s="24">
        <v>41275</v>
      </c>
      <c r="M507" s="32">
        <v>41085</v>
      </c>
      <c r="N507" s="22" t="s">
        <v>1397</v>
      </c>
      <c r="O507">
        <v>9130707</v>
      </c>
      <c r="P507" s="22">
        <v>1020</v>
      </c>
      <c r="Q507" s="22">
        <v>50</v>
      </c>
      <c r="R507" s="22" t="s">
        <v>2483</v>
      </c>
      <c r="T507" s="4"/>
      <c r="U507" s="164"/>
      <c r="V507" s="4"/>
      <c r="W507" s="28"/>
      <c r="Y507" s="28" t="e">
        <v>#REF!</v>
      </c>
      <c r="AA507" s="24">
        <v>0</v>
      </c>
      <c r="AB507" s="28">
        <v>0</v>
      </c>
    </row>
    <row r="508" spans="1:28" ht="14.25" customHeight="1" x14ac:dyDescent="0.4">
      <c r="A508">
        <v>483</v>
      </c>
      <c r="B508" s="32">
        <v>41151</v>
      </c>
      <c r="C508" s="32">
        <v>41151</v>
      </c>
      <c r="D508" s="32">
        <v>41151</v>
      </c>
      <c r="E508" s="32">
        <v>41151</v>
      </c>
      <c r="F508" s="24" t="s">
        <v>392</v>
      </c>
      <c r="G508" s="24">
        <v>41177</v>
      </c>
      <c r="H508" s="37">
        <v>93</v>
      </c>
      <c r="I508" s="23">
        <v>41122</v>
      </c>
      <c r="J508" s="37">
        <v>61</v>
      </c>
      <c r="K508" s="24" t="s">
        <v>410</v>
      </c>
      <c r="L508" s="24">
        <v>41153</v>
      </c>
      <c r="M508" s="32">
        <v>41128</v>
      </c>
      <c r="N508" s="22" t="s">
        <v>1397</v>
      </c>
      <c r="O508">
        <v>9130786</v>
      </c>
      <c r="P508" s="22">
        <v>1020</v>
      </c>
      <c r="Q508" s="22">
        <v>42</v>
      </c>
      <c r="R508" s="22" t="s">
        <v>2484</v>
      </c>
      <c r="S508" s="55"/>
      <c r="T508" s="4"/>
      <c r="U508" s="94"/>
      <c r="V508" s="4"/>
      <c r="W508" s="92"/>
      <c r="X508" s="74"/>
      <c r="Y508" s="28" t="e">
        <v>#REF!</v>
      </c>
      <c r="Z508" s="9"/>
      <c r="AA508" s="24" t="s">
        <v>392</v>
      </c>
      <c r="AB508" s="28">
        <v>41177</v>
      </c>
    </row>
    <row r="509" spans="1:28" ht="14.25" customHeight="1" x14ac:dyDescent="0.4">
      <c r="A509">
        <v>500</v>
      </c>
      <c r="B509" s="34">
        <v>0</v>
      </c>
      <c r="C509" s="34" t="s">
        <v>2165</v>
      </c>
      <c r="D509" s="34">
        <v>0</v>
      </c>
      <c r="E509" s="32">
        <v>0</v>
      </c>
      <c r="F509" s="24">
        <v>0</v>
      </c>
      <c r="G509" s="24">
        <v>0</v>
      </c>
      <c r="H509" s="37">
        <v>460</v>
      </c>
      <c r="I509" s="23">
        <v>41334</v>
      </c>
      <c r="J509" s="37">
        <v>6</v>
      </c>
      <c r="K509" s="24" t="s">
        <v>410</v>
      </c>
      <c r="L509" s="24">
        <v>41334</v>
      </c>
      <c r="M509" s="32">
        <v>41141</v>
      </c>
      <c r="N509" s="22" t="s">
        <v>555</v>
      </c>
      <c r="O509">
        <v>9130826</v>
      </c>
      <c r="P509" s="22">
        <v>1025</v>
      </c>
      <c r="Q509" s="22">
        <v>50</v>
      </c>
      <c r="R509" s="22" t="s">
        <v>2485</v>
      </c>
      <c r="T509" s="4"/>
      <c r="U509" s="164"/>
      <c r="V509" s="4"/>
      <c r="W509" s="43"/>
      <c r="Y509" s="28" t="e">
        <v>#REF!</v>
      </c>
      <c r="AA509" s="24">
        <v>0</v>
      </c>
      <c r="AB509" s="28">
        <v>0</v>
      </c>
    </row>
    <row r="510" spans="1:28" ht="14.25" customHeight="1" x14ac:dyDescent="0.4">
      <c r="A510">
        <v>516</v>
      </c>
      <c r="B510" s="32">
        <v>41176</v>
      </c>
      <c r="C510" s="32">
        <v>41176</v>
      </c>
      <c r="D510" s="32">
        <v>41176</v>
      </c>
      <c r="E510" s="32">
        <v>41176</v>
      </c>
      <c r="F510" s="24" t="s">
        <v>392</v>
      </c>
      <c r="G510" s="24">
        <v>41179</v>
      </c>
      <c r="H510" s="37">
        <v>141</v>
      </c>
      <c r="I510" s="23">
        <v>41153</v>
      </c>
      <c r="J510" s="37">
        <v>46</v>
      </c>
      <c r="K510" s="24" t="s">
        <v>410</v>
      </c>
      <c r="L510" s="24">
        <v>41153</v>
      </c>
      <c r="M510" s="32">
        <v>41162</v>
      </c>
      <c r="N510" s="22" t="s">
        <v>610</v>
      </c>
      <c r="O510">
        <v>9130857</v>
      </c>
      <c r="P510" s="22">
        <v>720</v>
      </c>
      <c r="Q510" s="22">
        <v>50</v>
      </c>
      <c r="R510" s="22">
        <v>0</v>
      </c>
      <c r="S510" s="4"/>
      <c r="T510" s="4"/>
      <c r="U510" s="44"/>
      <c r="V510" s="4"/>
      <c r="W510" s="9"/>
      <c r="X510" s="74">
        <v>0</v>
      </c>
      <c r="Y510" s="28" t="e">
        <v>#REF!</v>
      </c>
      <c r="Z510" s="9"/>
      <c r="AA510" s="24" t="s">
        <v>392</v>
      </c>
      <c r="AB510" s="28">
        <v>41179</v>
      </c>
    </row>
    <row r="511" spans="1:28" ht="14.25" customHeight="1" x14ac:dyDescent="0.4">
      <c r="A511">
        <v>179</v>
      </c>
      <c r="B511" s="34">
        <v>0</v>
      </c>
      <c r="C511" s="34">
        <v>0</v>
      </c>
      <c r="D511" s="34">
        <v>0</v>
      </c>
      <c r="E511" s="32">
        <v>41120</v>
      </c>
      <c r="F511" s="24" t="s">
        <v>393</v>
      </c>
      <c r="G511" s="24">
        <v>41128</v>
      </c>
      <c r="H511" s="37">
        <v>31</v>
      </c>
      <c r="I511" s="23">
        <v>41091</v>
      </c>
      <c r="J511" s="37">
        <v>31</v>
      </c>
      <c r="K511" s="24" t="s">
        <v>410</v>
      </c>
      <c r="L511" s="24">
        <v>41091</v>
      </c>
      <c r="M511" s="32">
        <v>41068</v>
      </c>
      <c r="N511" s="22" t="s">
        <v>558</v>
      </c>
      <c r="O511">
        <v>9130280</v>
      </c>
      <c r="P511" s="22">
        <v>720</v>
      </c>
      <c r="Q511" s="22">
        <v>42</v>
      </c>
      <c r="R511" s="22">
        <v>1</v>
      </c>
      <c r="S511" s="4"/>
      <c r="T511" s="4"/>
      <c r="U511" s="42"/>
      <c r="V511" s="4"/>
      <c r="W511" s="4"/>
      <c r="X511" s="74"/>
      <c r="Y511" s="28" t="e">
        <v>#REF!</v>
      </c>
      <c r="Z511" s="9"/>
      <c r="AA511" s="24" t="s">
        <v>393</v>
      </c>
      <c r="AB511" s="28">
        <v>41128</v>
      </c>
    </row>
    <row r="512" spans="1:28" ht="14.25" customHeight="1" x14ac:dyDescent="0.4">
      <c r="A512">
        <v>180</v>
      </c>
      <c r="B512" s="34"/>
      <c r="C512" s="34"/>
      <c r="D512" s="34"/>
      <c r="E512" s="32">
        <v>41114</v>
      </c>
      <c r="F512" s="24" t="s">
        <v>393</v>
      </c>
      <c r="G512" s="24">
        <v>41121</v>
      </c>
      <c r="H512" s="37"/>
      <c r="I512" s="23">
        <v>41091</v>
      </c>
      <c r="J512" s="37">
        <v>26</v>
      </c>
      <c r="K512" s="24" t="s">
        <v>410</v>
      </c>
      <c r="L512" s="36"/>
      <c r="M512" s="32">
        <v>41068</v>
      </c>
      <c r="N512" s="22" t="s">
        <v>558</v>
      </c>
      <c r="O512">
        <v>9130281</v>
      </c>
      <c r="P512" s="22">
        <v>1025</v>
      </c>
      <c r="Q512" s="22">
        <v>50</v>
      </c>
      <c r="R512" s="22">
        <v>2</v>
      </c>
      <c r="S512" s="4"/>
      <c r="T512" s="4"/>
      <c r="U512" s="44"/>
      <c r="V512" s="4"/>
      <c r="W512" s="9"/>
      <c r="X512" s="74"/>
      <c r="Y512" s="28" t="e">
        <v>#REF!</v>
      </c>
      <c r="Z512" s="9"/>
      <c r="AA512" s="24" t="s">
        <v>393</v>
      </c>
      <c r="AB512" s="28">
        <v>41121</v>
      </c>
    </row>
    <row r="513" spans="1:28" ht="14.25" customHeight="1" x14ac:dyDescent="0.4">
      <c r="A513">
        <v>181</v>
      </c>
      <c r="B513" s="32">
        <v>41141</v>
      </c>
      <c r="C513" s="32">
        <v>41141</v>
      </c>
      <c r="D513" s="32">
        <v>41141</v>
      </c>
      <c r="E513" s="32">
        <v>41141</v>
      </c>
      <c r="F513" s="24" t="s">
        <v>393</v>
      </c>
      <c r="G513" s="24">
        <v>41150</v>
      </c>
      <c r="H513" s="37">
        <v>69</v>
      </c>
      <c r="I513" s="23">
        <v>41122</v>
      </c>
      <c r="J513" s="37">
        <v>37</v>
      </c>
      <c r="K513" s="24" t="s">
        <v>410</v>
      </c>
      <c r="L513" s="24">
        <v>41091</v>
      </c>
      <c r="M513" s="32">
        <v>41068</v>
      </c>
      <c r="N513" s="22" t="s">
        <v>558</v>
      </c>
      <c r="O513">
        <v>9130282</v>
      </c>
      <c r="P513" s="22" t="s">
        <v>2257</v>
      </c>
      <c r="Q513" s="22">
        <v>50</v>
      </c>
      <c r="R513" s="22">
        <v>3</v>
      </c>
      <c r="S513" s="45"/>
      <c r="T513" s="4"/>
      <c r="U513" s="42"/>
      <c r="V513" s="4"/>
      <c r="W513" s="43"/>
      <c r="X513" s="74"/>
      <c r="Y513" s="28" t="e">
        <v>#REF!</v>
      </c>
      <c r="Z513" s="28"/>
      <c r="AA513" s="24" t="s">
        <v>393</v>
      </c>
      <c r="AB513" s="28">
        <v>41150</v>
      </c>
    </row>
    <row r="514" spans="1:28" ht="14.25" customHeight="1" x14ac:dyDescent="0.4">
      <c r="A514">
        <v>118</v>
      </c>
      <c r="B514" s="34">
        <v>0</v>
      </c>
      <c r="C514" s="34" t="s">
        <v>2165</v>
      </c>
      <c r="D514" s="34">
        <v>0</v>
      </c>
      <c r="E514" s="32">
        <v>41135</v>
      </c>
      <c r="F514" s="24" t="s">
        <v>393</v>
      </c>
      <c r="G514" s="24">
        <v>41148</v>
      </c>
      <c r="H514" s="37">
        <v>59</v>
      </c>
      <c r="I514" s="23">
        <v>41122</v>
      </c>
      <c r="J514" s="37">
        <v>27</v>
      </c>
      <c r="K514" s="24" t="s">
        <v>410</v>
      </c>
      <c r="L514" s="24">
        <v>41122</v>
      </c>
      <c r="M514" s="32">
        <v>41068</v>
      </c>
      <c r="N514" s="22" t="s">
        <v>1802</v>
      </c>
      <c r="O514">
        <v>9130190</v>
      </c>
      <c r="P514" s="22">
        <v>720</v>
      </c>
      <c r="Q514" s="22">
        <v>42</v>
      </c>
      <c r="R514" s="22">
        <v>1</v>
      </c>
      <c r="S514" s="4"/>
      <c r="T514" s="4"/>
      <c r="U514" s="44"/>
      <c r="V514" s="4"/>
      <c r="W514" s="57"/>
      <c r="X514" s="74"/>
      <c r="Y514" s="28" t="e">
        <v>#REF!</v>
      </c>
      <c r="Z514" s="28"/>
      <c r="AA514" s="24" t="s">
        <v>393</v>
      </c>
      <c r="AB514" s="28">
        <v>41148</v>
      </c>
    </row>
    <row r="515" spans="1:28" ht="14.25" customHeight="1" x14ac:dyDescent="0.4">
      <c r="A515">
        <v>119</v>
      </c>
      <c r="B515" s="34">
        <v>0</v>
      </c>
      <c r="C515" s="34">
        <v>0</v>
      </c>
      <c r="D515" s="34">
        <v>0</v>
      </c>
      <c r="E515" s="32">
        <v>0</v>
      </c>
      <c r="F515" s="24">
        <v>0</v>
      </c>
      <c r="G515" s="24">
        <v>0</v>
      </c>
      <c r="H515" s="37">
        <v>264</v>
      </c>
      <c r="I515" s="23">
        <v>41214</v>
      </c>
      <c r="J515" s="37">
        <v>43</v>
      </c>
      <c r="K515" s="24" t="s">
        <v>410</v>
      </c>
      <c r="L515" s="24">
        <v>41214</v>
      </c>
      <c r="M515" s="32">
        <v>41068</v>
      </c>
      <c r="N515" s="22" t="s">
        <v>1802</v>
      </c>
      <c r="O515">
        <v>9130191</v>
      </c>
      <c r="P515" s="22">
        <v>1025</v>
      </c>
      <c r="Q515" s="22">
        <v>50</v>
      </c>
      <c r="R515" s="22" t="s">
        <v>2486</v>
      </c>
      <c r="S515" s="4"/>
      <c r="T515" s="4" t="s">
        <v>404</v>
      </c>
      <c r="U515" s="44">
        <v>41152</v>
      </c>
      <c r="V515" s="4"/>
      <c r="W515" s="57"/>
      <c r="X515" s="74"/>
      <c r="Y515" s="28" t="e">
        <v>#REF!</v>
      </c>
      <c r="Z515" s="28"/>
      <c r="AA515" s="24">
        <v>0</v>
      </c>
      <c r="AB515" s="28">
        <v>0</v>
      </c>
    </row>
    <row r="516" spans="1:28" ht="14.25" customHeight="1" x14ac:dyDescent="0.4">
      <c r="A516">
        <v>120</v>
      </c>
      <c r="B516" s="34">
        <v>0</v>
      </c>
      <c r="C516" s="34">
        <v>0</v>
      </c>
      <c r="D516" s="34">
        <v>0</v>
      </c>
      <c r="E516" s="32">
        <v>0</v>
      </c>
      <c r="F516" s="24">
        <v>0</v>
      </c>
      <c r="G516" s="24">
        <v>0</v>
      </c>
      <c r="H516" s="37">
        <v>352</v>
      </c>
      <c r="I516" s="23">
        <v>41275</v>
      </c>
      <c r="J516" s="37">
        <v>23</v>
      </c>
      <c r="K516" s="24" t="s">
        <v>410</v>
      </c>
      <c r="L516" s="24">
        <v>41275</v>
      </c>
      <c r="M516" s="32">
        <v>41068</v>
      </c>
      <c r="N516" s="22" t="s">
        <v>1802</v>
      </c>
      <c r="O516">
        <v>9130192</v>
      </c>
      <c r="P516" s="22">
        <v>1025</v>
      </c>
      <c r="Q516" s="22">
        <v>42</v>
      </c>
      <c r="R516" s="22">
        <v>3</v>
      </c>
      <c r="S516" s="4"/>
      <c r="T516" s="4"/>
      <c r="U516" s="44"/>
      <c r="V516" s="4"/>
      <c r="W516" s="4"/>
      <c r="X516" s="74"/>
      <c r="Y516" s="28" t="e">
        <v>#REF!</v>
      </c>
      <c r="Z516" s="9"/>
      <c r="AA516" s="24">
        <v>0</v>
      </c>
      <c r="AB516" s="28">
        <v>0</v>
      </c>
    </row>
    <row r="517" spans="1:28" ht="14.25" customHeight="1" x14ac:dyDescent="0.4">
      <c r="A517">
        <v>121</v>
      </c>
      <c r="B517" s="32">
        <v>0</v>
      </c>
      <c r="C517" s="32">
        <v>0</v>
      </c>
      <c r="D517" s="32">
        <v>0</v>
      </c>
      <c r="E517" s="32">
        <v>0</v>
      </c>
      <c r="F517" s="24">
        <v>0</v>
      </c>
      <c r="G517" s="24">
        <v>0</v>
      </c>
      <c r="H517" s="37">
        <v>408</v>
      </c>
      <c r="I517" s="23">
        <v>41306</v>
      </c>
      <c r="J517" s="37">
        <v>13</v>
      </c>
      <c r="K517" s="24" t="s">
        <v>410</v>
      </c>
      <c r="L517" s="24">
        <v>41306</v>
      </c>
      <c r="M517" s="32">
        <v>41068</v>
      </c>
      <c r="N517" s="22" t="s">
        <v>1802</v>
      </c>
      <c r="O517">
        <v>9130193</v>
      </c>
      <c r="P517" s="22">
        <v>1025</v>
      </c>
      <c r="Q517" s="22">
        <v>42</v>
      </c>
      <c r="R517" s="22">
        <v>4</v>
      </c>
      <c r="T517" s="4"/>
      <c r="U517" s="164"/>
      <c r="V517" s="4"/>
      <c r="Y517" s="28" t="e">
        <v>#REF!</v>
      </c>
      <c r="AA517" s="24">
        <v>0</v>
      </c>
      <c r="AB517" s="28">
        <v>0</v>
      </c>
    </row>
    <row r="518" spans="1:28" ht="14.25" customHeight="1" x14ac:dyDescent="0.4">
      <c r="A518">
        <v>122</v>
      </c>
      <c r="B518" s="34">
        <v>0</v>
      </c>
      <c r="C518" s="34">
        <v>0</v>
      </c>
      <c r="D518" s="34">
        <v>0</v>
      </c>
      <c r="E518" s="32">
        <v>0</v>
      </c>
      <c r="F518" s="24">
        <v>0</v>
      </c>
      <c r="G518" s="24">
        <v>0</v>
      </c>
      <c r="H518" s="37">
        <v>409</v>
      </c>
      <c r="I518" s="23">
        <v>41306</v>
      </c>
      <c r="J518" s="37">
        <v>14</v>
      </c>
      <c r="K518" s="24" t="s">
        <v>410</v>
      </c>
      <c r="L518" s="24">
        <v>41306</v>
      </c>
      <c r="M518" s="32">
        <v>41068</v>
      </c>
      <c r="N518" s="22" t="s">
        <v>1802</v>
      </c>
      <c r="O518">
        <v>9130194</v>
      </c>
      <c r="P518" s="22">
        <v>1025</v>
      </c>
      <c r="Q518" s="22">
        <v>42</v>
      </c>
      <c r="R518" s="22">
        <v>5</v>
      </c>
      <c r="S518" s="102"/>
      <c r="T518" s="4"/>
      <c r="U518" s="94"/>
      <c r="V518" s="4"/>
      <c r="W518" s="92"/>
      <c r="X518" s="74"/>
      <c r="Y518" s="28" t="e">
        <v>#REF!</v>
      </c>
      <c r="Z518" s="9"/>
      <c r="AA518" s="24">
        <v>0</v>
      </c>
      <c r="AB518" s="28">
        <v>0</v>
      </c>
    </row>
    <row r="519" spans="1:28" ht="14.25" customHeight="1" x14ac:dyDescent="0.4">
      <c r="A519">
        <v>123</v>
      </c>
      <c r="B519" s="32">
        <v>0</v>
      </c>
      <c r="C519" s="32">
        <v>0</v>
      </c>
      <c r="D519" s="32">
        <v>0</v>
      </c>
      <c r="E519" s="32">
        <v>0</v>
      </c>
      <c r="F519" s="24">
        <v>0</v>
      </c>
      <c r="G519" s="24">
        <v>0</v>
      </c>
      <c r="H519" s="37">
        <v>476</v>
      </c>
      <c r="I519" s="23">
        <v>41334</v>
      </c>
      <c r="J519" s="37">
        <v>22</v>
      </c>
      <c r="K519" s="24" t="s">
        <v>410</v>
      </c>
      <c r="L519" s="24">
        <v>41334</v>
      </c>
      <c r="M519" s="32">
        <v>41068</v>
      </c>
      <c r="N519" s="22" t="s">
        <v>1802</v>
      </c>
      <c r="O519">
        <v>9130196</v>
      </c>
      <c r="P519" s="22">
        <v>1025</v>
      </c>
      <c r="Q519" s="22">
        <v>42</v>
      </c>
      <c r="R519" s="22">
        <v>6</v>
      </c>
      <c r="S519" s="102"/>
      <c r="T519" s="4"/>
      <c r="U519" s="94"/>
      <c r="V519" s="4"/>
      <c r="W519" s="92"/>
      <c r="X519" s="74"/>
      <c r="Y519" s="28" t="e">
        <v>#REF!</v>
      </c>
      <c r="Z519" s="9"/>
      <c r="AA519" s="24">
        <v>0</v>
      </c>
      <c r="AB519" s="28">
        <v>0</v>
      </c>
    </row>
    <row r="520" spans="1:28" ht="14.25" customHeight="1" x14ac:dyDescent="0.4">
      <c r="A520">
        <v>124</v>
      </c>
      <c r="B520" s="32">
        <v>0</v>
      </c>
      <c r="C520" s="32">
        <v>0</v>
      </c>
      <c r="D520" s="32">
        <v>0</v>
      </c>
      <c r="E520" s="32">
        <v>0</v>
      </c>
      <c r="F520" s="24">
        <v>0</v>
      </c>
      <c r="G520" s="24">
        <v>0</v>
      </c>
      <c r="H520" s="37">
        <v>525</v>
      </c>
      <c r="I520" s="23">
        <v>41365</v>
      </c>
      <c r="J520" s="37">
        <v>14</v>
      </c>
      <c r="K520" s="24" t="s">
        <v>410</v>
      </c>
      <c r="L520" s="24">
        <v>41365</v>
      </c>
      <c r="M520" s="32">
        <v>41068</v>
      </c>
      <c r="N520" s="22" t="s">
        <v>1802</v>
      </c>
      <c r="O520">
        <v>9130199</v>
      </c>
      <c r="P520" s="22">
        <v>1025</v>
      </c>
      <c r="Q520" s="22">
        <v>42</v>
      </c>
      <c r="R520" s="22">
        <v>7</v>
      </c>
      <c r="S520" s="102"/>
      <c r="T520" s="4"/>
      <c r="U520" s="94"/>
      <c r="V520" s="4"/>
      <c r="W520" s="92"/>
      <c r="X520" s="74"/>
      <c r="Y520" s="28" t="e">
        <v>#REF!</v>
      </c>
      <c r="Z520" s="9"/>
      <c r="AA520" s="24">
        <v>0</v>
      </c>
      <c r="AB520" s="28">
        <v>0</v>
      </c>
    </row>
    <row r="521" spans="1:28" ht="14.25" customHeight="1" x14ac:dyDescent="0.4">
      <c r="A521">
        <v>125</v>
      </c>
      <c r="B521" s="32">
        <v>41108</v>
      </c>
      <c r="C521" s="32">
        <v>41108</v>
      </c>
      <c r="D521" s="32">
        <v>41108</v>
      </c>
      <c r="E521" s="32">
        <v>41108</v>
      </c>
      <c r="F521" s="24" t="s">
        <v>392</v>
      </c>
      <c r="G521" s="24">
        <v>41121</v>
      </c>
      <c r="H521" s="37">
        <v>15</v>
      </c>
      <c r="I521" s="23">
        <v>41091</v>
      </c>
      <c r="J521" s="37">
        <v>15</v>
      </c>
      <c r="K521" s="24" t="s">
        <v>410</v>
      </c>
      <c r="L521" s="24">
        <v>41244</v>
      </c>
      <c r="M521" s="32">
        <v>41068</v>
      </c>
      <c r="N521" s="22" t="s">
        <v>1802</v>
      </c>
      <c r="O521">
        <v>9130204</v>
      </c>
      <c r="P521" s="22">
        <v>1025</v>
      </c>
      <c r="Q521" s="22">
        <v>50</v>
      </c>
      <c r="R521" s="22">
        <v>8</v>
      </c>
      <c r="S521" s="55"/>
      <c r="T521" s="4"/>
      <c r="U521" s="94"/>
      <c r="V521" s="4"/>
      <c r="W521" s="92"/>
      <c r="X521" s="74"/>
      <c r="Y521" s="28" t="e">
        <v>#REF!</v>
      </c>
      <c r="Z521" s="9"/>
      <c r="AA521" s="24" t="s">
        <v>392</v>
      </c>
      <c r="AB521" s="28">
        <v>41121</v>
      </c>
    </row>
    <row r="522" spans="1:28" ht="14.25" customHeight="1" x14ac:dyDescent="0.4">
      <c r="A522">
        <v>126</v>
      </c>
      <c r="B522" s="32">
        <v>41109</v>
      </c>
      <c r="C522" s="32">
        <v>41109</v>
      </c>
      <c r="D522" s="32">
        <v>41109</v>
      </c>
      <c r="E522" s="32">
        <v>41109</v>
      </c>
      <c r="F522" s="24" t="s">
        <v>393</v>
      </c>
      <c r="G522" s="24">
        <v>41136</v>
      </c>
      <c r="H522" s="37">
        <v>16</v>
      </c>
      <c r="I522" s="23">
        <v>41091</v>
      </c>
      <c r="J522" s="37">
        <v>16</v>
      </c>
      <c r="K522" s="24" t="s">
        <v>410</v>
      </c>
      <c r="L522" s="24">
        <v>41244</v>
      </c>
      <c r="M522" s="32">
        <v>41068</v>
      </c>
      <c r="N522" s="22" t="s">
        <v>1802</v>
      </c>
      <c r="O522">
        <v>9130205</v>
      </c>
      <c r="P522" s="22">
        <v>1025</v>
      </c>
      <c r="Q522" s="22">
        <v>42</v>
      </c>
      <c r="R522" s="22">
        <v>9</v>
      </c>
      <c r="T522" s="4"/>
      <c r="U522" s="42"/>
      <c r="V522" s="4"/>
      <c r="W522" s="28"/>
      <c r="X522" s="74"/>
      <c r="Y522" s="28" t="e">
        <v>#REF!</v>
      </c>
      <c r="Z522" s="28"/>
      <c r="AA522" s="24" t="s">
        <v>393</v>
      </c>
      <c r="AB522" s="28">
        <v>41136</v>
      </c>
    </row>
    <row r="523" spans="1:28" ht="14.25" customHeight="1" x14ac:dyDescent="0.4">
      <c r="A523">
        <v>127</v>
      </c>
      <c r="B523" s="32">
        <v>0</v>
      </c>
      <c r="C523" s="32">
        <v>0</v>
      </c>
      <c r="D523" s="32">
        <v>0</v>
      </c>
      <c r="E523" s="32">
        <v>0</v>
      </c>
      <c r="F523" s="24">
        <v>0</v>
      </c>
      <c r="G523" s="24">
        <v>0</v>
      </c>
      <c r="H523" s="37">
        <v>529</v>
      </c>
      <c r="I523" s="23">
        <v>41365</v>
      </c>
      <c r="J523" s="37">
        <v>18</v>
      </c>
      <c r="K523" s="24" t="s">
        <v>410</v>
      </c>
      <c r="L523" s="24">
        <v>41365</v>
      </c>
      <c r="M523" s="32">
        <v>41068</v>
      </c>
      <c r="N523" s="22" t="s">
        <v>1802</v>
      </c>
      <c r="O523">
        <v>9130206</v>
      </c>
      <c r="P523" s="22">
        <v>720</v>
      </c>
      <c r="Q523" s="22">
        <v>42</v>
      </c>
      <c r="R523" s="22">
        <v>10</v>
      </c>
      <c r="T523" s="4"/>
      <c r="U523" s="94"/>
      <c r="V523" s="4"/>
      <c r="W523" s="28"/>
      <c r="X523" s="74"/>
      <c r="Y523" s="28" t="e">
        <v>#REF!</v>
      </c>
      <c r="Z523" s="28"/>
      <c r="AA523" s="24">
        <v>0</v>
      </c>
      <c r="AB523" s="28">
        <v>0</v>
      </c>
    </row>
    <row r="524" spans="1:28" ht="14.25" customHeight="1" x14ac:dyDescent="0.4">
      <c r="A524">
        <v>128</v>
      </c>
      <c r="B524" s="34">
        <v>0</v>
      </c>
      <c r="C524" s="34">
        <v>0</v>
      </c>
      <c r="D524" s="34">
        <v>0</v>
      </c>
      <c r="E524" s="32">
        <v>0</v>
      </c>
      <c r="F524" s="24">
        <v>0</v>
      </c>
      <c r="G524" s="24">
        <v>0</v>
      </c>
      <c r="H524" s="37">
        <v>551</v>
      </c>
      <c r="I524" s="23">
        <v>41426</v>
      </c>
      <c r="J524" s="37">
        <v>3</v>
      </c>
      <c r="K524" s="24" t="s">
        <v>410</v>
      </c>
      <c r="L524" s="24">
        <v>41426</v>
      </c>
      <c r="M524" s="32">
        <v>41068</v>
      </c>
      <c r="N524" s="22" t="s">
        <v>1802</v>
      </c>
      <c r="O524">
        <v>9130208</v>
      </c>
      <c r="P524" s="22">
        <v>720</v>
      </c>
      <c r="Q524" s="22">
        <v>42</v>
      </c>
      <c r="R524" s="22">
        <v>11</v>
      </c>
      <c r="S524" s="4"/>
      <c r="T524" s="4"/>
      <c r="U524" s="42"/>
      <c r="V524" s="4"/>
      <c r="W524" s="9"/>
      <c r="X524" s="74"/>
      <c r="Y524" s="28" t="e">
        <v>#REF!</v>
      </c>
      <c r="Z524" s="28"/>
      <c r="AA524" s="24">
        <v>0</v>
      </c>
      <c r="AB524" s="28">
        <v>0</v>
      </c>
    </row>
    <row r="525" spans="1:28" ht="14.25" customHeight="1" x14ac:dyDescent="0.4">
      <c r="A525">
        <v>129</v>
      </c>
      <c r="B525" s="34">
        <v>0</v>
      </c>
      <c r="C525" s="34">
        <v>0</v>
      </c>
      <c r="D525" s="34">
        <v>0</v>
      </c>
      <c r="E525" s="32">
        <v>0</v>
      </c>
      <c r="F525" s="24">
        <v>0</v>
      </c>
      <c r="G525" s="24">
        <v>0</v>
      </c>
      <c r="H525" s="37">
        <v>544</v>
      </c>
      <c r="I525" s="23">
        <v>41395</v>
      </c>
      <c r="J525" s="37">
        <v>14</v>
      </c>
      <c r="K525" s="24" t="s">
        <v>410</v>
      </c>
      <c r="L525" s="24">
        <v>41395</v>
      </c>
      <c r="M525" s="32">
        <v>41068</v>
      </c>
      <c r="N525" s="22" t="s">
        <v>1802</v>
      </c>
      <c r="O525">
        <v>9130209</v>
      </c>
      <c r="P525" s="22">
        <v>720</v>
      </c>
      <c r="Q525" s="22">
        <v>50</v>
      </c>
      <c r="R525" s="22">
        <v>12</v>
      </c>
      <c r="S525" s="4"/>
      <c r="T525" s="4"/>
      <c r="U525" s="44"/>
      <c r="V525" s="4"/>
      <c r="W525" s="9"/>
      <c r="X525" s="74"/>
      <c r="Y525" s="28" t="e">
        <v>#REF!</v>
      </c>
      <c r="Z525" s="9"/>
      <c r="AA525" s="24">
        <v>0</v>
      </c>
      <c r="AB525" s="28">
        <v>0</v>
      </c>
    </row>
    <row r="526" spans="1:28" ht="14.25" customHeight="1" x14ac:dyDescent="0.4">
      <c r="A526">
        <v>130</v>
      </c>
      <c r="B526" s="34">
        <v>0</v>
      </c>
      <c r="C526" s="34">
        <v>0</v>
      </c>
      <c r="D526" s="34">
        <v>0</v>
      </c>
      <c r="E526" s="32">
        <v>41162</v>
      </c>
      <c r="F526" s="24" t="s">
        <v>392</v>
      </c>
      <c r="G526" s="24">
        <v>41179</v>
      </c>
      <c r="H526" s="37">
        <v>109</v>
      </c>
      <c r="I526" s="23">
        <v>41153</v>
      </c>
      <c r="J526" s="37">
        <v>14</v>
      </c>
      <c r="K526" s="24" t="s">
        <v>410</v>
      </c>
      <c r="L526" s="24">
        <v>41122</v>
      </c>
      <c r="M526" s="32">
        <v>41068</v>
      </c>
      <c r="N526" s="22" t="s">
        <v>1802</v>
      </c>
      <c r="O526">
        <v>9130211</v>
      </c>
      <c r="P526" s="22">
        <v>1025</v>
      </c>
      <c r="Q526" s="22">
        <v>42</v>
      </c>
      <c r="R526" s="22">
        <v>13</v>
      </c>
      <c r="S526" s="4"/>
      <c r="T526" s="4"/>
      <c r="U526" s="44"/>
      <c r="V526" s="4"/>
      <c r="W526" s="4"/>
      <c r="Y526" s="28" t="e">
        <v>#REF!</v>
      </c>
      <c r="Z526" s="9"/>
      <c r="AA526" s="24" t="s">
        <v>392</v>
      </c>
      <c r="AB526" s="28">
        <v>41179</v>
      </c>
    </row>
    <row r="527" spans="1:28" ht="14.25" customHeight="1" x14ac:dyDescent="0.4">
      <c r="A527">
        <v>131</v>
      </c>
      <c r="B527" s="34">
        <v>0</v>
      </c>
      <c r="C527" s="34">
        <v>0</v>
      </c>
      <c r="D527" s="34">
        <v>0</v>
      </c>
      <c r="E527" s="32">
        <v>41171</v>
      </c>
      <c r="F527" s="24" t="s">
        <v>392</v>
      </c>
      <c r="G527" s="24">
        <v>41177</v>
      </c>
      <c r="H527" s="37">
        <v>133</v>
      </c>
      <c r="I527" s="23">
        <v>41153</v>
      </c>
      <c r="J527" s="37">
        <v>38</v>
      </c>
      <c r="K527" s="24" t="s">
        <v>410</v>
      </c>
      <c r="L527" s="24">
        <v>41153</v>
      </c>
      <c r="M527" s="32">
        <v>41068</v>
      </c>
      <c r="N527" s="22" t="s">
        <v>1802</v>
      </c>
      <c r="O527">
        <v>9130214</v>
      </c>
      <c r="P527" s="22">
        <v>720</v>
      </c>
      <c r="Q527" s="22">
        <v>42</v>
      </c>
      <c r="R527" s="22">
        <v>14</v>
      </c>
      <c r="S527" s="4"/>
      <c r="T527" s="4"/>
      <c r="U527" s="44"/>
      <c r="V527" s="4"/>
      <c r="W527" s="9"/>
      <c r="X527" s="74"/>
      <c r="Y527" s="28" t="e">
        <v>#REF!</v>
      </c>
      <c r="Z527" s="9"/>
      <c r="AA527" s="24" t="s">
        <v>392</v>
      </c>
      <c r="AB527" s="28">
        <v>41177</v>
      </c>
    </row>
    <row r="528" spans="1:28" ht="14.25" customHeight="1" x14ac:dyDescent="0.4">
      <c r="A528">
        <v>132</v>
      </c>
      <c r="B528" s="34">
        <v>0</v>
      </c>
      <c r="C528" s="34">
        <v>0</v>
      </c>
      <c r="D528" s="34">
        <v>0</v>
      </c>
      <c r="E528" s="32">
        <v>0</v>
      </c>
      <c r="F528" s="24">
        <v>0</v>
      </c>
      <c r="G528" s="24">
        <v>0</v>
      </c>
      <c r="H528" s="37">
        <v>384</v>
      </c>
      <c r="I528" s="23">
        <v>41275</v>
      </c>
      <c r="J528" s="37">
        <v>55</v>
      </c>
      <c r="K528" s="24" t="s">
        <v>410</v>
      </c>
      <c r="L528" s="24">
        <v>41275</v>
      </c>
      <c r="M528" s="32">
        <v>41068</v>
      </c>
      <c r="N528" s="22" t="s">
        <v>1802</v>
      </c>
      <c r="O528">
        <v>9130216</v>
      </c>
      <c r="P528" s="22">
        <v>720</v>
      </c>
      <c r="Q528" s="22">
        <v>42</v>
      </c>
      <c r="R528" s="22" t="s">
        <v>2487</v>
      </c>
      <c r="S528" s="4"/>
      <c r="T528" s="4" t="s">
        <v>404</v>
      </c>
      <c r="U528" s="42">
        <v>41173</v>
      </c>
      <c r="V528" s="4"/>
      <c r="W528" s="4"/>
      <c r="X528" s="74"/>
      <c r="Y528" s="28" t="e">
        <v>#REF!</v>
      </c>
      <c r="Z528" s="28"/>
      <c r="AA528" s="24">
        <v>0</v>
      </c>
      <c r="AB528" s="28">
        <v>0</v>
      </c>
    </row>
    <row r="529" spans="1:28" ht="14.25" customHeight="1" x14ac:dyDescent="0.4">
      <c r="A529">
        <v>133</v>
      </c>
      <c r="B529" s="34">
        <v>0</v>
      </c>
      <c r="C529" s="34" t="s">
        <v>2165</v>
      </c>
      <c r="D529" s="34">
        <v>0</v>
      </c>
      <c r="E529" s="32">
        <v>0</v>
      </c>
      <c r="F529" s="24">
        <v>0</v>
      </c>
      <c r="G529" s="24">
        <v>0</v>
      </c>
      <c r="H529" s="37">
        <v>439</v>
      </c>
      <c r="I529" s="23">
        <v>41306</v>
      </c>
      <c r="J529" s="37">
        <v>44</v>
      </c>
      <c r="K529" s="24" t="s">
        <v>410</v>
      </c>
      <c r="L529" s="24">
        <v>41306</v>
      </c>
      <c r="M529" s="32">
        <v>41068</v>
      </c>
      <c r="N529" s="22" t="s">
        <v>1802</v>
      </c>
      <c r="O529">
        <v>9130217</v>
      </c>
      <c r="P529" s="22">
        <v>720</v>
      </c>
      <c r="Q529" s="22">
        <v>42</v>
      </c>
      <c r="R529" s="22" t="s">
        <v>2488</v>
      </c>
      <c r="S529" s="38"/>
      <c r="T529" s="4" t="s">
        <v>404</v>
      </c>
      <c r="U529" s="44">
        <v>41167</v>
      </c>
      <c r="V529" s="4"/>
      <c r="W529" s="127"/>
      <c r="X529" s="74"/>
      <c r="Y529" s="28" t="e">
        <v>#REF!</v>
      </c>
      <c r="Z529" s="9"/>
      <c r="AA529" s="24">
        <v>0</v>
      </c>
      <c r="AB529" s="28">
        <v>0</v>
      </c>
    </row>
    <row r="530" spans="1:28" ht="14.25" customHeight="1" x14ac:dyDescent="0.4">
      <c r="A530">
        <v>134</v>
      </c>
      <c r="B530" s="34">
        <v>0</v>
      </c>
      <c r="C530" s="34" t="s">
        <v>2165</v>
      </c>
      <c r="D530" s="34">
        <v>0</v>
      </c>
      <c r="E530" s="32">
        <v>0</v>
      </c>
      <c r="F530" s="24">
        <v>0</v>
      </c>
      <c r="G530" s="24">
        <v>0</v>
      </c>
      <c r="H530" s="37">
        <v>499</v>
      </c>
      <c r="I530" s="23">
        <v>41334</v>
      </c>
      <c r="J530" s="37">
        <v>45</v>
      </c>
      <c r="K530" s="24" t="s">
        <v>410</v>
      </c>
      <c r="L530" s="24">
        <v>41334</v>
      </c>
      <c r="M530" s="32">
        <v>41068</v>
      </c>
      <c r="N530" s="22" t="s">
        <v>1802</v>
      </c>
      <c r="O530">
        <v>9130219</v>
      </c>
      <c r="P530" s="22">
        <v>720</v>
      </c>
      <c r="Q530" s="22">
        <v>42</v>
      </c>
      <c r="R530" s="22">
        <v>17</v>
      </c>
      <c r="S530" s="4"/>
      <c r="T530" s="4"/>
      <c r="U530" s="44"/>
      <c r="V530" s="4"/>
      <c r="W530" s="127"/>
      <c r="X530" s="74"/>
      <c r="Y530" s="28" t="e">
        <v>#REF!</v>
      </c>
      <c r="Z530" s="9"/>
      <c r="AA530" s="24">
        <v>0</v>
      </c>
      <c r="AB530" s="28">
        <v>0</v>
      </c>
    </row>
    <row r="531" spans="1:28" ht="14.25" customHeight="1" x14ac:dyDescent="0.4">
      <c r="A531">
        <v>135</v>
      </c>
      <c r="B531" s="34">
        <v>0</v>
      </c>
      <c r="C531" s="34" t="s">
        <v>2165</v>
      </c>
      <c r="D531" s="34">
        <v>0</v>
      </c>
      <c r="E531" s="32">
        <v>0</v>
      </c>
      <c r="F531" s="24">
        <v>0</v>
      </c>
      <c r="G531" s="24">
        <v>0</v>
      </c>
      <c r="H531" s="37">
        <v>477</v>
      </c>
      <c r="I531" s="23">
        <v>41334</v>
      </c>
      <c r="J531" s="37">
        <v>23</v>
      </c>
      <c r="K531" s="24" t="s">
        <v>410</v>
      </c>
      <c r="L531" s="24">
        <v>41334</v>
      </c>
      <c r="M531" s="32">
        <v>41068</v>
      </c>
      <c r="N531" s="22" t="s">
        <v>1802</v>
      </c>
      <c r="O531">
        <v>9130220</v>
      </c>
      <c r="P531" s="22">
        <v>1025</v>
      </c>
      <c r="Q531" s="22">
        <v>50</v>
      </c>
      <c r="R531" s="22">
        <v>18</v>
      </c>
      <c r="S531" s="4"/>
      <c r="T531" s="4"/>
      <c r="U531" s="44"/>
      <c r="V531" s="4"/>
      <c r="W531" s="127"/>
      <c r="X531" s="74"/>
      <c r="Y531" s="28" t="e">
        <v>#REF!</v>
      </c>
      <c r="Z531" s="9"/>
      <c r="AA531" s="24">
        <v>0</v>
      </c>
      <c r="AB531" s="28">
        <v>0</v>
      </c>
    </row>
    <row r="532" spans="1:28" ht="14.25" customHeight="1" x14ac:dyDescent="0.4">
      <c r="A532">
        <v>136</v>
      </c>
      <c r="B532" s="34">
        <v>0</v>
      </c>
      <c r="C532" s="34" t="s">
        <v>2165</v>
      </c>
      <c r="D532" s="34">
        <v>0</v>
      </c>
      <c r="E532" s="32">
        <v>0</v>
      </c>
      <c r="F532" s="24">
        <v>0</v>
      </c>
      <c r="G532" s="24">
        <v>0</v>
      </c>
      <c r="H532" s="37">
        <v>538</v>
      </c>
      <c r="I532" s="23">
        <v>41395</v>
      </c>
      <c r="J532" s="37">
        <v>8</v>
      </c>
      <c r="K532" s="24" t="s">
        <v>410</v>
      </c>
      <c r="L532" s="24">
        <v>41395</v>
      </c>
      <c r="M532" s="32">
        <v>41068</v>
      </c>
      <c r="N532" s="22" t="s">
        <v>1802</v>
      </c>
      <c r="O532">
        <v>9130221</v>
      </c>
      <c r="P532" s="22">
        <v>1025</v>
      </c>
      <c r="Q532" s="22">
        <v>50</v>
      </c>
      <c r="R532" s="22">
        <v>19</v>
      </c>
      <c r="S532" s="4"/>
      <c r="T532" s="4"/>
      <c r="U532" s="44"/>
      <c r="V532" s="4"/>
      <c r="W532" s="127"/>
      <c r="X532" s="74"/>
      <c r="Y532" s="28" t="e">
        <v>#REF!</v>
      </c>
      <c r="Z532" s="28"/>
      <c r="AA532" s="24">
        <v>0</v>
      </c>
      <c r="AB532" s="28">
        <v>0</v>
      </c>
    </row>
    <row r="533" spans="1:28" ht="14.25" customHeight="1" x14ac:dyDescent="0.4">
      <c r="A533">
        <v>137</v>
      </c>
      <c r="B533" s="34">
        <v>0</v>
      </c>
      <c r="C533" s="34" t="s">
        <v>2102</v>
      </c>
      <c r="D533" s="34">
        <v>0</v>
      </c>
      <c r="E533" s="32">
        <v>0</v>
      </c>
      <c r="F533" s="24">
        <v>0</v>
      </c>
      <c r="G533" s="24">
        <v>0</v>
      </c>
      <c r="H533" s="37">
        <v>534</v>
      </c>
      <c r="I533" s="23">
        <v>41395</v>
      </c>
      <c r="J533" s="37">
        <v>4</v>
      </c>
      <c r="K533" s="24" t="s">
        <v>410</v>
      </c>
      <c r="L533" s="24">
        <v>41395</v>
      </c>
      <c r="M533" s="32">
        <v>41068</v>
      </c>
      <c r="N533" s="22" t="s">
        <v>1802</v>
      </c>
      <c r="O533">
        <v>9130222</v>
      </c>
      <c r="P533" s="22">
        <v>1220</v>
      </c>
      <c r="Q533" s="22">
        <v>50</v>
      </c>
      <c r="R533" s="22">
        <v>20</v>
      </c>
      <c r="S533" s="4"/>
      <c r="T533" s="4"/>
      <c r="U533" s="44"/>
      <c r="V533" s="4"/>
      <c r="W533" s="127"/>
      <c r="X533" s="74"/>
      <c r="Y533" s="28" t="e">
        <v>#REF!</v>
      </c>
      <c r="Z533" s="9"/>
      <c r="AA533" s="24">
        <v>0</v>
      </c>
      <c r="AB533" s="28">
        <v>0</v>
      </c>
    </row>
    <row r="534" spans="1:28" ht="14.25" customHeight="1" x14ac:dyDescent="0.4">
      <c r="A534">
        <v>138</v>
      </c>
      <c r="B534" s="34">
        <v>0</v>
      </c>
      <c r="C534" s="34">
        <v>0</v>
      </c>
      <c r="D534" s="34">
        <v>0</v>
      </c>
      <c r="E534" s="32">
        <v>0</v>
      </c>
      <c r="F534" s="24">
        <v>0</v>
      </c>
      <c r="G534" s="24">
        <v>0</v>
      </c>
      <c r="H534" s="37">
        <v>459</v>
      </c>
      <c r="I534" s="23">
        <v>41334</v>
      </c>
      <c r="J534" s="37">
        <v>5</v>
      </c>
      <c r="K534" s="24" t="s">
        <v>410</v>
      </c>
      <c r="L534" s="24">
        <v>41334</v>
      </c>
      <c r="M534" s="32">
        <v>41068</v>
      </c>
      <c r="N534" s="22" t="s">
        <v>1802</v>
      </c>
      <c r="O534">
        <v>9130223</v>
      </c>
      <c r="P534" s="22">
        <v>1220</v>
      </c>
      <c r="Q534" s="22">
        <v>50</v>
      </c>
      <c r="R534" s="22">
        <v>21</v>
      </c>
      <c r="S534" s="4"/>
      <c r="T534" s="4"/>
      <c r="U534" s="42"/>
      <c r="V534" s="4"/>
      <c r="W534" s="28"/>
      <c r="X534" s="74"/>
      <c r="Y534" s="28" t="e">
        <v>#REF!</v>
      </c>
      <c r="Z534" s="28"/>
      <c r="AA534" s="24">
        <v>0</v>
      </c>
      <c r="AB534" s="28">
        <v>0</v>
      </c>
    </row>
    <row r="535" spans="1:28" ht="14.25" customHeight="1" x14ac:dyDescent="0.4">
      <c r="A535">
        <v>76</v>
      </c>
      <c r="B535" s="32">
        <v>0</v>
      </c>
      <c r="C535" s="32">
        <v>0</v>
      </c>
      <c r="D535" s="32">
        <v>0</v>
      </c>
      <c r="E535" s="32">
        <v>0</v>
      </c>
      <c r="F535" s="24">
        <v>0</v>
      </c>
      <c r="G535" s="24">
        <v>0</v>
      </c>
      <c r="H535" s="37">
        <v>380</v>
      </c>
      <c r="I535" s="23">
        <v>41275</v>
      </c>
      <c r="J535" s="37">
        <v>51</v>
      </c>
      <c r="K535" s="24" t="s">
        <v>410</v>
      </c>
      <c r="L535" s="24">
        <v>41275</v>
      </c>
      <c r="M535" s="32">
        <v>41065</v>
      </c>
      <c r="N535" s="22" t="s">
        <v>1925</v>
      </c>
      <c r="O535">
        <v>9130109</v>
      </c>
      <c r="P535" s="22">
        <v>720</v>
      </c>
      <c r="Q535" s="22">
        <v>50</v>
      </c>
      <c r="R535" s="22" t="s">
        <v>2489</v>
      </c>
      <c r="S535" s="61"/>
      <c r="T535" s="4" t="s">
        <v>404</v>
      </c>
      <c r="U535" s="164">
        <v>41166</v>
      </c>
      <c r="V535" s="4"/>
      <c r="W535" s="43"/>
      <c r="Y535" s="28" t="e">
        <v>#REF!</v>
      </c>
      <c r="AA535" s="24">
        <v>0</v>
      </c>
      <c r="AB535" s="28">
        <v>0</v>
      </c>
    </row>
    <row r="536" spans="1:28" ht="14.25" customHeight="1" x14ac:dyDescent="0.4">
      <c r="A536">
        <v>77</v>
      </c>
      <c r="B536" s="32">
        <v>0</v>
      </c>
      <c r="C536" s="32">
        <v>0</v>
      </c>
      <c r="D536" s="32">
        <v>0</v>
      </c>
      <c r="E536" s="32">
        <v>0</v>
      </c>
      <c r="F536" s="24">
        <v>0</v>
      </c>
      <c r="G536" s="24">
        <v>0</v>
      </c>
      <c r="H536" s="37">
        <v>496</v>
      </c>
      <c r="I536" s="23">
        <v>41334</v>
      </c>
      <c r="J536" s="37">
        <v>42</v>
      </c>
      <c r="K536" s="24" t="s">
        <v>410</v>
      </c>
      <c r="L536" s="24">
        <v>41334</v>
      </c>
      <c r="M536" s="32">
        <v>41065</v>
      </c>
      <c r="N536" s="22" t="s">
        <v>1925</v>
      </c>
      <c r="O536">
        <v>9130110</v>
      </c>
      <c r="P536" s="22">
        <v>720</v>
      </c>
      <c r="Q536" s="22">
        <v>50</v>
      </c>
      <c r="R536" s="22">
        <v>262506</v>
      </c>
      <c r="T536" s="4"/>
      <c r="U536" s="164"/>
      <c r="V536" s="4"/>
      <c r="W536" s="43"/>
      <c r="Y536" s="28" t="e">
        <v>#REF!</v>
      </c>
      <c r="AA536" s="24">
        <v>0</v>
      </c>
      <c r="AB536" s="28">
        <v>0</v>
      </c>
    </row>
    <row r="537" spans="1:28" ht="14.25" customHeight="1" x14ac:dyDescent="0.4">
      <c r="A537">
        <v>78</v>
      </c>
      <c r="B537" s="32">
        <v>41117</v>
      </c>
      <c r="C537" s="32">
        <v>41117</v>
      </c>
      <c r="D537" s="32">
        <v>41117</v>
      </c>
      <c r="E537" s="32">
        <v>41117</v>
      </c>
      <c r="F537" s="24" t="s">
        <v>393</v>
      </c>
      <c r="G537" s="24">
        <v>41128</v>
      </c>
      <c r="H537" s="37">
        <v>30</v>
      </c>
      <c r="I537" s="23">
        <v>41091</v>
      </c>
      <c r="J537" s="37">
        <v>30</v>
      </c>
      <c r="K537" s="24" t="s">
        <v>410</v>
      </c>
      <c r="L537" s="24">
        <v>41275</v>
      </c>
      <c r="M537" s="32">
        <v>41065</v>
      </c>
      <c r="N537" s="22" t="s">
        <v>1925</v>
      </c>
      <c r="O537">
        <v>9130111</v>
      </c>
      <c r="P537" s="22">
        <v>720</v>
      </c>
      <c r="Q537" s="22">
        <v>50</v>
      </c>
      <c r="R537" s="22">
        <v>262507</v>
      </c>
      <c r="S537" s="61"/>
      <c r="T537" s="4"/>
      <c r="U537" s="164"/>
      <c r="V537" s="4"/>
      <c r="W537" s="43"/>
      <c r="Y537" s="28" t="e">
        <v>#REF!</v>
      </c>
      <c r="AA537" s="24" t="s">
        <v>393</v>
      </c>
      <c r="AB537" s="28">
        <v>41128</v>
      </c>
    </row>
    <row r="538" spans="1:28" ht="14.25" customHeight="1" x14ac:dyDescent="0.4">
      <c r="A538">
        <v>79</v>
      </c>
      <c r="B538" s="32">
        <v>0</v>
      </c>
      <c r="C538" s="32">
        <v>0</v>
      </c>
      <c r="D538" s="32">
        <v>0</v>
      </c>
      <c r="E538" s="32">
        <v>0</v>
      </c>
      <c r="F538" s="24">
        <v>0</v>
      </c>
      <c r="G538" s="24">
        <v>0</v>
      </c>
      <c r="H538" s="37">
        <v>381</v>
      </c>
      <c r="I538" s="23">
        <v>41275</v>
      </c>
      <c r="J538" s="37">
        <v>52</v>
      </c>
      <c r="K538" s="24" t="s">
        <v>410</v>
      </c>
      <c r="L538" s="24">
        <v>41091</v>
      </c>
      <c r="M538" s="32">
        <v>41065</v>
      </c>
      <c r="N538" s="22" t="s">
        <v>1925</v>
      </c>
      <c r="O538">
        <v>9130113</v>
      </c>
      <c r="P538" s="22">
        <v>1025</v>
      </c>
      <c r="Q538" s="22">
        <v>50</v>
      </c>
      <c r="R538" s="22">
        <v>262508</v>
      </c>
      <c r="S538" s="159"/>
      <c r="T538" s="4"/>
      <c r="U538" s="164"/>
      <c r="V538" s="4"/>
      <c r="W538" s="43"/>
      <c r="Y538" s="28" t="e">
        <v>#REF!</v>
      </c>
      <c r="AA538" s="24">
        <v>0</v>
      </c>
      <c r="AB538" s="28">
        <v>0</v>
      </c>
    </row>
    <row r="539" spans="1:28" ht="14.25" customHeight="1" x14ac:dyDescent="0.4">
      <c r="A539">
        <v>80</v>
      </c>
      <c r="B539" s="32">
        <v>41107</v>
      </c>
      <c r="C539" s="32">
        <v>41107</v>
      </c>
      <c r="D539" s="32">
        <v>41107</v>
      </c>
      <c r="E539" s="32">
        <v>41107</v>
      </c>
      <c r="F539" s="24" t="s">
        <v>393</v>
      </c>
      <c r="G539" s="24">
        <v>41121</v>
      </c>
      <c r="H539" s="37">
        <v>11</v>
      </c>
      <c r="I539" s="23">
        <v>41091</v>
      </c>
      <c r="J539" s="37">
        <v>11</v>
      </c>
      <c r="K539" s="24" t="s">
        <v>410</v>
      </c>
      <c r="L539" s="24">
        <v>41091</v>
      </c>
      <c r="M539" s="32">
        <v>41065</v>
      </c>
      <c r="N539" s="22" t="s">
        <v>1925</v>
      </c>
      <c r="O539">
        <v>9130114</v>
      </c>
      <c r="P539" s="22">
        <v>1025</v>
      </c>
      <c r="Q539" s="22">
        <v>50</v>
      </c>
      <c r="R539" s="22">
        <v>262509</v>
      </c>
      <c r="S539" s="159"/>
      <c r="T539" s="4"/>
      <c r="U539" s="164"/>
      <c r="V539" s="4"/>
      <c r="W539" s="43"/>
      <c r="Y539" s="28" t="e">
        <v>#REF!</v>
      </c>
      <c r="AA539" s="24" t="s">
        <v>393</v>
      </c>
      <c r="AB539" s="28">
        <v>41121</v>
      </c>
    </row>
    <row r="540" spans="1:28" ht="14.25" customHeight="1" x14ac:dyDescent="0.4">
      <c r="A540">
        <v>81</v>
      </c>
      <c r="B540" s="32">
        <v>0</v>
      </c>
      <c r="C540" s="32">
        <v>0</v>
      </c>
      <c r="D540" s="32">
        <v>0</v>
      </c>
      <c r="E540" s="32">
        <v>0</v>
      </c>
      <c r="F540" s="24">
        <v>0</v>
      </c>
      <c r="G540" s="24">
        <v>0</v>
      </c>
      <c r="H540" s="37">
        <v>330</v>
      </c>
      <c r="I540" s="23">
        <v>41275</v>
      </c>
      <c r="J540" s="37">
        <v>1</v>
      </c>
      <c r="K540" s="24" t="s">
        <v>410</v>
      </c>
      <c r="L540" s="24">
        <v>41275</v>
      </c>
      <c r="M540" s="32">
        <v>41065</v>
      </c>
      <c r="N540" s="22" t="s">
        <v>1925</v>
      </c>
      <c r="O540">
        <v>9130117</v>
      </c>
      <c r="P540" s="22">
        <v>1220</v>
      </c>
      <c r="Q540" s="22">
        <v>50</v>
      </c>
      <c r="R540" s="22">
        <v>262510</v>
      </c>
      <c r="S540" s="159"/>
      <c r="T540" s="4"/>
      <c r="U540" s="164"/>
      <c r="V540" s="4"/>
      <c r="W540" s="43"/>
      <c r="Y540" s="28" t="e">
        <v>#REF!</v>
      </c>
      <c r="AA540" s="24">
        <v>0</v>
      </c>
      <c r="AB540" s="28">
        <v>0</v>
      </c>
    </row>
    <row r="541" spans="1:28" ht="14.25" customHeight="1" x14ac:dyDescent="0.4">
      <c r="A541">
        <v>82</v>
      </c>
      <c r="B541" s="32">
        <v>0</v>
      </c>
      <c r="C541" s="32">
        <v>0</v>
      </c>
      <c r="D541" s="32">
        <v>0</v>
      </c>
      <c r="E541" s="32">
        <v>0</v>
      </c>
      <c r="F541" s="24">
        <v>0</v>
      </c>
      <c r="G541" s="24">
        <v>0</v>
      </c>
      <c r="H541" s="37">
        <v>458</v>
      </c>
      <c r="I541" s="23">
        <v>41334</v>
      </c>
      <c r="J541" s="37">
        <v>4</v>
      </c>
      <c r="K541" s="24" t="s">
        <v>410</v>
      </c>
      <c r="L541" s="24">
        <v>41334</v>
      </c>
      <c r="M541" s="32">
        <v>41065</v>
      </c>
      <c r="N541" s="22" t="s">
        <v>1925</v>
      </c>
      <c r="O541">
        <v>9130120</v>
      </c>
      <c r="P541" s="22">
        <v>1220</v>
      </c>
      <c r="Q541" s="22">
        <v>50</v>
      </c>
      <c r="R541" s="22">
        <v>262511</v>
      </c>
      <c r="S541" s="159"/>
      <c r="T541" s="4"/>
      <c r="U541" s="164"/>
      <c r="V541" s="4"/>
      <c r="W541" s="43"/>
      <c r="Y541" s="28" t="e">
        <v>#REF!</v>
      </c>
      <c r="AA541" s="24">
        <v>0</v>
      </c>
      <c r="AB541" s="28">
        <v>0</v>
      </c>
    </row>
    <row r="542" spans="1:28" ht="14.25" customHeight="1" x14ac:dyDescent="0.4">
      <c r="A542">
        <v>350</v>
      </c>
      <c r="B542" s="32">
        <v>41138</v>
      </c>
      <c r="C542" s="32">
        <v>41138</v>
      </c>
      <c r="D542" s="32">
        <v>41138</v>
      </c>
      <c r="E542" s="32">
        <v>41138</v>
      </c>
      <c r="F542" s="24" t="s">
        <v>392</v>
      </c>
      <c r="G542" s="24">
        <v>41151</v>
      </c>
      <c r="H542" s="37">
        <v>66</v>
      </c>
      <c r="I542" s="23">
        <v>41122</v>
      </c>
      <c r="J542" s="37">
        <v>34</v>
      </c>
      <c r="K542" s="24" t="s">
        <v>410</v>
      </c>
      <c r="L542" s="24">
        <v>41122</v>
      </c>
      <c r="M542" s="32">
        <v>41072</v>
      </c>
      <c r="N542" s="22" t="s">
        <v>667</v>
      </c>
      <c r="O542">
        <v>9130543</v>
      </c>
      <c r="P542" s="22" t="s">
        <v>2312</v>
      </c>
      <c r="Q542" s="22">
        <v>50</v>
      </c>
      <c r="R542" s="22" t="s">
        <v>2490</v>
      </c>
      <c r="T542" s="4" t="s">
        <v>404</v>
      </c>
      <c r="U542" s="164">
        <v>41092</v>
      </c>
      <c r="V542" s="4"/>
      <c r="Y542" s="28" t="e">
        <v>#REF!</v>
      </c>
      <c r="AA542" s="24" t="s">
        <v>392</v>
      </c>
      <c r="AB542" s="28">
        <v>41151</v>
      </c>
    </row>
    <row r="543" spans="1:28" ht="14.25" customHeight="1" x14ac:dyDescent="0.4">
      <c r="A543">
        <v>351</v>
      </c>
      <c r="B543" s="32">
        <v>41123</v>
      </c>
      <c r="C543" s="32">
        <v>41123</v>
      </c>
      <c r="D543" s="32">
        <v>41123</v>
      </c>
      <c r="E543" s="32">
        <v>41123</v>
      </c>
      <c r="F543" s="24" t="s">
        <v>392</v>
      </c>
      <c r="G543" s="24">
        <v>41134</v>
      </c>
      <c r="H543" s="37">
        <v>35</v>
      </c>
      <c r="I543" s="23">
        <v>41122</v>
      </c>
      <c r="J543" s="37">
        <v>3</v>
      </c>
      <c r="K543" s="24" t="s">
        <v>410</v>
      </c>
      <c r="L543" s="24">
        <v>41214</v>
      </c>
      <c r="M543" s="32">
        <v>41072</v>
      </c>
      <c r="N543" s="22" t="s">
        <v>667</v>
      </c>
      <c r="O543">
        <v>9130544</v>
      </c>
      <c r="P543" s="22">
        <v>720</v>
      </c>
      <c r="Q543" s="22">
        <v>42</v>
      </c>
      <c r="R543" s="22" t="s">
        <v>2491</v>
      </c>
      <c r="T543" s="4"/>
      <c r="U543" s="164"/>
      <c r="V543" s="4"/>
      <c r="Y543" s="28" t="e">
        <v>#REF!</v>
      </c>
      <c r="AA543" s="24" t="s">
        <v>392</v>
      </c>
      <c r="AB543" s="28">
        <v>41134</v>
      </c>
    </row>
    <row r="544" spans="1:28" ht="14.25" customHeight="1" x14ac:dyDescent="0.4">
      <c r="A544">
        <v>458</v>
      </c>
      <c r="B544" s="34">
        <v>0</v>
      </c>
      <c r="C544" s="34">
        <v>0</v>
      </c>
      <c r="D544" s="34">
        <v>0</v>
      </c>
      <c r="E544" s="32">
        <v>41131</v>
      </c>
      <c r="F544" s="24" t="s">
        <v>393</v>
      </c>
      <c r="G544" s="24">
        <v>41138</v>
      </c>
      <c r="H544" s="37">
        <v>52</v>
      </c>
      <c r="I544" s="23">
        <v>41122</v>
      </c>
      <c r="J544" s="37">
        <v>20</v>
      </c>
      <c r="K544" s="24" t="s">
        <v>410</v>
      </c>
      <c r="L544" s="24">
        <v>0</v>
      </c>
      <c r="M544" s="32">
        <v>41104</v>
      </c>
      <c r="N544" s="22" t="s">
        <v>1822</v>
      </c>
      <c r="O544">
        <v>9130737</v>
      </c>
      <c r="P544" s="22">
        <v>720</v>
      </c>
      <c r="Q544" s="22">
        <v>42</v>
      </c>
      <c r="R544" s="22" t="s">
        <v>68</v>
      </c>
      <c r="S544" s="4"/>
      <c r="T544" s="4"/>
      <c r="U544" s="42"/>
      <c r="V544" s="4"/>
      <c r="W544" s="9"/>
      <c r="X544" s="74"/>
      <c r="Y544" s="28" t="e">
        <v>#REF!</v>
      </c>
      <c r="Z544" s="28"/>
      <c r="AA544" s="24" t="s">
        <v>393</v>
      </c>
      <c r="AB544" s="28">
        <v>41138</v>
      </c>
    </row>
    <row r="545" spans="1:28" ht="14.25" customHeight="1" x14ac:dyDescent="0.4">
      <c r="A545">
        <v>459</v>
      </c>
      <c r="B545" s="34">
        <v>0</v>
      </c>
      <c r="C545" s="34">
        <v>0</v>
      </c>
      <c r="D545" s="34">
        <v>0</v>
      </c>
      <c r="E545" s="32">
        <v>41131</v>
      </c>
      <c r="F545" s="24" t="s">
        <v>393</v>
      </c>
      <c r="G545" s="24">
        <v>41145</v>
      </c>
      <c r="H545" s="37">
        <v>53</v>
      </c>
      <c r="I545" s="23">
        <v>41122</v>
      </c>
      <c r="J545" s="37">
        <v>21</v>
      </c>
      <c r="K545" s="24" t="s">
        <v>410</v>
      </c>
      <c r="L545" s="24">
        <v>0</v>
      </c>
      <c r="M545" s="32">
        <v>41104</v>
      </c>
      <c r="N545" s="22" t="s">
        <v>1822</v>
      </c>
      <c r="O545">
        <v>9130739</v>
      </c>
      <c r="P545" s="22">
        <v>720</v>
      </c>
      <c r="Q545" s="22">
        <v>42</v>
      </c>
      <c r="R545" s="22" t="s">
        <v>69</v>
      </c>
      <c r="S545" s="4"/>
      <c r="T545" s="4"/>
      <c r="U545" s="42"/>
      <c r="V545" s="4"/>
      <c r="W545" s="28"/>
      <c r="X545" s="74"/>
      <c r="Y545" s="28" t="e">
        <v>#REF!</v>
      </c>
      <c r="Z545" s="28"/>
      <c r="AA545" s="24" t="s">
        <v>393</v>
      </c>
      <c r="AB545" s="28">
        <v>41145</v>
      </c>
    </row>
    <row r="546" spans="1:28" ht="14.25" customHeight="1" x14ac:dyDescent="0.4">
      <c r="A546">
        <v>285</v>
      </c>
      <c r="B546" s="32">
        <v>0</v>
      </c>
      <c r="C546" s="32">
        <v>0</v>
      </c>
      <c r="D546" s="32">
        <v>0</v>
      </c>
      <c r="E546" s="32">
        <v>0</v>
      </c>
      <c r="F546" s="24">
        <v>0</v>
      </c>
      <c r="G546" s="24">
        <v>0</v>
      </c>
      <c r="H546" s="37">
        <v>507</v>
      </c>
      <c r="I546" s="23">
        <v>41334</v>
      </c>
      <c r="J546" s="37">
        <v>53</v>
      </c>
      <c r="K546" s="24" t="s">
        <v>410</v>
      </c>
      <c r="L546" s="24">
        <v>41334</v>
      </c>
      <c r="M546" s="32">
        <v>41123</v>
      </c>
      <c r="N546" s="22" t="s">
        <v>1822</v>
      </c>
      <c r="O546">
        <v>9130742</v>
      </c>
      <c r="P546" s="22">
        <v>1220</v>
      </c>
      <c r="Q546" s="22">
        <v>50</v>
      </c>
      <c r="R546" s="22">
        <v>0</v>
      </c>
      <c r="S546" s="102"/>
      <c r="T546" s="4"/>
      <c r="U546" s="94"/>
      <c r="V546" s="4"/>
      <c r="W546" s="92"/>
      <c r="X546" s="74">
        <v>0</v>
      </c>
      <c r="Y546" s="28" t="e">
        <v>#REF!</v>
      </c>
      <c r="Z546" s="9"/>
      <c r="AA546" s="24">
        <v>0</v>
      </c>
      <c r="AB546" s="28">
        <v>0</v>
      </c>
    </row>
    <row r="547" spans="1:28" ht="14.25" customHeight="1" x14ac:dyDescent="0.4">
      <c r="A547">
        <v>286</v>
      </c>
      <c r="B547" s="32">
        <v>0</v>
      </c>
      <c r="C547" s="32">
        <v>0</v>
      </c>
      <c r="D547" s="32">
        <v>0</v>
      </c>
      <c r="E547" s="32">
        <v>0</v>
      </c>
      <c r="F547" s="24">
        <v>0</v>
      </c>
      <c r="G547" s="24">
        <v>0</v>
      </c>
      <c r="H547" s="37">
        <v>520</v>
      </c>
      <c r="I547" s="23">
        <v>41365</v>
      </c>
      <c r="J547" s="37">
        <v>9</v>
      </c>
      <c r="K547" s="24" t="s">
        <v>410</v>
      </c>
      <c r="L547" s="24">
        <v>41365</v>
      </c>
      <c r="M547" s="32">
        <v>41123</v>
      </c>
      <c r="N547" s="22" t="s">
        <v>1822</v>
      </c>
      <c r="O547">
        <v>9130745</v>
      </c>
      <c r="P547" s="22">
        <v>1220</v>
      </c>
      <c r="Q547" s="22">
        <v>50</v>
      </c>
      <c r="R547" s="22">
        <v>0</v>
      </c>
      <c r="S547" s="102"/>
      <c r="T547" s="4"/>
      <c r="U547" s="94"/>
      <c r="V547" s="4"/>
      <c r="W547" s="92"/>
      <c r="X547" s="74"/>
      <c r="Y547" s="28" t="e">
        <v>#REF!</v>
      </c>
      <c r="Z547" s="9"/>
      <c r="AA547" s="24">
        <v>0</v>
      </c>
      <c r="AB547" s="28">
        <v>0</v>
      </c>
    </row>
    <row r="548" spans="1:28" ht="14.25" customHeight="1" x14ac:dyDescent="0.4">
      <c r="A548">
        <v>287</v>
      </c>
      <c r="B548" s="34">
        <v>0</v>
      </c>
      <c r="C548" s="34" t="s">
        <v>2102</v>
      </c>
      <c r="D548" s="34">
        <v>0</v>
      </c>
      <c r="E548" s="32">
        <v>0</v>
      </c>
      <c r="F548" s="24">
        <v>0</v>
      </c>
      <c r="G548" s="24">
        <v>0</v>
      </c>
      <c r="H548" s="37">
        <v>521</v>
      </c>
      <c r="I548" s="23">
        <v>41365</v>
      </c>
      <c r="J548" s="37">
        <v>10</v>
      </c>
      <c r="K548" s="24" t="s">
        <v>410</v>
      </c>
      <c r="L548" s="24">
        <v>41365</v>
      </c>
      <c r="M548" s="32">
        <v>41123</v>
      </c>
      <c r="N548" s="22" t="s">
        <v>1822</v>
      </c>
      <c r="O548">
        <v>9130746</v>
      </c>
      <c r="P548" s="22">
        <v>1220</v>
      </c>
      <c r="Q548" s="22">
        <v>50</v>
      </c>
      <c r="R548" s="22">
        <v>0</v>
      </c>
      <c r="S548" s="55"/>
      <c r="T548" s="4"/>
      <c r="U548" s="94"/>
      <c r="V548" s="4"/>
      <c r="W548" s="92"/>
      <c r="X548" s="74"/>
      <c r="Y548" s="28" t="e">
        <v>#REF!</v>
      </c>
      <c r="Z548" s="28"/>
      <c r="AA548" s="24">
        <v>0</v>
      </c>
      <c r="AB548" s="28">
        <v>0</v>
      </c>
    </row>
    <row r="549" spans="1:28" ht="14.25" customHeight="1" x14ac:dyDescent="0.4">
      <c r="A549">
        <v>461</v>
      </c>
      <c r="B549" s="34">
        <v>0</v>
      </c>
      <c r="C549" s="34" t="s">
        <v>2165</v>
      </c>
      <c r="D549" s="34">
        <v>0</v>
      </c>
      <c r="E549" s="32">
        <v>0</v>
      </c>
      <c r="F549" s="24">
        <v>0</v>
      </c>
      <c r="G549" s="24">
        <v>0</v>
      </c>
      <c r="H549" s="37">
        <v>541</v>
      </c>
      <c r="I549" s="23">
        <v>41395</v>
      </c>
      <c r="J549" s="37">
        <v>11</v>
      </c>
      <c r="K549" s="24" t="s">
        <v>410</v>
      </c>
      <c r="L549" s="24">
        <v>41395</v>
      </c>
      <c r="M549" s="32">
        <v>41123</v>
      </c>
      <c r="N549" s="22" t="s">
        <v>1822</v>
      </c>
      <c r="O549">
        <v>9130747</v>
      </c>
      <c r="P549" s="22">
        <v>1220</v>
      </c>
      <c r="Q549" s="22">
        <v>50</v>
      </c>
      <c r="R549" s="22">
        <v>0</v>
      </c>
      <c r="S549" s="38"/>
      <c r="T549" s="4"/>
      <c r="U549" s="44"/>
      <c r="V549" s="4"/>
      <c r="W549" s="57"/>
      <c r="X549" s="74"/>
      <c r="Y549" s="28" t="e">
        <v>#REF!</v>
      </c>
      <c r="AA549" s="24">
        <v>0</v>
      </c>
      <c r="AB549" s="28">
        <v>0</v>
      </c>
    </row>
    <row r="550" spans="1:28" ht="14.25" customHeight="1" x14ac:dyDescent="0.4">
      <c r="A550">
        <v>165</v>
      </c>
      <c r="B550" s="34">
        <v>0</v>
      </c>
      <c r="C550" s="34" t="s">
        <v>2102</v>
      </c>
      <c r="D550" s="34">
        <v>0</v>
      </c>
      <c r="E550" s="32">
        <v>0</v>
      </c>
      <c r="F550" s="24">
        <v>0</v>
      </c>
      <c r="G550" s="24">
        <v>0</v>
      </c>
      <c r="H550" s="37">
        <v>457</v>
      </c>
      <c r="I550" s="23">
        <v>41334</v>
      </c>
      <c r="J550" s="37">
        <v>3</v>
      </c>
      <c r="K550" s="24" t="s">
        <v>410</v>
      </c>
      <c r="L550" s="24">
        <v>41334</v>
      </c>
      <c r="M550" s="32">
        <v>41068</v>
      </c>
      <c r="N550" s="22" t="s">
        <v>1746</v>
      </c>
      <c r="O550">
        <v>9130263</v>
      </c>
      <c r="P550" s="22">
        <v>720</v>
      </c>
      <c r="Q550" s="22">
        <v>50</v>
      </c>
      <c r="R550" s="22">
        <v>1</v>
      </c>
      <c r="S550" s="1"/>
      <c r="T550" s="4"/>
      <c r="U550" s="94"/>
      <c r="V550" s="4"/>
      <c r="W550" s="92"/>
      <c r="X550" s="74"/>
      <c r="Y550" s="28" t="e">
        <v>#REF!</v>
      </c>
      <c r="Z550" s="9"/>
      <c r="AA550" s="24">
        <v>0</v>
      </c>
      <c r="AB550" s="28">
        <v>0</v>
      </c>
    </row>
    <row r="551" spans="1:28" ht="14.25" customHeight="1" x14ac:dyDescent="0.4">
      <c r="A551">
        <v>167</v>
      </c>
      <c r="B551" s="34">
        <v>0</v>
      </c>
      <c r="C551" s="34" t="s">
        <v>2102</v>
      </c>
      <c r="D551" s="34">
        <v>0</v>
      </c>
      <c r="E551" s="32">
        <v>0</v>
      </c>
      <c r="F551" s="24">
        <v>0</v>
      </c>
      <c r="G551" s="24">
        <v>0</v>
      </c>
      <c r="H551" s="37">
        <v>456</v>
      </c>
      <c r="I551" s="23">
        <v>41334</v>
      </c>
      <c r="J551" s="37">
        <v>2</v>
      </c>
      <c r="K551" s="24" t="s">
        <v>410</v>
      </c>
      <c r="L551" s="24">
        <v>41334</v>
      </c>
      <c r="M551" s="32">
        <v>41068</v>
      </c>
      <c r="N551" s="22" t="s">
        <v>1746</v>
      </c>
      <c r="O551">
        <v>9130266</v>
      </c>
      <c r="P551" s="22">
        <v>720</v>
      </c>
      <c r="Q551" s="22">
        <v>50</v>
      </c>
      <c r="R551" s="22">
        <v>3</v>
      </c>
      <c r="S551" s="102"/>
      <c r="T551" s="4"/>
      <c r="U551" s="94"/>
      <c r="V551" s="4"/>
      <c r="W551" s="92"/>
      <c r="X551" s="74"/>
      <c r="Y551" s="28" t="e">
        <v>#REF!</v>
      </c>
      <c r="Z551" s="28"/>
      <c r="AA551" s="24">
        <v>0</v>
      </c>
      <c r="AB551" s="28">
        <v>0</v>
      </c>
    </row>
    <row r="552" spans="1:28" ht="14.25" customHeight="1" x14ac:dyDescent="0.4">
      <c r="A552">
        <v>168</v>
      </c>
      <c r="B552" s="34">
        <v>0</v>
      </c>
      <c r="C552" s="34" t="s">
        <v>2165</v>
      </c>
      <c r="D552" s="34">
        <v>0</v>
      </c>
      <c r="E552" s="32">
        <v>0</v>
      </c>
      <c r="F552" s="24">
        <v>0</v>
      </c>
      <c r="G552" s="24">
        <v>0</v>
      </c>
      <c r="H552" s="37">
        <v>455</v>
      </c>
      <c r="I552" s="23">
        <v>41334</v>
      </c>
      <c r="J552" s="37">
        <v>1</v>
      </c>
      <c r="K552" s="24" t="s">
        <v>410</v>
      </c>
      <c r="L552" s="24">
        <v>41334</v>
      </c>
      <c r="M552" s="32">
        <v>41068</v>
      </c>
      <c r="N552" s="22" t="s">
        <v>1746</v>
      </c>
      <c r="O552">
        <v>9130267</v>
      </c>
      <c r="P552" s="22">
        <v>1025</v>
      </c>
      <c r="Q552" s="22">
        <v>50</v>
      </c>
      <c r="R552" s="22">
        <v>4</v>
      </c>
      <c r="S552" s="4"/>
      <c r="T552" s="4"/>
      <c r="U552" s="94"/>
      <c r="V552" s="4"/>
      <c r="W552" s="92"/>
      <c r="X552" s="74"/>
      <c r="Y552" s="28" t="e">
        <v>#REF!</v>
      </c>
      <c r="Z552" s="9"/>
      <c r="AA552" s="24">
        <v>0</v>
      </c>
      <c r="AB552" s="28">
        <v>0</v>
      </c>
    </row>
    <row r="553" spans="1:28" ht="14.25" customHeight="1" x14ac:dyDescent="0.4">
      <c r="A553">
        <v>169</v>
      </c>
      <c r="B553" s="34">
        <v>0</v>
      </c>
      <c r="C553" s="34" t="s">
        <v>2102</v>
      </c>
      <c r="D553" s="34">
        <v>0</v>
      </c>
      <c r="E553" s="32">
        <v>0</v>
      </c>
      <c r="F553" s="24">
        <v>0</v>
      </c>
      <c r="G553" s="24">
        <v>0</v>
      </c>
      <c r="H553" s="37">
        <v>385</v>
      </c>
      <c r="I553" s="23">
        <v>41275</v>
      </c>
      <c r="J553" s="37">
        <v>56</v>
      </c>
      <c r="K553" s="24" t="s">
        <v>410</v>
      </c>
      <c r="L553" s="24">
        <v>41275</v>
      </c>
      <c r="M553" s="32">
        <v>41068</v>
      </c>
      <c r="N553" s="22" t="s">
        <v>1746</v>
      </c>
      <c r="O553">
        <v>9130268</v>
      </c>
      <c r="P553" s="22">
        <v>720</v>
      </c>
      <c r="Q553" s="22">
        <v>50</v>
      </c>
      <c r="R553" s="22">
        <v>5</v>
      </c>
      <c r="S553" s="4"/>
      <c r="T553" s="4"/>
      <c r="U553" s="44"/>
      <c r="V553" s="4"/>
      <c r="W553" s="57"/>
      <c r="X553" s="74"/>
      <c r="Y553" s="28" t="e">
        <v>#REF!</v>
      </c>
      <c r="Z553" s="9"/>
      <c r="AA553" s="24">
        <v>0</v>
      </c>
      <c r="AB553" s="28">
        <v>0</v>
      </c>
    </row>
    <row r="554" spans="1:28" ht="14.25" customHeight="1" x14ac:dyDescent="0.4">
      <c r="A554">
        <v>170</v>
      </c>
      <c r="B554" s="34">
        <v>0</v>
      </c>
      <c r="C554" s="34" t="s">
        <v>2165</v>
      </c>
      <c r="D554" s="34">
        <v>0</v>
      </c>
      <c r="E554" s="32">
        <v>0</v>
      </c>
      <c r="F554" s="24">
        <v>0</v>
      </c>
      <c r="G554" s="24">
        <v>0</v>
      </c>
      <c r="H554" s="37">
        <v>353</v>
      </c>
      <c r="I554" s="23">
        <v>41275</v>
      </c>
      <c r="J554" s="37">
        <v>24</v>
      </c>
      <c r="K554" s="24" t="s">
        <v>410</v>
      </c>
      <c r="L554" s="24">
        <v>41275</v>
      </c>
      <c r="M554" s="32">
        <v>41068</v>
      </c>
      <c r="N554" s="22" t="s">
        <v>1746</v>
      </c>
      <c r="O554">
        <v>9130269</v>
      </c>
      <c r="P554" s="22">
        <v>1025</v>
      </c>
      <c r="Q554" s="22">
        <v>50</v>
      </c>
      <c r="R554" s="22">
        <v>6</v>
      </c>
      <c r="S554" s="4"/>
      <c r="T554" s="4"/>
      <c r="U554" s="44"/>
      <c r="V554" s="4"/>
      <c r="W554" s="127"/>
      <c r="X554" s="74"/>
      <c r="Y554" s="28" t="e">
        <v>#REF!</v>
      </c>
      <c r="Z554" s="9"/>
      <c r="AA554" s="24">
        <v>0</v>
      </c>
      <c r="AB554" s="28">
        <v>0</v>
      </c>
    </row>
    <row r="555" spans="1:28" ht="14.25" customHeight="1" x14ac:dyDescent="0.4">
      <c r="A555">
        <v>171</v>
      </c>
      <c r="B555" s="34">
        <v>0</v>
      </c>
      <c r="C555" s="34" t="s">
        <v>2102</v>
      </c>
      <c r="D555" s="34">
        <v>0</v>
      </c>
      <c r="E555" s="32">
        <v>0</v>
      </c>
      <c r="F555" s="24">
        <v>0</v>
      </c>
      <c r="G555" s="24">
        <v>0</v>
      </c>
      <c r="H555" s="37">
        <v>266</v>
      </c>
      <c r="I555" s="23">
        <v>41214</v>
      </c>
      <c r="J555" s="37">
        <v>45</v>
      </c>
      <c r="K555" s="24" t="s">
        <v>410</v>
      </c>
      <c r="L555" s="24">
        <v>41214</v>
      </c>
      <c r="M555" s="32">
        <v>41068</v>
      </c>
      <c r="N555" s="22" t="s">
        <v>1746</v>
      </c>
      <c r="O555">
        <v>9130270</v>
      </c>
      <c r="P555" s="22">
        <v>720</v>
      </c>
      <c r="Q555" s="22">
        <v>50</v>
      </c>
      <c r="R555" s="22">
        <v>7</v>
      </c>
      <c r="S555" s="4"/>
      <c r="T555" s="4"/>
      <c r="U555" s="44"/>
      <c r="V555" s="4"/>
      <c r="W555" s="127"/>
      <c r="X555" s="74"/>
      <c r="Y555" s="28" t="e">
        <v>#REF!</v>
      </c>
      <c r="Z555" s="28"/>
      <c r="AA555" s="24">
        <v>0</v>
      </c>
      <c r="AB555" s="28">
        <v>0</v>
      </c>
    </row>
    <row r="556" spans="1:28" ht="14.25" customHeight="1" x14ac:dyDescent="0.4">
      <c r="A556">
        <v>172</v>
      </c>
      <c r="B556" s="34">
        <v>0</v>
      </c>
      <c r="C556" s="34" t="s">
        <v>2165</v>
      </c>
      <c r="D556" s="34">
        <v>0</v>
      </c>
      <c r="E556" s="32">
        <v>0</v>
      </c>
      <c r="F556" s="24">
        <v>0</v>
      </c>
      <c r="G556" s="24">
        <v>0</v>
      </c>
      <c r="H556" s="37">
        <v>223</v>
      </c>
      <c r="I556" s="23">
        <v>41214</v>
      </c>
      <c r="J556" s="37">
        <v>2</v>
      </c>
      <c r="K556" s="24" t="s">
        <v>410</v>
      </c>
      <c r="L556" s="24">
        <v>41214</v>
      </c>
      <c r="M556" s="32">
        <v>41068</v>
      </c>
      <c r="N556" s="22" t="s">
        <v>1746</v>
      </c>
      <c r="O556">
        <v>9130271</v>
      </c>
      <c r="P556" s="22">
        <v>1220</v>
      </c>
      <c r="Q556" s="22">
        <v>50</v>
      </c>
      <c r="R556" s="22">
        <v>8</v>
      </c>
      <c r="S556" s="4"/>
      <c r="T556" s="4"/>
      <c r="U556" s="44"/>
      <c r="V556" s="4"/>
      <c r="W556" s="127"/>
      <c r="X556" s="74"/>
      <c r="Y556" s="28" t="e">
        <v>#REF!</v>
      </c>
      <c r="Z556" s="9"/>
      <c r="AA556" s="24">
        <v>0</v>
      </c>
      <c r="AB556" s="28">
        <v>0</v>
      </c>
    </row>
    <row r="557" spans="1:28" ht="14.25" customHeight="1" x14ac:dyDescent="0.4">
      <c r="A557">
        <v>515</v>
      </c>
      <c r="B557" s="32">
        <v>41178</v>
      </c>
      <c r="C557" s="32">
        <v>41178</v>
      </c>
      <c r="D557" s="32">
        <v>41178</v>
      </c>
      <c r="E557" s="32">
        <v>41178</v>
      </c>
      <c r="F557" s="24" t="s">
        <v>422</v>
      </c>
      <c r="G557" s="24">
        <v>0</v>
      </c>
      <c r="H557" s="37">
        <v>145</v>
      </c>
      <c r="I557" s="23">
        <v>41153</v>
      </c>
      <c r="J557" s="37">
        <v>50</v>
      </c>
      <c r="K557" s="24" t="s">
        <v>410</v>
      </c>
      <c r="L557" s="24">
        <v>41153</v>
      </c>
      <c r="M557" s="32">
        <v>41162</v>
      </c>
      <c r="N557" s="22" t="s">
        <v>611</v>
      </c>
      <c r="O557">
        <v>9130856</v>
      </c>
      <c r="P557" s="22">
        <v>1025</v>
      </c>
      <c r="Q557" s="22">
        <v>50</v>
      </c>
      <c r="R557" s="22">
        <v>0</v>
      </c>
      <c r="T557" s="4"/>
      <c r="U557" s="164"/>
      <c r="V557" s="4"/>
      <c r="W557" s="62"/>
      <c r="Y557" s="28" t="e">
        <v>#REF!</v>
      </c>
      <c r="AA557" s="24" t="s">
        <v>422</v>
      </c>
      <c r="AB557" s="28">
        <v>0</v>
      </c>
    </row>
    <row r="558" spans="1:28" ht="14.25" customHeight="1" x14ac:dyDescent="0.4">
      <c r="A558">
        <v>407</v>
      </c>
      <c r="B558" s="34">
        <v>0</v>
      </c>
      <c r="C558" s="34">
        <v>0</v>
      </c>
      <c r="D558" s="34">
        <v>0</v>
      </c>
      <c r="E558" s="32">
        <v>0</v>
      </c>
      <c r="F558" s="24">
        <v>0</v>
      </c>
      <c r="G558" s="24">
        <v>0</v>
      </c>
      <c r="H558" s="37">
        <v>0</v>
      </c>
      <c r="I558" s="23">
        <v>0</v>
      </c>
      <c r="J558" s="37">
        <v>0</v>
      </c>
      <c r="K558" s="24">
        <v>0</v>
      </c>
      <c r="L558" s="24">
        <v>0</v>
      </c>
      <c r="M558" s="32">
        <v>0</v>
      </c>
      <c r="N558" s="22">
        <v>0</v>
      </c>
      <c r="O558">
        <v>9130648</v>
      </c>
      <c r="P558" s="22">
        <v>720</v>
      </c>
      <c r="Q558" s="22">
        <v>42</v>
      </c>
      <c r="R558" s="22">
        <v>0</v>
      </c>
      <c r="S558" s="4"/>
      <c r="T558" s="4"/>
      <c r="U558" s="44"/>
      <c r="V558" s="4"/>
      <c r="W558" s="9"/>
      <c r="X558" s="74"/>
      <c r="Y558" s="28" t="e">
        <v>#REF!</v>
      </c>
      <c r="Z558" s="28"/>
      <c r="AA558" s="24">
        <v>0</v>
      </c>
      <c r="AB558" s="28">
        <v>0</v>
      </c>
    </row>
    <row r="559" spans="1:28" ht="14.25" customHeight="1" x14ac:dyDescent="0.4">
      <c r="A559">
        <v>408</v>
      </c>
      <c r="B559" s="34">
        <v>0</v>
      </c>
      <c r="C559" s="34" t="s">
        <v>2165</v>
      </c>
      <c r="D559" s="34">
        <v>0</v>
      </c>
      <c r="E559" s="32">
        <v>0</v>
      </c>
      <c r="F559" s="24">
        <v>0</v>
      </c>
      <c r="G559" s="24">
        <v>0</v>
      </c>
      <c r="H559" s="37">
        <v>0</v>
      </c>
      <c r="I559" s="23">
        <v>0</v>
      </c>
      <c r="J559" s="37">
        <v>0</v>
      </c>
      <c r="K559" s="24">
        <v>0</v>
      </c>
      <c r="L559" s="24">
        <v>0</v>
      </c>
      <c r="M559" s="32">
        <v>0</v>
      </c>
      <c r="N559" s="22">
        <v>0</v>
      </c>
      <c r="O559">
        <v>9130649</v>
      </c>
      <c r="P559" s="22">
        <v>720</v>
      </c>
      <c r="Q559" s="22">
        <v>42</v>
      </c>
      <c r="R559" s="22">
        <v>0</v>
      </c>
      <c r="S559" s="55"/>
      <c r="T559" s="4"/>
      <c r="U559" s="94"/>
      <c r="V559" s="4"/>
      <c r="W559" s="92"/>
      <c r="X559" s="74"/>
      <c r="Y559" s="28" t="e">
        <v>#REF!</v>
      </c>
      <c r="Z559" s="9"/>
      <c r="AA559" s="24">
        <v>0</v>
      </c>
      <c r="AB559" s="28">
        <v>0</v>
      </c>
    </row>
    <row r="560" spans="1:28" ht="14.25" customHeight="1" x14ac:dyDescent="0.4">
      <c r="A560">
        <v>599</v>
      </c>
      <c r="B560" s="34">
        <v>0</v>
      </c>
      <c r="C560" s="34">
        <v>0</v>
      </c>
      <c r="D560" s="34">
        <v>0</v>
      </c>
      <c r="E560" s="32">
        <v>0</v>
      </c>
      <c r="F560" s="24">
        <v>0</v>
      </c>
      <c r="G560" s="24">
        <v>0</v>
      </c>
      <c r="H560" s="37">
        <v>0</v>
      </c>
      <c r="I560" s="23">
        <v>0</v>
      </c>
      <c r="J560" s="37">
        <v>0</v>
      </c>
      <c r="K560" s="24">
        <v>0</v>
      </c>
      <c r="L560" s="24">
        <v>0</v>
      </c>
      <c r="M560" s="32">
        <v>0</v>
      </c>
      <c r="N560" s="22">
        <v>0</v>
      </c>
      <c r="O560">
        <v>9130660</v>
      </c>
      <c r="P560" s="22">
        <v>720</v>
      </c>
      <c r="Q560" s="22">
        <v>50</v>
      </c>
      <c r="R560" s="22">
        <v>0</v>
      </c>
      <c r="T560" s="4"/>
      <c r="V560" s="4"/>
      <c r="AA560" s="24">
        <v>0</v>
      </c>
      <c r="AB560" s="28">
        <v>0</v>
      </c>
    </row>
    <row r="561" spans="1:28" ht="14.25" customHeight="1" x14ac:dyDescent="0.4">
      <c r="A561" s="64">
        <v>600</v>
      </c>
      <c r="B561" s="34">
        <v>0</v>
      </c>
      <c r="C561" s="34">
        <v>0</v>
      </c>
      <c r="D561" s="34">
        <v>0</v>
      </c>
      <c r="E561" s="32">
        <v>0</v>
      </c>
      <c r="F561" s="24">
        <v>0</v>
      </c>
      <c r="G561" s="24">
        <v>0</v>
      </c>
      <c r="H561" s="37">
        <v>0</v>
      </c>
      <c r="I561" s="23">
        <v>0</v>
      </c>
      <c r="J561" s="37">
        <v>0</v>
      </c>
      <c r="K561" s="24">
        <v>0</v>
      </c>
      <c r="L561" s="24">
        <v>0</v>
      </c>
      <c r="M561" s="32">
        <v>0</v>
      </c>
      <c r="N561" s="22">
        <v>0</v>
      </c>
      <c r="O561">
        <v>9130661</v>
      </c>
      <c r="P561" s="22">
        <v>720</v>
      </c>
      <c r="Q561" s="22">
        <v>50</v>
      </c>
      <c r="R561" s="22">
        <v>0</v>
      </c>
      <c r="S561" s="69"/>
      <c r="T561" s="4"/>
      <c r="U561" s="64"/>
      <c r="V561" s="4"/>
      <c r="W561" s="69"/>
      <c r="X561" s="101"/>
      <c r="Y561" s="69"/>
      <c r="Z561" s="69"/>
      <c r="AA561" s="24">
        <v>0</v>
      </c>
      <c r="AB561" s="28">
        <v>0</v>
      </c>
    </row>
    <row r="562" spans="1:28" ht="14.25" customHeight="1" x14ac:dyDescent="0.4">
      <c r="A562">
        <v>430</v>
      </c>
      <c r="B562" s="32">
        <v>0</v>
      </c>
      <c r="C562" s="32">
        <v>0</v>
      </c>
      <c r="D562" s="32">
        <v>0</v>
      </c>
      <c r="E562" s="32">
        <v>0</v>
      </c>
      <c r="F562" s="24">
        <v>0</v>
      </c>
      <c r="G562" s="24">
        <v>0</v>
      </c>
      <c r="H562" s="37">
        <v>0</v>
      </c>
      <c r="I562" s="23">
        <v>0</v>
      </c>
      <c r="J562" s="37">
        <v>0</v>
      </c>
      <c r="K562" s="24">
        <v>0</v>
      </c>
      <c r="L562" s="24">
        <v>0</v>
      </c>
      <c r="M562" s="32">
        <v>0</v>
      </c>
      <c r="N562" s="22">
        <v>0</v>
      </c>
      <c r="O562">
        <v>9130691</v>
      </c>
      <c r="P562" s="22">
        <v>1020</v>
      </c>
      <c r="Q562" s="22">
        <v>42</v>
      </c>
      <c r="R562" s="22">
        <v>0</v>
      </c>
      <c r="T562" s="4"/>
      <c r="U562" s="44"/>
      <c r="V562" s="4"/>
      <c r="Y562" s="28" t="e">
        <v>#REF!</v>
      </c>
      <c r="AA562" s="24">
        <v>0</v>
      </c>
      <c r="AB562" s="28">
        <v>0</v>
      </c>
    </row>
    <row r="563" spans="1:28" ht="14.25" customHeight="1" x14ac:dyDescent="0.4">
      <c r="A563">
        <v>431</v>
      </c>
      <c r="B563" s="32">
        <v>0</v>
      </c>
      <c r="C563" s="32">
        <v>0</v>
      </c>
      <c r="D563" s="32">
        <v>0</v>
      </c>
      <c r="E563" s="32">
        <v>0</v>
      </c>
      <c r="F563" s="24">
        <v>0</v>
      </c>
      <c r="G563" s="24">
        <v>0</v>
      </c>
      <c r="H563" s="37">
        <v>0</v>
      </c>
      <c r="I563" s="23">
        <v>0</v>
      </c>
      <c r="J563" s="37">
        <v>0</v>
      </c>
      <c r="K563" s="24">
        <v>0</v>
      </c>
      <c r="L563" s="24">
        <v>0</v>
      </c>
      <c r="M563" s="32">
        <v>0</v>
      </c>
      <c r="N563" s="22">
        <v>0</v>
      </c>
      <c r="O563">
        <v>9130692</v>
      </c>
      <c r="P563" s="22">
        <v>1020</v>
      </c>
      <c r="Q563" s="22">
        <v>42</v>
      </c>
      <c r="R563" s="22">
        <v>0</v>
      </c>
      <c r="T563" s="4"/>
      <c r="U563" s="122"/>
      <c r="V563" s="4"/>
      <c r="Y563" s="28" t="e">
        <v>#REF!</v>
      </c>
      <c r="AA563" s="24">
        <v>0</v>
      </c>
      <c r="AB563" s="28">
        <v>0</v>
      </c>
    </row>
    <row r="564" spans="1:28" ht="14.25" customHeight="1" x14ac:dyDescent="0.4">
      <c r="A564">
        <v>432</v>
      </c>
      <c r="B564" s="32">
        <v>0</v>
      </c>
      <c r="C564" s="32">
        <v>0</v>
      </c>
      <c r="D564" s="32">
        <v>0</v>
      </c>
      <c r="E564" s="32">
        <v>0</v>
      </c>
      <c r="F564" s="24">
        <v>0</v>
      </c>
      <c r="G564" s="24">
        <v>0</v>
      </c>
      <c r="H564" s="37">
        <v>0</v>
      </c>
      <c r="I564" s="23">
        <v>0</v>
      </c>
      <c r="J564" s="37">
        <v>0</v>
      </c>
      <c r="K564" s="24">
        <v>0</v>
      </c>
      <c r="L564" s="24">
        <v>0</v>
      </c>
      <c r="M564" s="32">
        <v>0</v>
      </c>
      <c r="N564" s="22">
        <v>0</v>
      </c>
      <c r="O564">
        <v>9130693</v>
      </c>
      <c r="P564" s="22" t="s">
        <v>2257</v>
      </c>
      <c r="Q564" s="22">
        <v>50</v>
      </c>
      <c r="R564" s="22">
        <v>0</v>
      </c>
      <c r="T564" s="4"/>
      <c r="U564" s="164"/>
      <c r="V564" s="4"/>
      <c r="Y564" s="28" t="e">
        <v>#REF!</v>
      </c>
      <c r="AA564" s="24">
        <v>0</v>
      </c>
      <c r="AB564" s="28">
        <v>0</v>
      </c>
    </row>
    <row r="565" spans="1:28" ht="14.25" customHeight="1" x14ac:dyDescent="0.4">
      <c r="A565">
        <v>433</v>
      </c>
      <c r="B565" s="34">
        <v>0</v>
      </c>
      <c r="C565" s="34" t="s">
        <v>2102</v>
      </c>
      <c r="D565" s="34">
        <v>0</v>
      </c>
      <c r="E565" s="32">
        <v>0</v>
      </c>
      <c r="F565" s="24">
        <v>0</v>
      </c>
      <c r="G565" s="24">
        <v>0</v>
      </c>
      <c r="H565" s="37">
        <v>0</v>
      </c>
      <c r="I565" s="23">
        <v>0</v>
      </c>
      <c r="J565" s="37">
        <v>0</v>
      </c>
      <c r="K565" s="24">
        <v>0</v>
      </c>
      <c r="L565" s="24">
        <v>0</v>
      </c>
      <c r="M565" s="32">
        <v>0</v>
      </c>
      <c r="N565" s="22">
        <v>0</v>
      </c>
      <c r="O565">
        <v>9130694</v>
      </c>
      <c r="P565" s="22" t="s">
        <v>2257</v>
      </c>
      <c r="Q565" s="22">
        <v>50</v>
      </c>
      <c r="R565" s="22">
        <v>0</v>
      </c>
      <c r="T565" s="4"/>
      <c r="U565" s="164"/>
      <c r="V565" s="4"/>
      <c r="Y565" s="28" t="e">
        <v>#REF!</v>
      </c>
      <c r="AA565" s="24">
        <v>0</v>
      </c>
      <c r="AB565" s="28">
        <v>0</v>
      </c>
    </row>
    <row r="566" spans="1:28" ht="14.25" customHeight="1" x14ac:dyDescent="0.4">
      <c r="A566">
        <v>267</v>
      </c>
      <c r="B566" s="34">
        <v>0</v>
      </c>
      <c r="C566" s="34" t="s">
        <v>2102</v>
      </c>
      <c r="D566" s="34">
        <v>0</v>
      </c>
      <c r="E566" s="32">
        <v>0</v>
      </c>
      <c r="F566" s="24">
        <v>0</v>
      </c>
      <c r="G566" s="24">
        <v>0</v>
      </c>
      <c r="H566" s="37">
        <v>0</v>
      </c>
      <c r="I566" s="23">
        <v>0</v>
      </c>
      <c r="J566" s="37">
        <v>0</v>
      </c>
      <c r="K566" s="24">
        <v>0</v>
      </c>
      <c r="L566" s="24">
        <v>0</v>
      </c>
      <c r="M566" s="32">
        <v>0</v>
      </c>
      <c r="N566" s="22">
        <v>0</v>
      </c>
      <c r="O566">
        <v>9130416</v>
      </c>
      <c r="P566" s="22">
        <v>720</v>
      </c>
      <c r="Q566" s="22">
        <v>0</v>
      </c>
      <c r="R566" s="22">
        <v>0</v>
      </c>
      <c r="S566" s="55"/>
      <c r="T566" s="4"/>
      <c r="U566" s="94"/>
      <c r="V566" s="4"/>
      <c r="W566" s="164"/>
      <c r="X566" s="74"/>
      <c r="Y566" s="28" t="e">
        <v>#REF!</v>
      </c>
      <c r="Z566" s="28"/>
      <c r="AA566" s="24">
        <v>0</v>
      </c>
      <c r="AB566" s="28">
        <v>0</v>
      </c>
    </row>
    <row r="567" spans="1:28" ht="14.25" customHeight="1" x14ac:dyDescent="0.4">
      <c r="A567">
        <v>270</v>
      </c>
      <c r="B567" s="34">
        <v>0</v>
      </c>
      <c r="C567" s="34" t="s">
        <v>2102</v>
      </c>
      <c r="D567" s="34">
        <v>0</v>
      </c>
      <c r="E567" s="32">
        <v>0</v>
      </c>
      <c r="F567" s="24">
        <v>0</v>
      </c>
      <c r="G567" s="24">
        <v>0</v>
      </c>
      <c r="H567" s="37">
        <v>0</v>
      </c>
      <c r="I567" s="23">
        <v>0</v>
      </c>
      <c r="J567" s="37">
        <v>0</v>
      </c>
      <c r="K567" s="24">
        <v>0</v>
      </c>
      <c r="L567" s="24">
        <v>0</v>
      </c>
      <c r="M567" s="32">
        <v>0</v>
      </c>
      <c r="N567" s="22">
        <v>0</v>
      </c>
      <c r="O567">
        <v>9130421</v>
      </c>
      <c r="P567" s="22">
        <v>1025</v>
      </c>
      <c r="Q567" s="22">
        <v>0</v>
      </c>
      <c r="R567" s="22">
        <v>0</v>
      </c>
      <c r="S567" s="102"/>
      <c r="T567" s="4"/>
      <c r="U567" s="94"/>
      <c r="V567" s="4"/>
      <c r="W567" s="164"/>
      <c r="X567" s="74"/>
      <c r="Y567" s="28" t="e">
        <v>#REF!</v>
      </c>
      <c r="Z567" s="28"/>
      <c r="AA567" s="24">
        <v>0</v>
      </c>
      <c r="AB567" s="28">
        <v>0</v>
      </c>
    </row>
    <row r="568" spans="1:28" ht="14.25" customHeight="1" x14ac:dyDescent="0.4">
      <c r="A568">
        <v>272</v>
      </c>
      <c r="B568" s="34">
        <v>0</v>
      </c>
      <c r="C568" s="34" t="s">
        <v>2165</v>
      </c>
      <c r="D568" s="34">
        <v>0</v>
      </c>
      <c r="E568" s="32">
        <v>0</v>
      </c>
      <c r="F568" s="24">
        <v>0</v>
      </c>
      <c r="G568" s="24">
        <v>0</v>
      </c>
      <c r="H568" s="37">
        <v>0</v>
      </c>
      <c r="I568" s="23">
        <v>0</v>
      </c>
      <c r="J568" s="37">
        <v>0</v>
      </c>
      <c r="K568" s="24">
        <v>0</v>
      </c>
      <c r="L568" s="24">
        <v>0</v>
      </c>
      <c r="M568" s="32">
        <v>0</v>
      </c>
      <c r="N568" s="22">
        <v>0</v>
      </c>
      <c r="O568">
        <v>9130423</v>
      </c>
      <c r="P568" s="22">
        <v>720</v>
      </c>
      <c r="Q568" s="22">
        <v>0</v>
      </c>
      <c r="R568" s="22">
        <v>0</v>
      </c>
      <c r="S568" s="55"/>
      <c r="T568" s="4"/>
      <c r="U568" s="164"/>
      <c r="V568" s="4"/>
      <c r="W568" s="164"/>
      <c r="X568" s="74"/>
      <c r="Y568" s="28" t="e">
        <v>#REF!</v>
      </c>
      <c r="Z568" s="9"/>
      <c r="AA568" s="24">
        <v>0</v>
      </c>
      <c r="AB568" s="28">
        <v>0</v>
      </c>
    </row>
    <row r="569" spans="1:28" ht="14.25" customHeight="1" x14ac:dyDescent="0.4">
      <c r="A569">
        <v>277</v>
      </c>
      <c r="B569" s="34">
        <v>0</v>
      </c>
      <c r="C569" s="34" t="s">
        <v>2102</v>
      </c>
      <c r="D569" s="34">
        <v>0</v>
      </c>
      <c r="E569" s="32">
        <v>0</v>
      </c>
      <c r="F569" s="24">
        <v>0</v>
      </c>
      <c r="G569" s="24">
        <v>0</v>
      </c>
      <c r="H569" s="37">
        <v>0</v>
      </c>
      <c r="I569" s="23">
        <v>0</v>
      </c>
      <c r="J569" s="37">
        <v>0</v>
      </c>
      <c r="K569" s="24">
        <v>0</v>
      </c>
      <c r="L569" s="24">
        <v>0</v>
      </c>
      <c r="M569" s="32">
        <v>0</v>
      </c>
      <c r="N569" s="22">
        <v>0</v>
      </c>
      <c r="O569">
        <v>9130428</v>
      </c>
      <c r="P569" s="22">
        <v>720</v>
      </c>
      <c r="Q569" s="22">
        <v>0</v>
      </c>
      <c r="R569" s="22">
        <v>0</v>
      </c>
      <c r="S569" s="102"/>
      <c r="T569" s="4"/>
      <c r="U569" s="94"/>
      <c r="V569" s="4"/>
      <c r="W569" s="92"/>
      <c r="X569" s="74"/>
      <c r="Y569" s="28" t="e">
        <v>#REF!</v>
      </c>
      <c r="Z569" s="28"/>
      <c r="AA569" s="24">
        <v>0</v>
      </c>
      <c r="AB569" s="28">
        <v>0</v>
      </c>
    </row>
    <row r="570" spans="1:28" ht="14.25" customHeight="1" x14ac:dyDescent="0.4">
      <c r="A570">
        <v>278</v>
      </c>
      <c r="B570" s="32">
        <v>0</v>
      </c>
      <c r="C570" s="32">
        <v>0</v>
      </c>
      <c r="D570" s="32">
        <v>0</v>
      </c>
      <c r="E570" s="32">
        <v>0</v>
      </c>
      <c r="F570" s="24">
        <v>0</v>
      </c>
      <c r="G570" s="24">
        <v>0</v>
      </c>
      <c r="H570" s="37">
        <v>0</v>
      </c>
      <c r="I570" s="23">
        <v>0</v>
      </c>
      <c r="J570" s="37">
        <v>0</v>
      </c>
      <c r="K570" s="24">
        <v>0</v>
      </c>
      <c r="L570" s="24">
        <v>0</v>
      </c>
      <c r="M570" s="32">
        <v>0</v>
      </c>
      <c r="N570" s="22">
        <v>0</v>
      </c>
      <c r="O570">
        <v>9130429</v>
      </c>
      <c r="P570" s="22">
        <v>720</v>
      </c>
      <c r="Q570" s="22">
        <v>0</v>
      </c>
      <c r="R570" s="22">
        <v>0</v>
      </c>
      <c r="S570" s="102"/>
      <c r="T570" s="4"/>
      <c r="U570" s="94"/>
      <c r="V570" s="4"/>
      <c r="W570" s="92"/>
      <c r="X570" s="74"/>
      <c r="Y570" s="28" t="e">
        <v>#REF!</v>
      </c>
      <c r="Z570" s="9"/>
      <c r="AA570" s="24">
        <v>0</v>
      </c>
      <c r="AB570" s="28">
        <v>0</v>
      </c>
    </row>
    <row r="571" spans="1:28" ht="14.25" customHeight="1" x14ac:dyDescent="0.4">
      <c r="A571">
        <v>279</v>
      </c>
      <c r="B571" s="34">
        <v>0</v>
      </c>
      <c r="C571" s="34">
        <v>0</v>
      </c>
      <c r="D571" s="34">
        <v>0</v>
      </c>
      <c r="E571" s="32">
        <v>0</v>
      </c>
      <c r="F571" s="24">
        <v>0</v>
      </c>
      <c r="G571" s="24">
        <v>0</v>
      </c>
      <c r="H571" s="37">
        <v>0</v>
      </c>
      <c r="I571" s="23">
        <v>0</v>
      </c>
      <c r="J571" s="37">
        <v>0</v>
      </c>
      <c r="K571" s="24">
        <v>0</v>
      </c>
      <c r="L571" s="24">
        <v>0</v>
      </c>
      <c r="M571" s="32">
        <v>0</v>
      </c>
      <c r="N571" s="22">
        <v>0</v>
      </c>
      <c r="O571">
        <v>9130431</v>
      </c>
      <c r="P571" s="22">
        <v>1025</v>
      </c>
      <c r="Q571" s="22">
        <v>0</v>
      </c>
      <c r="R571" s="22">
        <v>0</v>
      </c>
      <c r="S571" s="102"/>
      <c r="T571" s="4"/>
      <c r="U571" s="94"/>
      <c r="V571" s="4"/>
      <c r="W571" s="164"/>
      <c r="Y571" s="28" t="e">
        <v>#REF!</v>
      </c>
      <c r="Z571" s="28"/>
      <c r="AA571" s="24">
        <v>0</v>
      </c>
      <c r="AB571" s="28">
        <v>0</v>
      </c>
    </row>
    <row r="572" spans="1:28" ht="14.25" customHeight="1" x14ac:dyDescent="0.4">
      <c r="A572">
        <v>541</v>
      </c>
      <c r="B572" s="32">
        <v>0</v>
      </c>
      <c r="C572" s="32">
        <v>0</v>
      </c>
      <c r="D572" s="32">
        <v>0</v>
      </c>
      <c r="E572" s="32">
        <v>0</v>
      </c>
      <c r="F572" s="24">
        <v>0</v>
      </c>
      <c r="G572" s="24">
        <v>0</v>
      </c>
      <c r="H572" s="37">
        <v>0</v>
      </c>
      <c r="I572" s="23">
        <v>0</v>
      </c>
      <c r="J572" s="37">
        <v>0</v>
      </c>
      <c r="K572" s="24">
        <v>0</v>
      </c>
      <c r="L572" s="24">
        <v>0</v>
      </c>
      <c r="M572" s="32">
        <v>0</v>
      </c>
      <c r="N572" s="22">
        <v>0</v>
      </c>
      <c r="O572">
        <v>9130904</v>
      </c>
      <c r="P572" s="22">
        <v>1025</v>
      </c>
      <c r="Q572" s="22">
        <v>0</v>
      </c>
      <c r="R572" s="22">
        <v>0</v>
      </c>
      <c r="T572" s="4"/>
      <c r="U572" s="44"/>
      <c r="V572" s="4"/>
      <c r="W572" s="9"/>
      <c r="Y572" s="28" t="e">
        <v>#REF!</v>
      </c>
      <c r="AA572" s="24">
        <v>0</v>
      </c>
      <c r="AB572" s="28">
        <v>0</v>
      </c>
    </row>
    <row r="573" spans="1:28" ht="14.25" customHeight="1" x14ac:dyDescent="0.4">
      <c r="A573">
        <v>542</v>
      </c>
      <c r="B573" s="32">
        <v>0</v>
      </c>
      <c r="C573" s="32">
        <v>0</v>
      </c>
      <c r="D573" s="32">
        <v>0</v>
      </c>
      <c r="E573" s="32">
        <v>0</v>
      </c>
      <c r="F573" s="24">
        <v>0</v>
      </c>
      <c r="G573" s="24">
        <v>0</v>
      </c>
      <c r="H573" s="37">
        <v>0</v>
      </c>
      <c r="I573" s="23">
        <v>0</v>
      </c>
      <c r="J573" s="37">
        <v>0</v>
      </c>
      <c r="K573" s="24">
        <v>0</v>
      </c>
      <c r="L573" s="24">
        <v>0</v>
      </c>
      <c r="M573" s="32">
        <v>0</v>
      </c>
      <c r="N573" s="22">
        <v>0</v>
      </c>
      <c r="O573">
        <v>9130906</v>
      </c>
      <c r="P573" s="22">
        <v>1025</v>
      </c>
      <c r="Q573" s="22">
        <v>0</v>
      </c>
      <c r="R573" s="22">
        <v>0</v>
      </c>
      <c r="T573" s="4"/>
      <c r="U573" s="44"/>
      <c r="V573" s="4"/>
      <c r="W573" s="62"/>
      <c r="Y573" s="28" t="e">
        <v>#REF!</v>
      </c>
      <c r="AA573" s="24">
        <v>0</v>
      </c>
      <c r="AB573" s="28">
        <v>0</v>
      </c>
    </row>
    <row r="574" spans="1:28" ht="14.25" customHeight="1" x14ac:dyDescent="0.4">
      <c r="A574">
        <v>543</v>
      </c>
      <c r="B574" s="34">
        <v>0</v>
      </c>
      <c r="C574" s="34">
        <v>0</v>
      </c>
      <c r="D574" s="34">
        <v>0</v>
      </c>
      <c r="E574" s="32">
        <v>0</v>
      </c>
      <c r="F574" s="24">
        <v>0</v>
      </c>
      <c r="G574" s="24">
        <v>0</v>
      </c>
      <c r="H574" s="37">
        <v>0</v>
      </c>
      <c r="I574" s="23">
        <v>0</v>
      </c>
      <c r="J574" s="37">
        <v>0</v>
      </c>
      <c r="K574" s="24">
        <v>0</v>
      </c>
      <c r="L574" s="24">
        <v>0</v>
      </c>
      <c r="M574" s="32">
        <v>0</v>
      </c>
      <c r="N574" s="22">
        <v>0</v>
      </c>
      <c r="O574">
        <v>9130909</v>
      </c>
      <c r="P574" s="22">
        <v>1025</v>
      </c>
      <c r="Q574" s="22">
        <v>0</v>
      </c>
      <c r="R574" s="22">
        <v>0</v>
      </c>
      <c r="T574" s="4"/>
      <c r="U574" s="164"/>
      <c r="V574" s="4"/>
      <c r="W574" s="62"/>
      <c r="Y574" s="28" t="e">
        <v>#REF!</v>
      </c>
      <c r="AA574" s="24">
        <v>0</v>
      </c>
      <c r="AB574" s="28">
        <v>0</v>
      </c>
    </row>
    <row r="575" spans="1:28" ht="14.25" customHeight="1" x14ac:dyDescent="0.4">
      <c r="A575">
        <v>544</v>
      </c>
      <c r="B575" s="34">
        <v>0</v>
      </c>
      <c r="C575" s="34">
        <v>0</v>
      </c>
      <c r="D575" s="34">
        <v>0</v>
      </c>
      <c r="E575" s="32">
        <v>0</v>
      </c>
      <c r="F575" s="24">
        <v>0</v>
      </c>
      <c r="G575" s="24">
        <v>0</v>
      </c>
      <c r="H575" s="37">
        <v>0</v>
      </c>
      <c r="I575" s="23">
        <v>0</v>
      </c>
      <c r="J575" s="37">
        <v>0</v>
      </c>
      <c r="K575" s="24">
        <v>0</v>
      </c>
      <c r="L575" s="24">
        <v>0</v>
      </c>
      <c r="M575" s="32">
        <v>0</v>
      </c>
      <c r="N575" s="22">
        <v>0</v>
      </c>
      <c r="O575">
        <v>9130910</v>
      </c>
      <c r="P575" s="22">
        <v>1025</v>
      </c>
      <c r="Q575" s="22">
        <v>0</v>
      </c>
      <c r="R575" s="22">
        <v>0</v>
      </c>
      <c r="T575" s="4"/>
      <c r="U575" s="164"/>
      <c r="V575" s="4"/>
      <c r="W575" s="62"/>
      <c r="Y575" s="28" t="e">
        <v>#REF!</v>
      </c>
      <c r="AA575" s="24">
        <v>0</v>
      </c>
      <c r="AB575" s="28">
        <v>0</v>
      </c>
    </row>
    <row r="576" spans="1:28" ht="14.25" customHeight="1" x14ac:dyDescent="0.4">
      <c r="A576">
        <v>545</v>
      </c>
      <c r="B576" s="32">
        <v>0</v>
      </c>
      <c r="C576" s="32">
        <v>0</v>
      </c>
      <c r="D576" s="32">
        <v>0</v>
      </c>
      <c r="E576" s="32">
        <v>0</v>
      </c>
      <c r="F576" s="24">
        <v>0</v>
      </c>
      <c r="G576" s="24">
        <v>0</v>
      </c>
      <c r="H576" s="37">
        <v>0</v>
      </c>
      <c r="I576" s="23">
        <v>0</v>
      </c>
      <c r="J576" s="37">
        <v>0</v>
      </c>
      <c r="K576" s="24">
        <v>0</v>
      </c>
      <c r="L576" s="24">
        <v>0</v>
      </c>
      <c r="M576" s="32">
        <v>0</v>
      </c>
      <c r="N576" s="22">
        <v>0</v>
      </c>
      <c r="O576">
        <v>9130911</v>
      </c>
      <c r="P576" s="22">
        <v>720</v>
      </c>
      <c r="Q576" s="22">
        <v>0</v>
      </c>
      <c r="R576" s="22">
        <v>0</v>
      </c>
      <c r="S576" s="4"/>
      <c r="T576" s="4"/>
      <c r="U576" s="44"/>
      <c r="V576" s="4"/>
      <c r="W576" s="9"/>
      <c r="X576" s="74"/>
      <c r="Y576" s="28" t="e">
        <v>#REF!</v>
      </c>
      <c r="Z576" s="9"/>
      <c r="AA576" s="24">
        <v>0</v>
      </c>
      <c r="AB576" s="28">
        <v>0</v>
      </c>
    </row>
    <row r="577" spans="1:28" ht="14.25" customHeight="1" x14ac:dyDescent="0.4">
      <c r="A577">
        <v>546</v>
      </c>
      <c r="B577" s="34">
        <v>0</v>
      </c>
      <c r="C577" s="34" t="s">
        <v>2165</v>
      </c>
      <c r="D577" s="34">
        <v>0</v>
      </c>
      <c r="E577" s="32">
        <v>0</v>
      </c>
      <c r="F577" s="24">
        <v>0</v>
      </c>
      <c r="G577" s="24">
        <v>0</v>
      </c>
      <c r="H577" s="37">
        <v>0</v>
      </c>
      <c r="I577" s="23">
        <v>0</v>
      </c>
      <c r="J577" s="37">
        <v>0</v>
      </c>
      <c r="K577" s="24">
        <v>0</v>
      </c>
      <c r="L577" s="24">
        <v>0</v>
      </c>
      <c r="M577" s="32">
        <v>0</v>
      </c>
      <c r="N577" s="22">
        <v>0</v>
      </c>
      <c r="O577">
        <v>9130913</v>
      </c>
      <c r="P577" s="22">
        <v>720</v>
      </c>
      <c r="Q577" s="22">
        <v>0</v>
      </c>
      <c r="R577" s="22">
        <v>0</v>
      </c>
      <c r="S577" s="1"/>
      <c r="T577" s="4"/>
      <c r="U577" s="42"/>
      <c r="V577" s="4"/>
      <c r="W577" s="28"/>
      <c r="X577" s="74"/>
      <c r="Y577" s="28" t="e">
        <v>#REF!</v>
      </c>
      <c r="Z577" s="28"/>
      <c r="AA577" s="24">
        <v>0</v>
      </c>
      <c r="AB577" s="28">
        <v>0</v>
      </c>
    </row>
    <row r="578" spans="1:28" ht="14.25" customHeight="1" x14ac:dyDescent="0.4">
      <c r="A578">
        <v>547</v>
      </c>
      <c r="B578" s="34">
        <v>0</v>
      </c>
      <c r="C578" s="34" t="s">
        <v>2165</v>
      </c>
      <c r="D578" s="34">
        <v>0</v>
      </c>
      <c r="E578" s="32">
        <v>0</v>
      </c>
      <c r="F578" s="24">
        <v>0</v>
      </c>
      <c r="G578" s="24">
        <v>0</v>
      </c>
      <c r="H578" s="37">
        <v>0</v>
      </c>
      <c r="I578" s="23">
        <v>0</v>
      </c>
      <c r="J578" s="37">
        <v>0</v>
      </c>
      <c r="K578" s="24">
        <v>0</v>
      </c>
      <c r="L578" s="24">
        <v>0</v>
      </c>
      <c r="M578" s="32">
        <v>0</v>
      </c>
      <c r="N578" s="22">
        <v>0</v>
      </c>
      <c r="O578">
        <v>9130914</v>
      </c>
      <c r="P578" s="22">
        <v>720</v>
      </c>
      <c r="Q578" s="22">
        <v>0</v>
      </c>
      <c r="R578" s="22">
        <v>0</v>
      </c>
      <c r="S578" s="4"/>
      <c r="T578" s="4"/>
      <c r="U578" s="44"/>
      <c r="V578" s="4"/>
      <c r="W578" s="9"/>
      <c r="X578" s="74"/>
      <c r="Y578" s="28" t="e">
        <v>#REF!</v>
      </c>
      <c r="Z578" s="9"/>
      <c r="AA578" s="24">
        <v>0</v>
      </c>
      <c r="AB578" s="28">
        <v>0</v>
      </c>
    </row>
    <row r="579" spans="1:28" ht="14.25" customHeight="1" x14ac:dyDescent="0.4">
      <c r="A579">
        <v>548</v>
      </c>
      <c r="B579" s="34">
        <v>0</v>
      </c>
      <c r="C579" s="34" t="s">
        <v>2165</v>
      </c>
      <c r="D579" s="34">
        <v>0</v>
      </c>
      <c r="E579" s="32">
        <v>0</v>
      </c>
      <c r="F579" s="24">
        <v>0</v>
      </c>
      <c r="G579" s="24">
        <v>0</v>
      </c>
      <c r="H579" s="37">
        <v>0</v>
      </c>
      <c r="I579" s="23">
        <v>0</v>
      </c>
      <c r="J579" s="37">
        <v>0</v>
      </c>
      <c r="K579" s="24">
        <v>0</v>
      </c>
      <c r="L579" s="24">
        <v>0</v>
      </c>
      <c r="M579" s="32">
        <v>0</v>
      </c>
      <c r="N579" s="22">
        <v>0</v>
      </c>
      <c r="O579">
        <v>9130916</v>
      </c>
      <c r="P579" s="22">
        <v>720</v>
      </c>
      <c r="Q579" s="22">
        <v>0</v>
      </c>
      <c r="R579" s="22">
        <v>0</v>
      </c>
      <c r="S579" s="4"/>
      <c r="T579" s="4"/>
      <c r="U579" s="44"/>
      <c r="V579" s="4"/>
      <c r="W579" s="57"/>
      <c r="X579" s="74"/>
      <c r="Y579" s="28" t="e">
        <v>#REF!</v>
      </c>
      <c r="Z579" s="28"/>
      <c r="AA579" s="24">
        <v>0</v>
      </c>
      <c r="AB579" s="28">
        <v>0</v>
      </c>
    </row>
    <row r="580" spans="1:28" ht="14.25" customHeight="1" x14ac:dyDescent="0.4">
      <c r="A580">
        <v>549</v>
      </c>
      <c r="B580" s="34">
        <v>0</v>
      </c>
      <c r="C580" s="34">
        <v>0</v>
      </c>
      <c r="D580" s="34">
        <v>0</v>
      </c>
      <c r="E580" s="32">
        <v>0</v>
      </c>
      <c r="F580" s="24">
        <v>0</v>
      </c>
      <c r="G580" s="24">
        <v>0</v>
      </c>
      <c r="H580" s="37">
        <v>0</v>
      </c>
      <c r="I580" s="23">
        <v>0</v>
      </c>
      <c r="J580" s="37">
        <v>0</v>
      </c>
      <c r="K580" s="24">
        <v>0</v>
      </c>
      <c r="L580" s="24">
        <v>0</v>
      </c>
      <c r="M580" s="32">
        <v>0</v>
      </c>
      <c r="N580" s="22">
        <v>0</v>
      </c>
      <c r="O580">
        <v>9130917</v>
      </c>
      <c r="P580" s="22">
        <v>1220</v>
      </c>
      <c r="Q580" s="22">
        <v>0</v>
      </c>
      <c r="R580" s="22">
        <v>0</v>
      </c>
      <c r="S580" s="4"/>
      <c r="T580" s="4"/>
      <c r="U580" s="94"/>
      <c r="V580" s="4"/>
      <c r="W580" s="92"/>
      <c r="X580" s="74"/>
      <c r="Y580" s="28" t="e">
        <v>#REF!</v>
      </c>
      <c r="Z580" s="9"/>
      <c r="AA580" s="24">
        <v>0</v>
      </c>
      <c r="AB580" s="28">
        <v>0</v>
      </c>
    </row>
    <row r="581" spans="1:28" ht="14.25" customHeight="1" x14ac:dyDescent="0.4">
      <c r="A581">
        <v>550</v>
      </c>
      <c r="B581" s="34">
        <v>0</v>
      </c>
      <c r="C581" s="34">
        <v>0</v>
      </c>
      <c r="D581" s="34">
        <v>0</v>
      </c>
      <c r="E581" s="32">
        <v>0</v>
      </c>
      <c r="F581" s="24">
        <v>0</v>
      </c>
      <c r="G581" s="24">
        <v>0</v>
      </c>
      <c r="H581" s="37">
        <v>0</v>
      </c>
      <c r="I581" s="23">
        <v>0</v>
      </c>
      <c r="J581" s="37">
        <v>0</v>
      </c>
      <c r="K581" s="24">
        <v>0</v>
      </c>
      <c r="L581" s="24">
        <v>0</v>
      </c>
      <c r="M581" s="32">
        <v>0</v>
      </c>
      <c r="N581" s="22">
        <v>0</v>
      </c>
      <c r="O581">
        <v>9130919</v>
      </c>
      <c r="P581" s="22">
        <v>1220</v>
      </c>
      <c r="Q581" s="22">
        <v>0</v>
      </c>
      <c r="R581" s="22">
        <v>0</v>
      </c>
      <c r="S581" s="4"/>
      <c r="T581" s="4"/>
      <c r="U581" s="44"/>
      <c r="V581" s="4"/>
      <c r="W581" s="9"/>
      <c r="Y581" s="28" t="e">
        <v>#REF!</v>
      </c>
      <c r="Z581" s="9"/>
      <c r="AA581" s="24">
        <v>0</v>
      </c>
      <c r="AB581" s="28">
        <v>0</v>
      </c>
    </row>
    <row r="582" spans="1:28" ht="14.25" customHeight="1" x14ac:dyDescent="0.4">
      <c r="A582">
        <v>551</v>
      </c>
      <c r="B582" s="34">
        <v>0</v>
      </c>
      <c r="C582" s="34">
        <v>0</v>
      </c>
      <c r="D582" s="34">
        <v>0</v>
      </c>
      <c r="E582" s="32">
        <v>0</v>
      </c>
      <c r="F582" s="24">
        <v>0</v>
      </c>
      <c r="G582" s="24">
        <v>0</v>
      </c>
      <c r="H582" s="37">
        <v>0</v>
      </c>
      <c r="I582" s="23">
        <v>0</v>
      </c>
      <c r="J582" s="37">
        <v>0</v>
      </c>
      <c r="K582" s="24">
        <v>0</v>
      </c>
      <c r="L582" s="24">
        <v>0</v>
      </c>
      <c r="M582" s="32">
        <v>0</v>
      </c>
      <c r="N582" s="22">
        <v>0</v>
      </c>
      <c r="O582">
        <v>9130920</v>
      </c>
      <c r="P582" s="22">
        <v>1025</v>
      </c>
      <c r="Q582" s="22">
        <v>0</v>
      </c>
      <c r="R582" s="22">
        <v>0</v>
      </c>
      <c r="S582" s="4"/>
      <c r="T582" s="4"/>
      <c r="U582" s="44"/>
      <c r="V582" s="4"/>
      <c r="W582" s="28"/>
      <c r="X582" s="74"/>
      <c r="Y582" s="28" t="e">
        <v>#REF!</v>
      </c>
      <c r="Z582" s="28"/>
      <c r="AA582" s="24">
        <v>0</v>
      </c>
      <c r="AB582" s="28">
        <v>0</v>
      </c>
    </row>
    <row r="583" spans="1:28" ht="14.25" customHeight="1" x14ac:dyDescent="0.4">
      <c r="A583">
        <v>582</v>
      </c>
      <c r="B583" s="34">
        <v>0</v>
      </c>
      <c r="C583" s="34" t="s">
        <v>2165</v>
      </c>
      <c r="D583" s="34">
        <v>0</v>
      </c>
      <c r="E583" s="32">
        <v>0</v>
      </c>
      <c r="F583" s="24">
        <v>0</v>
      </c>
      <c r="G583" s="24">
        <v>0</v>
      </c>
      <c r="H583" s="37">
        <v>0</v>
      </c>
      <c r="I583" s="23">
        <v>0</v>
      </c>
      <c r="J583" s="37">
        <v>0</v>
      </c>
      <c r="K583" s="24">
        <v>0</v>
      </c>
      <c r="L583" s="24">
        <v>0</v>
      </c>
      <c r="M583" s="32">
        <v>0</v>
      </c>
      <c r="N583" s="22">
        <v>0</v>
      </c>
      <c r="O583">
        <v>9130923</v>
      </c>
      <c r="P583" s="22">
        <v>1025</v>
      </c>
      <c r="Q583" s="22">
        <v>0</v>
      </c>
      <c r="R583" s="22">
        <v>0</v>
      </c>
      <c r="T583" s="4"/>
      <c r="U583" s="44"/>
      <c r="V583" s="4"/>
      <c r="Y583" s="28"/>
      <c r="AA583" s="24">
        <v>0</v>
      </c>
      <c r="AB583" s="28">
        <v>0</v>
      </c>
    </row>
    <row r="584" spans="1:28" ht="14.25" customHeight="1" x14ac:dyDescent="0.4">
      <c r="A584">
        <v>597</v>
      </c>
      <c r="B584" s="34">
        <v>0</v>
      </c>
      <c r="C584" s="34" t="s">
        <v>2165</v>
      </c>
      <c r="D584" s="34">
        <v>0</v>
      </c>
      <c r="E584" s="32">
        <v>0</v>
      </c>
      <c r="F584" s="24">
        <v>0</v>
      </c>
      <c r="G584" s="24">
        <v>0</v>
      </c>
      <c r="H584" s="37">
        <v>0</v>
      </c>
      <c r="I584" s="23">
        <v>0</v>
      </c>
      <c r="J584" s="37">
        <v>0</v>
      </c>
      <c r="K584" s="24">
        <v>0</v>
      </c>
      <c r="L584" s="24">
        <v>0</v>
      </c>
      <c r="M584" s="32">
        <v>0</v>
      </c>
      <c r="N584" s="22">
        <v>0</v>
      </c>
      <c r="O584">
        <v>9130924</v>
      </c>
      <c r="P584" s="22">
        <v>1020</v>
      </c>
      <c r="Q584" s="22">
        <v>0</v>
      </c>
      <c r="R584" s="22">
        <v>0</v>
      </c>
      <c r="T584" s="4"/>
      <c r="U584" s="44"/>
      <c r="V584" s="4"/>
      <c r="Y584" s="28"/>
      <c r="AA584" s="24">
        <v>0</v>
      </c>
      <c r="AB584" s="28">
        <v>0</v>
      </c>
    </row>
    <row r="585" spans="1:28" ht="14.25" customHeight="1" x14ac:dyDescent="0.4">
      <c r="A585">
        <v>552</v>
      </c>
      <c r="B585" s="32">
        <v>0</v>
      </c>
      <c r="C585" s="32">
        <v>0</v>
      </c>
      <c r="D585" s="32">
        <v>0</v>
      </c>
      <c r="E585" s="32">
        <v>0</v>
      </c>
      <c r="F585" s="24">
        <v>0</v>
      </c>
      <c r="G585" s="24">
        <v>0</v>
      </c>
      <c r="H585" s="37">
        <v>0</v>
      </c>
      <c r="I585" s="23">
        <v>0</v>
      </c>
      <c r="J585" s="37">
        <v>0</v>
      </c>
      <c r="K585" s="24">
        <v>0</v>
      </c>
      <c r="L585" s="24">
        <v>0</v>
      </c>
      <c r="M585" s="32">
        <v>0</v>
      </c>
      <c r="N585" s="22">
        <v>0</v>
      </c>
      <c r="O585">
        <v>9130926</v>
      </c>
      <c r="P585" s="22" t="s">
        <v>2257</v>
      </c>
      <c r="Q585" s="22">
        <v>0</v>
      </c>
      <c r="R585" s="22">
        <v>0</v>
      </c>
      <c r="S585" s="38"/>
      <c r="T585" s="4"/>
      <c r="U585" s="164"/>
      <c r="V585" s="4"/>
      <c r="Y585" s="28" t="e">
        <v>#REF!</v>
      </c>
      <c r="AA585" s="24">
        <v>0</v>
      </c>
      <c r="AB585" s="28">
        <v>0</v>
      </c>
    </row>
    <row r="586" spans="1:28" ht="14.25" customHeight="1" x14ac:dyDescent="0.4">
      <c r="A586">
        <v>553</v>
      </c>
      <c r="B586" s="32">
        <v>0</v>
      </c>
      <c r="C586" s="32">
        <v>0</v>
      </c>
      <c r="D586" s="32">
        <v>0</v>
      </c>
      <c r="E586" s="32">
        <v>0</v>
      </c>
      <c r="F586" s="24">
        <v>0</v>
      </c>
      <c r="G586" s="24">
        <v>0</v>
      </c>
      <c r="H586" s="37">
        <v>0</v>
      </c>
      <c r="I586" s="23">
        <v>0</v>
      </c>
      <c r="J586" s="37">
        <v>0</v>
      </c>
      <c r="K586" s="24">
        <v>0</v>
      </c>
      <c r="L586" s="24">
        <v>0</v>
      </c>
      <c r="M586" s="32">
        <v>0</v>
      </c>
      <c r="N586" s="22">
        <v>0</v>
      </c>
      <c r="O586">
        <v>9130927</v>
      </c>
      <c r="P586" s="22">
        <v>1025</v>
      </c>
      <c r="Q586" s="22">
        <v>0</v>
      </c>
      <c r="R586" s="22">
        <v>0</v>
      </c>
      <c r="S586" s="38"/>
      <c r="T586" s="4"/>
      <c r="U586" s="164"/>
      <c r="V586" s="4"/>
      <c r="Y586" s="28" t="e">
        <v>#REF!</v>
      </c>
      <c r="AA586" s="24">
        <v>0</v>
      </c>
      <c r="AB586" s="28">
        <v>0</v>
      </c>
    </row>
    <row r="587" spans="1:28" ht="14.25" customHeight="1" x14ac:dyDescent="0.4">
      <c r="A587">
        <v>554</v>
      </c>
      <c r="B587" s="34">
        <v>0</v>
      </c>
      <c r="C587" s="34" t="s">
        <v>2165</v>
      </c>
      <c r="D587" s="34">
        <v>0</v>
      </c>
      <c r="E587" s="32">
        <v>0</v>
      </c>
      <c r="F587" s="24">
        <v>0</v>
      </c>
      <c r="G587" s="24">
        <v>0</v>
      </c>
      <c r="H587" s="37">
        <v>0</v>
      </c>
      <c r="I587" s="23">
        <v>0</v>
      </c>
      <c r="J587" s="37">
        <v>0</v>
      </c>
      <c r="K587" s="24">
        <v>0</v>
      </c>
      <c r="L587" s="24">
        <v>0</v>
      </c>
      <c r="M587" s="32">
        <v>0</v>
      </c>
      <c r="N587" s="22">
        <v>0</v>
      </c>
      <c r="O587">
        <v>9130928</v>
      </c>
      <c r="P587" s="22">
        <v>720</v>
      </c>
      <c r="Q587" s="22">
        <v>0</v>
      </c>
      <c r="R587" s="22">
        <v>0</v>
      </c>
      <c r="S587" s="4"/>
      <c r="T587" s="4"/>
      <c r="U587" s="44"/>
      <c r="V587" s="4"/>
      <c r="W587" s="57"/>
      <c r="X587" s="74"/>
      <c r="Y587" s="28" t="e">
        <v>#REF!</v>
      </c>
      <c r="Z587" s="28"/>
      <c r="AA587" s="24">
        <v>0</v>
      </c>
      <c r="AB587" s="28">
        <v>0</v>
      </c>
    </row>
    <row r="588" spans="1:28" ht="14.25" customHeight="1" x14ac:dyDescent="0.4">
      <c r="A588">
        <v>555</v>
      </c>
      <c r="B588" s="34">
        <v>0</v>
      </c>
      <c r="C588" s="34" t="s">
        <v>2165</v>
      </c>
      <c r="D588" s="34">
        <v>0</v>
      </c>
      <c r="E588" s="32">
        <v>0</v>
      </c>
      <c r="F588" s="24">
        <v>0</v>
      </c>
      <c r="G588" s="24">
        <v>0</v>
      </c>
      <c r="H588" s="37">
        <v>0</v>
      </c>
      <c r="I588" s="23">
        <v>0</v>
      </c>
      <c r="J588" s="37">
        <v>0</v>
      </c>
      <c r="K588" s="24">
        <v>0</v>
      </c>
      <c r="L588" s="24">
        <v>0</v>
      </c>
      <c r="M588" s="32">
        <v>0</v>
      </c>
      <c r="N588" s="22">
        <v>0</v>
      </c>
      <c r="O588">
        <v>9130929</v>
      </c>
      <c r="P588" s="22">
        <v>720</v>
      </c>
      <c r="Q588" s="22">
        <v>0</v>
      </c>
      <c r="R588" s="22">
        <v>0</v>
      </c>
      <c r="S588" s="4"/>
      <c r="T588" s="4"/>
      <c r="U588" s="44"/>
      <c r="V588" s="4"/>
      <c r="W588" s="57"/>
      <c r="X588" s="74"/>
      <c r="Y588" s="28" t="e">
        <v>#REF!</v>
      </c>
      <c r="Z588" s="28"/>
      <c r="AA588" s="24">
        <v>0</v>
      </c>
      <c r="AB588" s="28">
        <v>0</v>
      </c>
    </row>
    <row r="589" spans="1:28" ht="14.25" customHeight="1" x14ac:dyDescent="0.4">
      <c r="A589">
        <v>556</v>
      </c>
      <c r="B589" s="32">
        <v>0</v>
      </c>
      <c r="C589" s="32">
        <v>0</v>
      </c>
      <c r="D589" s="32">
        <v>0</v>
      </c>
      <c r="E589" s="32">
        <v>0</v>
      </c>
      <c r="F589" s="24">
        <v>0</v>
      </c>
      <c r="G589" s="24">
        <v>0</v>
      </c>
      <c r="H589" s="37">
        <v>0</v>
      </c>
      <c r="I589" s="23">
        <v>0</v>
      </c>
      <c r="J589" s="37">
        <v>0</v>
      </c>
      <c r="K589" s="24">
        <v>0</v>
      </c>
      <c r="L589" s="24">
        <v>0</v>
      </c>
      <c r="M589" s="32">
        <v>0</v>
      </c>
      <c r="N589" s="22">
        <v>0</v>
      </c>
      <c r="O589">
        <v>9130931</v>
      </c>
      <c r="P589" s="22">
        <v>1020</v>
      </c>
      <c r="Q589" s="22">
        <v>0</v>
      </c>
      <c r="R589" s="22">
        <v>0</v>
      </c>
      <c r="S589" s="55"/>
      <c r="T589" s="4"/>
      <c r="U589" s="94"/>
      <c r="V589" s="4"/>
      <c r="W589" s="92"/>
      <c r="X589" s="74"/>
      <c r="Y589" s="28" t="e">
        <v>#REF!</v>
      </c>
      <c r="Z589" s="9"/>
      <c r="AA589" s="24">
        <v>0</v>
      </c>
      <c r="AB589" s="28">
        <v>0</v>
      </c>
    </row>
    <row r="590" spans="1:28" ht="14.25" customHeight="1" x14ac:dyDescent="0.4">
      <c r="A590">
        <v>557</v>
      </c>
      <c r="B590" s="32">
        <v>0</v>
      </c>
      <c r="C590" s="32">
        <v>0</v>
      </c>
      <c r="D590" s="32">
        <v>0</v>
      </c>
      <c r="E590" s="32">
        <v>0</v>
      </c>
      <c r="F590" s="24">
        <v>0</v>
      </c>
      <c r="G590" s="24">
        <v>0</v>
      </c>
      <c r="H590" s="37">
        <v>0</v>
      </c>
      <c r="I590" s="23">
        <v>0</v>
      </c>
      <c r="J590" s="37">
        <v>0</v>
      </c>
      <c r="K590" s="24">
        <v>0</v>
      </c>
      <c r="L590" s="24">
        <v>0</v>
      </c>
      <c r="M590" s="32">
        <v>0</v>
      </c>
      <c r="N590" s="22">
        <v>0</v>
      </c>
      <c r="O590">
        <v>9130933</v>
      </c>
      <c r="P590" s="22">
        <v>1025</v>
      </c>
      <c r="Q590" s="22">
        <v>0</v>
      </c>
      <c r="R590" s="22">
        <v>0</v>
      </c>
      <c r="S590" s="55"/>
      <c r="T590" s="4"/>
      <c r="U590" s="94"/>
      <c r="V590" s="4"/>
      <c r="W590" s="92"/>
      <c r="X590" s="74"/>
      <c r="Y590" s="28" t="e">
        <v>#REF!</v>
      </c>
      <c r="Z590" s="9"/>
      <c r="AA590" s="24">
        <v>0</v>
      </c>
      <c r="AB590" s="28">
        <v>0</v>
      </c>
    </row>
    <row r="591" spans="1:28" ht="14.25" customHeight="1" x14ac:dyDescent="0.4">
      <c r="A591">
        <v>558</v>
      </c>
      <c r="B591" s="32">
        <v>0</v>
      </c>
      <c r="C591" s="32">
        <v>0</v>
      </c>
      <c r="D591" s="32">
        <v>0</v>
      </c>
      <c r="E591" s="32">
        <v>0</v>
      </c>
      <c r="F591" s="24">
        <v>0</v>
      </c>
      <c r="G591" s="24">
        <v>0</v>
      </c>
      <c r="H591" s="37">
        <v>0</v>
      </c>
      <c r="I591" s="23">
        <v>0</v>
      </c>
      <c r="J591" s="37">
        <v>0</v>
      </c>
      <c r="K591" s="24">
        <v>0</v>
      </c>
      <c r="L591" s="24">
        <v>0</v>
      </c>
      <c r="M591" s="32">
        <v>0</v>
      </c>
      <c r="N591" s="22">
        <v>0</v>
      </c>
      <c r="O591">
        <v>9130934</v>
      </c>
      <c r="P591" s="22">
        <v>1025</v>
      </c>
      <c r="Q591" s="22">
        <v>0</v>
      </c>
      <c r="R591" s="22">
        <v>0</v>
      </c>
      <c r="T591" s="4"/>
      <c r="U591" s="164"/>
      <c r="V591" s="4"/>
      <c r="Y591" s="28" t="e">
        <v>#REF!</v>
      </c>
      <c r="AA591" s="24">
        <v>0</v>
      </c>
      <c r="AB591" s="28">
        <v>0</v>
      </c>
    </row>
    <row r="592" spans="1:28" ht="14.25" customHeight="1" x14ac:dyDescent="0.4">
      <c r="A592">
        <v>559</v>
      </c>
      <c r="B592" s="32">
        <v>0</v>
      </c>
      <c r="C592" s="32">
        <v>0</v>
      </c>
      <c r="D592" s="32">
        <v>0</v>
      </c>
      <c r="E592" s="32">
        <v>0</v>
      </c>
      <c r="F592" s="24">
        <v>0</v>
      </c>
      <c r="G592" s="24">
        <v>0</v>
      </c>
      <c r="H592" s="37">
        <v>0</v>
      </c>
      <c r="I592" s="23">
        <v>0</v>
      </c>
      <c r="J592" s="37">
        <v>0</v>
      </c>
      <c r="K592" s="24">
        <v>0</v>
      </c>
      <c r="L592" s="24">
        <v>0</v>
      </c>
      <c r="M592" s="32">
        <v>0</v>
      </c>
      <c r="N592" s="22">
        <v>0</v>
      </c>
      <c r="O592">
        <v>9130935</v>
      </c>
      <c r="P592" s="22">
        <v>1025</v>
      </c>
      <c r="Q592" s="22">
        <v>0</v>
      </c>
      <c r="R592" s="22">
        <v>0</v>
      </c>
      <c r="T592" s="4"/>
      <c r="U592" s="164"/>
      <c r="V592" s="4"/>
      <c r="Y592" s="28" t="e">
        <v>#REF!</v>
      </c>
      <c r="AA592" s="24">
        <v>0</v>
      </c>
      <c r="AB592" s="28">
        <v>0</v>
      </c>
    </row>
    <row r="593" spans="1:34" ht="14.25" customHeight="1" x14ac:dyDescent="0.4">
      <c r="A593">
        <v>560</v>
      </c>
      <c r="B593" s="32">
        <v>0</v>
      </c>
      <c r="C593" s="32">
        <v>0</v>
      </c>
      <c r="D593" s="32">
        <v>0</v>
      </c>
      <c r="E593" s="32">
        <v>0</v>
      </c>
      <c r="F593" s="24">
        <v>0</v>
      </c>
      <c r="G593" s="24">
        <v>0</v>
      </c>
      <c r="H593" s="37">
        <v>0</v>
      </c>
      <c r="I593" s="23">
        <v>0</v>
      </c>
      <c r="J593" s="37">
        <v>0</v>
      </c>
      <c r="K593" s="24">
        <v>0</v>
      </c>
      <c r="L593" s="24">
        <v>0</v>
      </c>
      <c r="M593" s="32">
        <v>0</v>
      </c>
      <c r="N593" s="22">
        <v>0</v>
      </c>
      <c r="O593">
        <v>9130937</v>
      </c>
      <c r="P593" s="22">
        <v>1025</v>
      </c>
      <c r="Q593" s="22">
        <v>0</v>
      </c>
      <c r="R593" s="22">
        <v>0</v>
      </c>
      <c r="T593" s="4"/>
      <c r="U593" s="164"/>
      <c r="V593" s="4"/>
      <c r="Y593" s="28" t="e">
        <v>#REF!</v>
      </c>
      <c r="AA593" s="24">
        <v>0</v>
      </c>
      <c r="AB593" s="28">
        <v>0</v>
      </c>
    </row>
    <row r="594" spans="1:34" ht="14.25" customHeight="1" x14ac:dyDescent="0.4">
      <c r="A594">
        <v>561</v>
      </c>
      <c r="B594" s="32">
        <v>0</v>
      </c>
      <c r="C594" s="32">
        <v>0</v>
      </c>
      <c r="D594" s="32">
        <v>0</v>
      </c>
      <c r="E594" s="32">
        <v>0</v>
      </c>
      <c r="F594" s="24">
        <v>0</v>
      </c>
      <c r="G594" s="24">
        <v>0</v>
      </c>
      <c r="H594" s="37">
        <v>0</v>
      </c>
      <c r="I594" s="23">
        <v>0</v>
      </c>
      <c r="J594" s="37">
        <v>0</v>
      </c>
      <c r="K594" s="24">
        <v>0</v>
      </c>
      <c r="L594" s="24">
        <v>0</v>
      </c>
      <c r="M594" s="32">
        <v>0</v>
      </c>
      <c r="N594" s="22">
        <v>0</v>
      </c>
      <c r="O594">
        <v>9130938</v>
      </c>
      <c r="P594" s="22">
        <v>1025</v>
      </c>
      <c r="Q594" s="22">
        <v>0</v>
      </c>
      <c r="R594" s="22">
        <v>0</v>
      </c>
      <c r="S594" s="4"/>
      <c r="T594" s="4"/>
      <c r="U594" s="44"/>
      <c r="V594" s="4"/>
      <c r="W594" s="9"/>
      <c r="X594" s="74"/>
      <c r="Y594" s="28" t="e">
        <v>#REF!</v>
      </c>
      <c r="Z594" s="9"/>
      <c r="AA594" s="24">
        <v>0</v>
      </c>
      <c r="AB594" s="28">
        <v>0</v>
      </c>
    </row>
    <row r="595" spans="1:34" ht="14.25" customHeight="1" x14ac:dyDescent="0.4">
      <c r="A595">
        <v>562</v>
      </c>
      <c r="B595" s="32">
        <v>0</v>
      </c>
      <c r="C595" s="32">
        <v>0</v>
      </c>
      <c r="D595" s="32">
        <v>0</v>
      </c>
      <c r="E595" s="32">
        <v>0</v>
      </c>
      <c r="F595" s="24">
        <v>0</v>
      </c>
      <c r="G595" s="24">
        <v>0</v>
      </c>
      <c r="H595" s="37">
        <v>0</v>
      </c>
      <c r="I595" s="23">
        <v>0</v>
      </c>
      <c r="J595" s="37">
        <v>0</v>
      </c>
      <c r="K595" s="24">
        <v>0</v>
      </c>
      <c r="L595" s="24">
        <v>0</v>
      </c>
      <c r="M595" s="32">
        <v>0</v>
      </c>
      <c r="N595" s="22">
        <v>0</v>
      </c>
      <c r="O595">
        <v>9130940</v>
      </c>
      <c r="P595" s="22">
        <v>1025</v>
      </c>
      <c r="Q595" s="22">
        <v>0</v>
      </c>
      <c r="R595" s="22">
        <v>0</v>
      </c>
      <c r="S595" s="4"/>
      <c r="T595" s="4"/>
      <c r="U595" s="44"/>
      <c r="V595" s="4"/>
      <c r="W595" s="9"/>
      <c r="X595" s="74">
        <v>0</v>
      </c>
      <c r="Y595" s="28" t="e">
        <v>#REF!</v>
      </c>
      <c r="Z595" s="28"/>
      <c r="AA595" s="24">
        <v>0</v>
      </c>
      <c r="AB595" s="28">
        <v>0</v>
      </c>
    </row>
    <row r="596" spans="1:34" ht="14.25" customHeight="1" x14ac:dyDescent="0.4">
      <c r="A596">
        <v>563</v>
      </c>
      <c r="B596" s="32">
        <v>0</v>
      </c>
      <c r="C596" s="32">
        <v>0</v>
      </c>
      <c r="D596" s="32">
        <v>0</v>
      </c>
      <c r="E596" s="32">
        <v>0</v>
      </c>
      <c r="F596" s="24">
        <v>0</v>
      </c>
      <c r="G596" s="24">
        <v>0</v>
      </c>
      <c r="H596" s="37">
        <v>0</v>
      </c>
      <c r="I596" s="23">
        <v>0</v>
      </c>
      <c r="J596" s="37">
        <v>0</v>
      </c>
      <c r="K596" s="24">
        <v>0</v>
      </c>
      <c r="L596" s="24">
        <v>0</v>
      </c>
      <c r="M596" s="32">
        <v>0</v>
      </c>
      <c r="N596" s="22">
        <v>0</v>
      </c>
      <c r="O596">
        <v>9130941</v>
      </c>
      <c r="P596" s="22">
        <v>720</v>
      </c>
      <c r="Q596" s="22">
        <v>0</v>
      </c>
      <c r="R596" s="22">
        <v>0</v>
      </c>
      <c r="S596" s="4"/>
      <c r="T596" s="4"/>
      <c r="U596" s="44"/>
      <c r="V596" s="4"/>
      <c r="W596" s="9"/>
      <c r="X596" s="74">
        <v>0</v>
      </c>
      <c r="Y596" s="28" t="e">
        <v>#REF!</v>
      </c>
      <c r="Z596" s="9"/>
      <c r="AA596" s="24">
        <v>0</v>
      </c>
      <c r="AB596" s="28">
        <v>0</v>
      </c>
    </row>
    <row r="597" spans="1:34" ht="14.25" customHeight="1" x14ac:dyDescent="0.4">
      <c r="A597">
        <v>564</v>
      </c>
      <c r="B597" s="32">
        <v>0</v>
      </c>
      <c r="C597" s="32">
        <v>0</v>
      </c>
      <c r="D597" s="32">
        <v>0</v>
      </c>
      <c r="E597" s="32">
        <v>0</v>
      </c>
      <c r="F597" s="24">
        <v>0</v>
      </c>
      <c r="G597" s="24">
        <v>0</v>
      </c>
      <c r="H597" s="37">
        <v>0</v>
      </c>
      <c r="I597" s="23">
        <v>0</v>
      </c>
      <c r="J597" s="37">
        <v>0</v>
      </c>
      <c r="K597" s="24">
        <v>0</v>
      </c>
      <c r="L597" s="24">
        <v>0</v>
      </c>
      <c r="M597" s="32">
        <v>0</v>
      </c>
      <c r="N597" s="22">
        <v>0</v>
      </c>
      <c r="O597">
        <v>9130943</v>
      </c>
      <c r="P597" s="22">
        <v>720</v>
      </c>
      <c r="Q597" s="22">
        <v>0</v>
      </c>
      <c r="R597" s="22">
        <v>0</v>
      </c>
      <c r="S597" s="4"/>
      <c r="T597" s="4"/>
      <c r="U597" s="44"/>
      <c r="V597" s="4"/>
      <c r="W597" s="9"/>
      <c r="X597" s="74">
        <v>0</v>
      </c>
      <c r="Y597" s="28" t="e">
        <v>#REF!</v>
      </c>
      <c r="Z597" s="9"/>
      <c r="AA597" s="24">
        <v>0</v>
      </c>
      <c r="AB597" s="28">
        <v>0</v>
      </c>
    </row>
    <row r="598" spans="1:34" ht="14.25" customHeight="1" x14ac:dyDescent="0.4">
      <c r="A598">
        <v>565</v>
      </c>
      <c r="B598" s="32">
        <v>0</v>
      </c>
      <c r="C598" s="32">
        <v>0</v>
      </c>
      <c r="D598" s="32">
        <v>0</v>
      </c>
      <c r="E598" s="32">
        <v>0</v>
      </c>
      <c r="F598" s="24">
        <v>0</v>
      </c>
      <c r="G598" s="24">
        <v>0</v>
      </c>
      <c r="H598" s="37">
        <v>0</v>
      </c>
      <c r="I598" s="23">
        <v>0</v>
      </c>
      <c r="J598" s="37">
        <v>0</v>
      </c>
      <c r="K598" s="24">
        <v>0</v>
      </c>
      <c r="L598" s="24">
        <v>0</v>
      </c>
      <c r="M598" s="32">
        <v>0</v>
      </c>
      <c r="N598" s="22">
        <v>0</v>
      </c>
      <c r="O598">
        <v>9130944</v>
      </c>
      <c r="P598" s="22">
        <v>720</v>
      </c>
      <c r="Q598" s="22">
        <v>0</v>
      </c>
      <c r="R598" s="22">
        <v>0</v>
      </c>
      <c r="S598" s="4"/>
      <c r="T598" s="4"/>
      <c r="U598" s="44"/>
      <c r="V598" s="4"/>
      <c r="W598" s="9"/>
      <c r="X598" s="74">
        <v>0</v>
      </c>
      <c r="Y598" s="28" t="e">
        <v>#REF!</v>
      </c>
      <c r="Z598" s="9"/>
      <c r="AA598" s="24">
        <v>0</v>
      </c>
      <c r="AB598" s="28">
        <v>0</v>
      </c>
    </row>
    <row r="599" spans="1:34" ht="14.25" customHeight="1" x14ac:dyDescent="0.4">
      <c r="A599">
        <v>566</v>
      </c>
      <c r="B599" s="32">
        <v>0</v>
      </c>
      <c r="C599" s="32">
        <v>0</v>
      </c>
      <c r="D599" s="32">
        <v>0</v>
      </c>
      <c r="E599" s="32">
        <v>0</v>
      </c>
      <c r="F599" s="24">
        <v>0</v>
      </c>
      <c r="G599" s="24">
        <v>0</v>
      </c>
      <c r="H599" s="37">
        <v>0</v>
      </c>
      <c r="I599" s="23">
        <v>0</v>
      </c>
      <c r="J599" s="37">
        <v>0</v>
      </c>
      <c r="K599" s="24">
        <v>0</v>
      </c>
      <c r="L599" s="24">
        <v>0</v>
      </c>
      <c r="M599" s="32">
        <v>0</v>
      </c>
      <c r="N599" s="22">
        <v>0</v>
      </c>
      <c r="O599">
        <v>9130945</v>
      </c>
      <c r="P599" s="22">
        <v>720</v>
      </c>
      <c r="Q599" s="22">
        <v>0</v>
      </c>
      <c r="R599" s="22">
        <v>0</v>
      </c>
      <c r="S599" s="4"/>
      <c r="T599" s="4"/>
      <c r="U599" s="44"/>
      <c r="V599" s="4"/>
      <c r="W599" s="9"/>
      <c r="X599" s="74">
        <v>0</v>
      </c>
      <c r="Y599" s="28" t="e">
        <v>#REF!</v>
      </c>
      <c r="Z599" s="9"/>
      <c r="AA599" s="24">
        <v>0</v>
      </c>
      <c r="AB599" s="28">
        <v>0</v>
      </c>
    </row>
    <row r="600" spans="1:34" ht="14.25" customHeight="1" x14ac:dyDescent="0.4">
      <c r="A600">
        <v>567</v>
      </c>
      <c r="B600" s="32">
        <v>0</v>
      </c>
      <c r="C600" s="32">
        <v>0</v>
      </c>
      <c r="D600" s="32">
        <v>0</v>
      </c>
      <c r="E600" s="32">
        <v>0</v>
      </c>
      <c r="F600" s="24">
        <v>0</v>
      </c>
      <c r="G600" s="24">
        <v>0</v>
      </c>
      <c r="H600" s="37">
        <v>0</v>
      </c>
      <c r="I600" s="23">
        <v>0</v>
      </c>
      <c r="J600" s="37">
        <v>0</v>
      </c>
      <c r="K600" s="24">
        <v>0</v>
      </c>
      <c r="L600" s="24">
        <v>0</v>
      </c>
      <c r="M600" s="32">
        <v>0</v>
      </c>
      <c r="N600" s="22">
        <v>0</v>
      </c>
      <c r="O600">
        <v>9130947</v>
      </c>
      <c r="P600" s="22">
        <v>1220</v>
      </c>
      <c r="Q600" s="22">
        <v>0</v>
      </c>
      <c r="R600" s="22">
        <v>0</v>
      </c>
      <c r="S600" s="4"/>
      <c r="T600" s="4"/>
      <c r="U600" s="44"/>
      <c r="V600" s="4"/>
      <c r="W600" s="9"/>
      <c r="X600" s="74">
        <v>0</v>
      </c>
      <c r="Y600" s="28" t="e">
        <v>#REF!</v>
      </c>
      <c r="Z600" s="9"/>
      <c r="AA600" s="24">
        <v>0</v>
      </c>
      <c r="AB600" s="28">
        <v>0</v>
      </c>
    </row>
    <row r="601" spans="1:34" ht="14.25" customHeight="1" x14ac:dyDescent="0.4">
      <c r="A601">
        <v>568</v>
      </c>
      <c r="B601" s="32">
        <v>0</v>
      </c>
      <c r="C601" s="32">
        <v>0</v>
      </c>
      <c r="D601" s="32">
        <v>0</v>
      </c>
      <c r="E601" s="32">
        <v>0</v>
      </c>
      <c r="F601" s="24">
        <v>0</v>
      </c>
      <c r="G601" s="24">
        <v>0</v>
      </c>
      <c r="H601" s="37">
        <v>0</v>
      </c>
      <c r="I601" s="23">
        <v>0</v>
      </c>
      <c r="J601" s="37">
        <v>0</v>
      </c>
      <c r="K601" s="24">
        <v>0</v>
      </c>
      <c r="L601" s="24">
        <v>0</v>
      </c>
      <c r="M601" s="32">
        <v>0</v>
      </c>
      <c r="N601" s="22">
        <v>0</v>
      </c>
      <c r="O601">
        <v>9130948</v>
      </c>
      <c r="P601" s="22">
        <v>1220</v>
      </c>
      <c r="Q601" s="22">
        <v>0</v>
      </c>
      <c r="R601" s="22">
        <v>0</v>
      </c>
      <c r="S601" s="4"/>
      <c r="T601" s="4"/>
      <c r="U601" s="44"/>
      <c r="V601" s="4"/>
      <c r="W601" s="9"/>
      <c r="X601" s="74">
        <v>0</v>
      </c>
      <c r="Y601" s="28" t="e">
        <v>#REF!</v>
      </c>
      <c r="Z601" s="9"/>
      <c r="AA601" s="24">
        <v>0</v>
      </c>
      <c r="AB601" s="28">
        <v>0</v>
      </c>
    </row>
    <row r="602" spans="1:34" ht="14.25" customHeight="1" x14ac:dyDescent="0.4">
      <c r="A602">
        <v>569</v>
      </c>
      <c r="B602" s="34" t="s">
        <v>1087</v>
      </c>
      <c r="C602" s="34" t="s">
        <v>2165</v>
      </c>
      <c r="D602" s="34">
        <v>0</v>
      </c>
      <c r="E602" s="32">
        <v>0</v>
      </c>
      <c r="F602" s="24">
        <v>0</v>
      </c>
      <c r="G602" s="24">
        <v>0</v>
      </c>
      <c r="H602" s="37">
        <v>0</v>
      </c>
      <c r="I602" s="23">
        <v>0</v>
      </c>
      <c r="J602" s="37">
        <v>0</v>
      </c>
      <c r="K602" s="24">
        <v>0</v>
      </c>
      <c r="L602" s="24">
        <v>0</v>
      </c>
      <c r="M602" s="32">
        <v>0</v>
      </c>
      <c r="N602" s="22">
        <v>0</v>
      </c>
      <c r="O602">
        <v>9130950</v>
      </c>
      <c r="P602" s="22">
        <v>1025</v>
      </c>
      <c r="Q602" s="22">
        <v>0</v>
      </c>
      <c r="R602" s="22">
        <v>0</v>
      </c>
      <c r="S602" s="4"/>
      <c r="T602" s="4"/>
      <c r="U602" s="44"/>
      <c r="V602" s="4"/>
      <c r="W602" s="92"/>
      <c r="X602" s="74"/>
      <c r="Y602" s="28" t="e">
        <v>#REF!</v>
      </c>
      <c r="Z602" s="28"/>
      <c r="AA602" s="24">
        <v>0</v>
      </c>
      <c r="AB602" s="28">
        <v>0</v>
      </c>
    </row>
    <row r="603" spans="1:34" ht="14.25" customHeight="1" x14ac:dyDescent="0.4">
      <c r="A603">
        <v>570</v>
      </c>
      <c r="B603" s="34">
        <v>0</v>
      </c>
      <c r="C603" s="34" t="s">
        <v>2165</v>
      </c>
      <c r="D603" s="34">
        <v>0</v>
      </c>
      <c r="E603" s="32">
        <v>0</v>
      </c>
      <c r="F603" s="24">
        <v>0</v>
      </c>
      <c r="G603" s="24">
        <v>0</v>
      </c>
      <c r="H603" s="37">
        <v>0</v>
      </c>
      <c r="I603" s="23">
        <v>0</v>
      </c>
      <c r="J603" s="37">
        <v>0</v>
      </c>
      <c r="K603" s="24">
        <v>0</v>
      </c>
      <c r="L603" s="24">
        <v>0</v>
      </c>
      <c r="M603" s="32">
        <v>0</v>
      </c>
      <c r="N603" s="22">
        <v>0</v>
      </c>
      <c r="O603">
        <v>9130953</v>
      </c>
      <c r="P603" s="22">
        <v>1025</v>
      </c>
      <c r="Q603" s="22">
        <v>0</v>
      </c>
      <c r="R603" s="22">
        <v>0</v>
      </c>
      <c r="S603" s="4"/>
      <c r="T603" s="4"/>
      <c r="U603" s="44"/>
      <c r="V603" s="4"/>
      <c r="W603" s="92"/>
      <c r="X603" s="74"/>
      <c r="Y603" s="28" t="e">
        <v>#REF!</v>
      </c>
      <c r="Z603" s="28"/>
      <c r="AA603" s="24">
        <v>0</v>
      </c>
      <c r="AB603" s="28">
        <v>0</v>
      </c>
    </row>
    <row r="604" spans="1:34" ht="14.25" customHeight="1" x14ac:dyDescent="0.4">
      <c r="A604">
        <v>571</v>
      </c>
      <c r="B604" s="32">
        <v>0</v>
      </c>
      <c r="C604" s="32">
        <v>0</v>
      </c>
      <c r="D604" s="32">
        <v>0</v>
      </c>
      <c r="E604" s="32">
        <v>0</v>
      </c>
      <c r="F604" s="24">
        <v>0</v>
      </c>
      <c r="G604" s="24">
        <v>0</v>
      </c>
      <c r="H604" s="37">
        <v>0</v>
      </c>
      <c r="I604" s="23">
        <v>0</v>
      </c>
      <c r="J604" s="37">
        <v>0</v>
      </c>
      <c r="K604" s="24">
        <v>0</v>
      </c>
      <c r="L604" s="24">
        <v>0</v>
      </c>
      <c r="M604" s="32">
        <v>0</v>
      </c>
      <c r="N604" s="22">
        <v>0</v>
      </c>
      <c r="O604">
        <v>9130954</v>
      </c>
      <c r="P604" s="22">
        <v>1020</v>
      </c>
      <c r="Q604" s="22">
        <v>0</v>
      </c>
      <c r="R604" s="22">
        <v>0</v>
      </c>
      <c r="S604" s="55"/>
      <c r="T604" s="4"/>
      <c r="U604" s="94"/>
      <c r="V604" s="4"/>
      <c r="W604" s="136"/>
      <c r="X604" s="74"/>
      <c r="Y604" s="28" t="e">
        <v>#REF!</v>
      </c>
      <c r="Z604" s="28"/>
      <c r="AA604" s="24">
        <v>0</v>
      </c>
      <c r="AB604" s="28">
        <v>0</v>
      </c>
    </row>
    <row r="605" spans="1:34" ht="14.25" customHeight="1" x14ac:dyDescent="0.4">
      <c r="A605">
        <v>572</v>
      </c>
      <c r="B605" s="32">
        <v>0</v>
      </c>
      <c r="C605" s="32">
        <v>0</v>
      </c>
      <c r="D605" s="32">
        <v>0</v>
      </c>
      <c r="E605" s="32">
        <v>0</v>
      </c>
      <c r="F605" s="24">
        <v>0</v>
      </c>
      <c r="G605" s="24">
        <v>0</v>
      </c>
      <c r="H605" s="37">
        <v>0</v>
      </c>
      <c r="I605" s="23">
        <v>0</v>
      </c>
      <c r="J605" s="37">
        <v>0</v>
      </c>
      <c r="K605" s="24">
        <v>0</v>
      </c>
      <c r="L605" s="24">
        <v>0</v>
      </c>
      <c r="M605" s="32">
        <v>0</v>
      </c>
      <c r="N605" s="22">
        <v>0</v>
      </c>
      <c r="O605">
        <v>9130955</v>
      </c>
      <c r="P605" s="22" t="s">
        <v>2257</v>
      </c>
      <c r="Q605" s="22">
        <v>0</v>
      </c>
      <c r="R605" s="22">
        <v>0</v>
      </c>
      <c r="S605" s="55"/>
      <c r="T605" s="4"/>
      <c r="U605" s="94"/>
      <c r="V605" s="4"/>
      <c r="W605" s="136"/>
      <c r="X605" s="74"/>
      <c r="Y605" s="28" t="e">
        <v>#REF!</v>
      </c>
      <c r="Z605" s="28"/>
      <c r="AA605" s="24">
        <v>0</v>
      </c>
      <c r="AB605" s="28">
        <v>0</v>
      </c>
    </row>
    <row r="606" spans="1:34" s="69" customFormat="1" ht="14.25" customHeight="1" x14ac:dyDescent="0.4">
      <c r="A606">
        <v>573</v>
      </c>
      <c r="B606" s="34">
        <v>0</v>
      </c>
      <c r="C606" s="34" t="s">
        <v>2165</v>
      </c>
      <c r="D606" s="34">
        <v>0</v>
      </c>
      <c r="E606" s="32">
        <v>0</v>
      </c>
      <c r="F606" s="24">
        <v>0</v>
      </c>
      <c r="G606" s="24">
        <v>0</v>
      </c>
      <c r="H606" s="37">
        <v>0</v>
      </c>
      <c r="I606" s="23">
        <v>0</v>
      </c>
      <c r="J606" s="37">
        <v>0</v>
      </c>
      <c r="K606" s="24">
        <v>0</v>
      </c>
      <c r="L606" s="24">
        <v>0</v>
      </c>
      <c r="M606" s="32">
        <v>0</v>
      </c>
      <c r="N606" s="22">
        <v>0</v>
      </c>
      <c r="O606">
        <v>9130957</v>
      </c>
      <c r="P606" s="22">
        <v>1025</v>
      </c>
      <c r="Q606" s="22">
        <v>0</v>
      </c>
      <c r="R606" s="22">
        <v>0</v>
      </c>
      <c r="S606" s="4"/>
      <c r="T606" s="4"/>
      <c r="U606" s="44"/>
      <c r="V606" s="4"/>
      <c r="W606" s="57"/>
      <c r="X606" s="74"/>
      <c r="Y606" s="28" t="e">
        <v>#REF!</v>
      </c>
      <c r="Z606" s="28"/>
      <c r="AA606" s="24">
        <v>0</v>
      </c>
      <c r="AB606" s="28">
        <v>0</v>
      </c>
      <c r="AH606" s="64"/>
    </row>
    <row r="607" spans="1:34" ht="14.25" customHeight="1" x14ac:dyDescent="0.4">
      <c r="A607">
        <v>574</v>
      </c>
      <c r="B607" s="34">
        <v>0</v>
      </c>
      <c r="C607" s="34" t="s">
        <v>2165</v>
      </c>
      <c r="D607" s="34">
        <v>0</v>
      </c>
      <c r="E607" s="32">
        <v>0</v>
      </c>
      <c r="F607" s="24">
        <v>0</v>
      </c>
      <c r="G607" s="24">
        <v>0</v>
      </c>
      <c r="H607" s="37">
        <v>0</v>
      </c>
      <c r="I607" s="23">
        <v>0</v>
      </c>
      <c r="J607" s="37">
        <v>0</v>
      </c>
      <c r="K607" s="24">
        <v>0</v>
      </c>
      <c r="L607" s="24">
        <v>0</v>
      </c>
      <c r="M607" s="32">
        <v>0</v>
      </c>
      <c r="N607" s="22">
        <v>0</v>
      </c>
      <c r="O607">
        <v>9130958</v>
      </c>
      <c r="P607" s="22">
        <v>720</v>
      </c>
      <c r="Q607" s="22">
        <v>0</v>
      </c>
      <c r="R607" s="22">
        <v>0</v>
      </c>
      <c r="S607" s="4"/>
      <c r="T607" s="4"/>
      <c r="U607" s="44"/>
      <c r="V607" s="4"/>
      <c r="W607" s="57"/>
      <c r="X607" s="74"/>
      <c r="Y607" s="28" t="e">
        <v>#REF!</v>
      </c>
      <c r="Z607" s="28"/>
      <c r="AA607" s="24">
        <v>0</v>
      </c>
      <c r="AB607" s="28">
        <v>0</v>
      </c>
    </row>
    <row r="608" spans="1:34" ht="14.25" customHeight="1" x14ac:dyDescent="0.4">
      <c r="A608">
        <v>603</v>
      </c>
      <c r="B608" s="34">
        <v>0</v>
      </c>
      <c r="C608" s="34" t="s">
        <v>2165</v>
      </c>
      <c r="D608" s="34">
        <v>0</v>
      </c>
      <c r="E608" s="32">
        <v>0</v>
      </c>
      <c r="F608" s="24">
        <v>0</v>
      </c>
      <c r="G608" s="24">
        <v>0</v>
      </c>
      <c r="H608" s="37">
        <v>0</v>
      </c>
      <c r="I608" s="23">
        <v>0</v>
      </c>
      <c r="J608" s="37">
        <v>0</v>
      </c>
      <c r="K608" s="24">
        <v>0</v>
      </c>
      <c r="L608" s="24">
        <v>0</v>
      </c>
      <c r="M608" s="32">
        <v>0</v>
      </c>
      <c r="N608" s="22">
        <v>0</v>
      </c>
      <c r="O608">
        <v>9130959</v>
      </c>
      <c r="P608" s="22">
        <v>720</v>
      </c>
      <c r="Q608" s="22">
        <v>0</v>
      </c>
      <c r="R608" s="22">
        <v>0</v>
      </c>
      <c r="T608" s="4"/>
      <c r="U608" s="164"/>
      <c r="V608" s="4"/>
      <c r="Y608" s="28"/>
      <c r="AA608" s="24">
        <v>0</v>
      </c>
      <c r="AB608" s="28">
        <v>0</v>
      </c>
    </row>
    <row r="609" spans="1:28" ht="14.25" customHeight="1" x14ac:dyDescent="0.4">
      <c r="A609">
        <v>604</v>
      </c>
      <c r="D609" s="34">
        <v>0</v>
      </c>
      <c r="E609" s="32">
        <v>0</v>
      </c>
      <c r="F609" s="24">
        <v>0</v>
      </c>
      <c r="G609" s="24">
        <v>0</v>
      </c>
      <c r="H609" s="37">
        <v>0</v>
      </c>
      <c r="I609" s="23">
        <v>0</v>
      </c>
      <c r="J609" s="37">
        <v>0</v>
      </c>
      <c r="K609" s="24">
        <v>0</v>
      </c>
      <c r="L609" s="24">
        <v>0</v>
      </c>
      <c r="M609" s="32">
        <v>0</v>
      </c>
      <c r="N609" s="22">
        <v>0</v>
      </c>
      <c r="O609">
        <v>9130960</v>
      </c>
      <c r="P609" s="181"/>
      <c r="Q609" s="181"/>
      <c r="R609" s="22">
        <v>0</v>
      </c>
      <c r="T609" s="4"/>
      <c r="V609" s="4"/>
      <c r="Y609" s="28"/>
      <c r="AA609" s="181"/>
      <c r="AB609" s="28">
        <v>0</v>
      </c>
    </row>
    <row r="610" spans="1:28" ht="14.25" customHeight="1" x14ac:dyDescent="0.4">
      <c r="A610">
        <v>605</v>
      </c>
      <c r="D610" s="34">
        <v>0</v>
      </c>
      <c r="E610" s="32">
        <v>0</v>
      </c>
      <c r="F610" s="24">
        <v>0</v>
      </c>
      <c r="G610" s="24">
        <v>0</v>
      </c>
      <c r="H610" s="37">
        <v>0</v>
      </c>
      <c r="I610" s="23">
        <v>0</v>
      </c>
      <c r="J610" s="37">
        <v>0</v>
      </c>
      <c r="K610" s="24">
        <v>0</v>
      </c>
      <c r="L610" s="24">
        <v>0</v>
      </c>
      <c r="M610" s="32">
        <v>0</v>
      </c>
      <c r="N610" s="22">
        <v>0</v>
      </c>
      <c r="O610">
        <v>9130961</v>
      </c>
      <c r="R610" s="22">
        <v>0</v>
      </c>
      <c r="T610" s="4"/>
      <c r="V610" s="4"/>
      <c r="Y610" s="28"/>
    </row>
    <row r="611" spans="1:28" ht="14.25" customHeight="1" x14ac:dyDescent="0.4">
      <c r="A611">
        <v>606</v>
      </c>
      <c r="D611" s="34">
        <v>0</v>
      </c>
      <c r="E611" s="32">
        <v>0</v>
      </c>
      <c r="F611" s="24">
        <v>0</v>
      </c>
      <c r="G611" s="24">
        <v>0</v>
      </c>
      <c r="H611" s="37">
        <v>0</v>
      </c>
      <c r="I611" s="23">
        <v>0</v>
      </c>
      <c r="J611" s="37">
        <v>0</v>
      </c>
      <c r="K611" s="24">
        <v>0</v>
      </c>
      <c r="L611" s="24">
        <v>0</v>
      </c>
      <c r="M611" s="32">
        <v>0</v>
      </c>
      <c r="N611" s="22">
        <v>0</v>
      </c>
      <c r="O611">
        <v>9130962</v>
      </c>
      <c r="R611" s="22">
        <v>0</v>
      </c>
      <c r="T611" s="4"/>
      <c r="V611" s="4"/>
      <c r="Y611" s="28"/>
    </row>
    <row r="612" spans="1:28" ht="14.25" customHeight="1" x14ac:dyDescent="0.4">
      <c r="A612">
        <v>607</v>
      </c>
      <c r="D612" s="34">
        <v>0</v>
      </c>
      <c r="E612" s="32">
        <v>0</v>
      </c>
      <c r="F612" s="24">
        <v>0</v>
      </c>
      <c r="G612" s="24">
        <v>0</v>
      </c>
      <c r="H612" s="37">
        <v>0</v>
      </c>
      <c r="I612" s="23">
        <v>0</v>
      </c>
      <c r="J612" s="37">
        <v>0</v>
      </c>
      <c r="K612" s="24">
        <v>0</v>
      </c>
      <c r="L612" s="24">
        <v>0</v>
      </c>
      <c r="M612" s="32">
        <v>0</v>
      </c>
      <c r="N612" s="22">
        <v>0</v>
      </c>
      <c r="O612">
        <v>9130963</v>
      </c>
      <c r="R612" s="22">
        <v>0</v>
      </c>
      <c r="T612" s="4"/>
      <c r="V612" s="4"/>
      <c r="Y612" s="28"/>
    </row>
    <row r="613" spans="1:28" ht="14.25" customHeight="1" x14ac:dyDescent="0.4">
      <c r="A613">
        <v>608</v>
      </c>
      <c r="D613" s="34">
        <v>0</v>
      </c>
      <c r="E613" s="32">
        <v>0</v>
      </c>
      <c r="F613" s="24">
        <v>0</v>
      </c>
      <c r="G613" s="24">
        <v>0</v>
      </c>
      <c r="H613" s="37">
        <v>0</v>
      </c>
      <c r="I613" s="23">
        <v>0</v>
      </c>
      <c r="J613" s="37">
        <v>0</v>
      </c>
      <c r="K613" s="24">
        <v>0</v>
      </c>
      <c r="L613" s="24">
        <v>0</v>
      </c>
      <c r="M613" s="32">
        <v>0</v>
      </c>
      <c r="N613" s="22">
        <v>0</v>
      </c>
      <c r="O613">
        <v>9130965</v>
      </c>
      <c r="R613" s="22">
        <v>0</v>
      </c>
      <c r="T613" s="4"/>
      <c r="V613" s="4"/>
      <c r="Y613" s="28"/>
    </row>
    <row r="614" spans="1:28" ht="14.25" customHeight="1" x14ac:dyDescent="0.4">
      <c r="A614">
        <v>609</v>
      </c>
      <c r="D614" s="34">
        <v>0</v>
      </c>
      <c r="E614" s="32">
        <v>0</v>
      </c>
      <c r="F614" s="24">
        <v>0</v>
      </c>
      <c r="G614" s="24">
        <v>0</v>
      </c>
      <c r="H614" s="37">
        <v>0</v>
      </c>
      <c r="I614" s="23">
        <v>0</v>
      </c>
      <c r="J614" s="37">
        <v>0</v>
      </c>
      <c r="K614" s="24">
        <v>0</v>
      </c>
      <c r="L614" s="24">
        <v>0</v>
      </c>
      <c r="M614" s="32">
        <v>0</v>
      </c>
      <c r="N614" s="22">
        <v>0</v>
      </c>
      <c r="O614">
        <v>9130967</v>
      </c>
      <c r="R614" s="22">
        <v>0</v>
      </c>
      <c r="T614" s="4"/>
      <c r="V614" s="4"/>
      <c r="Y614" s="28"/>
    </row>
    <row r="615" spans="1:28" ht="14.25" customHeight="1" x14ac:dyDescent="0.4">
      <c r="A615">
        <v>610</v>
      </c>
      <c r="D615" s="34">
        <v>0</v>
      </c>
      <c r="E615" s="32">
        <v>0</v>
      </c>
      <c r="F615" s="24">
        <v>0</v>
      </c>
      <c r="G615" s="24">
        <v>0</v>
      </c>
      <c r="H615" s="37">
        <v>0</v>
      </c>
      <c r="I615" s="23">
        <v>0</v>
      </c>
      <c r="J615" s="37">
        <v>0</v>
      </c>
      <c r="K615" s="24">
        <v>0</v>
      </c>
      <c r="L615" s="24">
        <v>0</v>
      </c>
      <c r="M615" s="32">
        <v>0</v>
      </c>
      <c r="N615" s="22">
        <v>0</v>
      </c>
      <c r="O615">
        <v>9130970</v>
      </c>
      <c r="R615" s="22">
        <v>0</v>
      </c>
      <c r="T615" s="4"/>
      <c r="V615" s="4"/>
      <c r="Y615" s="28"/>
    </row>
    <row r="616" spans="1:28" ht="14.25" customHeight="1" x14ac:dyDescent="0.4">
      <c r="A616">
        <v>611</v>
      </c>
      <c r="D616" s="34">
        <v>0</v>
      </c>
      <c r="E616" s="32">
        <v>0</v>
      </c>
      <c r="F616" s="24">
        <v>0</v>
      </c>
      <c r="G616" s="24">
        <v>0</v>
      </c>
      <c r="H616" s="37">
        <v>0</v>
      </c>
      <c r="I616" s="23">
        <v>0</v>
      </c>
      <c r="J616" s="37">
        <v>0</v>
      </c>
      <c r="K616" s="24">
        <v>0</v>
      </c>
      <c r="L616" s="24">
        <v>0</v>
      </c>
      <c r="M616" s="32">
        <v>0</v>
      </c>
      <c r="N616" s="22">
        <v>0</v>
      </c>
      <c r="O616">
        <v>9130971</v>
      </c>
      <c r="R616" s="22">
        <v>0</v>
      </c>
      <c r="T616" s="4"/>
      <c r="V616" s="4"/>
      <c r="Y616" s="28"/>
    </row>
    <row r="617" spans="1:28" ht="14.25" customHeight="1" x14ac:dyDescent="0.4">
      <c r="A617">
        <v>612</v>
      </c>
      <c r="D617" s="34">
        <v>0</v>
      </c>
      <c r="E617" s="32">
        <v>0</v>
      </c>
      <c r="F617" s="24">
        <v>0</v>
      </c>
      <c r="G617" s="24">
        <v>0</v>
      </c>
      <c r="H617" s="37">
        <v>0</v>
      </c>
      <c r="I617" s="23">
        <v>0</v>
      </c>
      <c r="J617" s="37">
        <v>0</v>
      </c>
      <c r="K617" s="24">
        <v>0</v>
      </c>
      <c r="L617" s="24">
        <v>0</v>
      </c>
      <c r="M617" s="32">
        <v>0</v>
      </c>
      <c r="N617" s="22">
        <v>0</v>
      </c>
      <c r="O617">
        <v>9130972</v>
      </c>
      <c r="R617" s="22">
        <v>0</v>
      </c>
      <c r="T617" s="4"/>
      <c r="V617" s="4"/>
      <c r="Y617" s="28"/>
    </row>
    <row r="618" spans="1:28" ht="14.25" customHeight="1" x14ac:dyDescent="0.4">
      <c r="A618">
        <v>613</v>
      </c>
      <c r="D618" s="34">
        <v>0</v>
      </c>
      <c r="E618" s="32">
        <v>0</v>
      </c>
      <c r="F618" s="24">
        <v>0</v>
      </c>
      <c r="G618" s="24">
        <v>0</v>
      </c>
      <c r="H618" s="37">
        <v>0</v>
      </c>
      <c r="I618" s="23">
        <v>0</v>
      </c>
      <c r="J618" s="37">
        <v>0</v>
      </c>
      <c r="K618" s="24">
        <v>0</v>
      </c>
      <c r="L618" s="24">
        <v>0</v>
      </c>
      <c r="M618" s="32">
        <v>0</v>
      </c>
      <c r="N618" s="22">
        <v>0</v>
      </c>
      <c r="O618">
        <v>9130973</v>
      </c>
      <c r="R618" s="22">
        <v>0</v>
      </c>
      <c r="T618" s="4"/>
      <c r="V618" s="4"/>
      <c r="Y618" s="28"/>
    </row>
    <row r="619" spans="1:28" ht="14.25" customHeight="1" x14ac:dyDescent="0.4">
      <c r="A619">
        <v>614</v>
      </c>
      <c r="D619" s="34">
        <v>0</v>
      </c>
      <c r="E619" s="32">
        <v>0</v>
      </c>
      <c r="F619" s="24">
        <v>0</v>
      </c>
      <c r="G619" s="24">
        <v>0</v>
      </c>
      <c r="H619" s="37">
        <v>0</v>
      </c>
      <c r="I619" s="23">
        <v>0</v>
      </c>
      <c r="J619" s="37">
        <v>0</v>
      </c>
      <c r="K619" s="24">
        <v>0</v>
      </c>
      <c r="L619" s="24">
        <v>0</v>
      </c>
      <c r="M619" s="32">
        <v>0</v>
      </c>
      <c r="N619" s="22">
        <v>0</v>
      </c>
      <c r="O619">
        <v>9130974</v>
      </c>
      <c r="R619" s="22">
        <v>0</v>
      </c>
      <c r="T619" s="4"/>
      <c r="V619" s="4"/>
      <c r="Y619" s="28"/>
    </row>
    <row r="620" spans="1:28" ht="14.25" customHeight="1" x14ac:dyDescent="0.4">
      <c r="A620">
        <v>615</v>
      </c>
      <c r="D620" s="34">
        <v>0</v>
      </c>
      <c r="E620" s="32">
        <v>0</v>
      </c>
      <c r="F620" s="24">
        <v>0</v>
      </c>
      <c r="G620" s="24">
        <v>0</v>
      </c>
      <c r="H620" s="37">
        <v>0</v>
      </c>
      <c r="I620" s="23">
        <v>0</v>
      </c>
      <c r="J620" s="37">
        <v>0</v>
      </c>
      <c r="K620" s="24">
        <v>0</v>
      </c>
      <c r="L620" s="24">
        <v>0</v>
      </c>
      <c r="M620" s="32">
        <v>0</v>
      </c>
      <c r="N620" s="22">
        <v>0</v>
      </c>
      <c r="O620">
        <v>9130975</v>
      </c>
      <c r="R620" s="22">
        <v>0</v>
      </c>
      <c r="T620" s="4"/>
      <c r="V620" s="4"/>
      <c r="Y620" s="28"/>
    </row>
    <row r="621" spans="1:28" ht="14.25" customHeight="1" x14ac:dyDescent="0.4">
      <c r="A621">
        <v>616</v>
      </c>
      <c r="D621" s="34">
        <v>0</v>
      </c>
      <c r="E621" s="32">
        <v>0</v>
      </c>
      <c r="F621" s="24">
        <v>0</v>
      </c>
      <c r="G621" s="24">
        <v>0</v>
      </c>
      <c r="H621" s="37">
        <v>0</v>
      </c>
      <c r="I621" s="23">
        <v>0</v>
      </c>
      <c r="J621" s="37">
        <v>0</v>
      </c>
      <c r="K621" s="24">
        <v>0</v>
      </c>
      <c r="L621" s="24">
        <v>0</v>
      </c>
      <c r="M621" s="32">
        <v>0</v>
      </c>
      <c r="N621" s="22">
        <v>0</v>
      </c>
      <c r="O621">
        <v>9130978</v>
      </c>
      <c r="R621" s="22">
        <v>0</v>
      </c>
      <c r="T621" s="4"/>
      <c r="V621" s="4"/>
      <c r="Y621" s="28"/>
    </row>
    <row r="622" spans="1:28" ht="14.25" customHeight="1" x14ac:dyDescent="0.4">
      <c r="A622">
        <v>617</v>
      </c>
      <c r="D622" s="34">
        <v>0</v>
      </c>
      <c r="E622" s="32">
        <v>0</v>
      </c>
      <c r="F622" s="24">
        <v>0</v>
      </c>
      <c r="G622" s="24">
        <v>0</v>
      </c>
      <c r="H622" s="37">
        <v>0</v>
      </c>
      <c r="I622" s="23">
        <v>0</v>
      </c>
      <c r="J622" s="37">
        <v>0</v>
      </c>
      <c r="K622" s="24">
        <v>0</v>
      </c>
      <c r="L622" s="24">
        <v>0</v>
      </c>
      <c r="M622" s="32">
        <v>0</v>
      </c>
      <c r="N622" s="22">
        <v>0</v>
      </c>
      <c r="O622">
        <v>9130981</v>
      </c>
      <c r="R622" s="22">
        <v>0</v>
      </c>
      <c r="T622" s="4"/>
      <c r="V622" s="4"/>
      <c r="Y622" s="28"/>
    </row>
    <row r="623" spans="1:28" ht="14.25" customHeight="1" x14ac:dyDescent="0.4">
      <c r="A623">
        <v>618</v>
      </c>
      <c r="D623" s="34">
        <v>0</v>
      </c>
      <c r="E623" s="32">
        <v>0</v>
      </c>
      <c r="F623" s="24">
        <v>0</v>
      </c>
      <c r="G623" s="24">
        <v>0</v>
      </c>
      <c r="H623" s="37">
        <v>0</v>
      </c>
      <c r="I623" s="23">
        <v>0</v>
      </c>
      <c r="J623" s="37">
        <v>0</v>
      </c>
      <c r="K623" s="24">
        <v>0</v>
      </c>
      <c r="L623" s="24">
        <v>0</v>
      </c>
      <c r="M623" s="32">
        <v>0</v>
      </c>
      <c r="N623" s="22">
        <v>0</v>
      </c>
      <c r="O623">
        <v>9130982</v>
      </c>
      <c r="R623" s="22">
        <v>0</v>
      </c>
      <c r="T623" s="4"/>
      <c r="V623" s="4"/>
      <c r="Y623" s="28"/>
    </row>
    <row r="624" spans="1:28" ht="14.25" customHeight="1" x14ac:dyDescent="0.4">
      <c r="A624">
        <v>619</v>
      </c>
      <c r="D624" s="34">
        <v>0</v>
      </c>
      <c r="E624" s="32">
        <v>0</v>
      </c>
      <c r="F624" s="24">
        <v>0</v>
      </c>
      <c r="G624" s="24">
        <v>0</v>
      </c>
      <c r="H624" s="37">
        <v>0</v>
      </c>
      <c r="I624" s="23">
        <v>0</v>
      </c>
      <c r="J624" s="37">
        <v>0</v>
      </c>
      <c r="K624" s="24">
        <v>0</v>
      </c>
      <c r="L624" s="24">
        <v>0</v>
      </c>
      <c r="M624" s="32">
        <v>0</v>
      </c>
      <c r="N624" s="22">
        <v>0</v>
      </c>
      <c r="O624">
        <v>9130983</v>
      </c>
      <c r="R624" s="22">
        <v>0</v>
      </c>
      <c r="T624" s="4"/>
      <c r="V624" s="4"/>
      <c r="Y624" s="28"/>
    </row>
    <row r="625" spans="1:25" ht="14.25" customHeight="1" x14ac:dyDescent="0.4">
      <c r="A625">
        <v>620</v>
      </c>
      <c r="D625" s="34">
        <v>0</v>
      </c>
      <c r="E625" s="32">
        <v>0</v>
      </c>
      <c r="F625" s="24">
        <v>0</v>
      </c>
      <c r="G625" s="24">
        <v>0</v>
      </c>
      <c r="H625" s="37">
        <v>0</v>
      </c>
      <c r="I625" s="23">
        <v>0</v>
      </c>
      <c r="J625" s="37">
        <v>0</v>
      </c>
      <c r="K625" s="24">
        <v>0</v>
      </c>
      <c r="L625" s="24">
        <v>0</v>
      </c>
      <c r="M625" s="32">
        <v>0</v>
      </c>
      <c r="N625" s="22">
        <v>0</v>
      </c>
      <c r="O625">
        <v>9130984</v>
      </c>
      <c r="R625" s="22">
        <v>0</v>
      </c>
      <c r="T625" s="4"/>
      <c r="V625" s="4"/>
      <c r="Y625" s="28"/>
    </row>
    <row r="626" spans="1:25" ht="14.25" customHeight="1" x14ac:dyDescent="0.4">
      <c r="A626">
        <v>621</v>
      </c>
      <c r="D626" s="34">
        <v>0</v>
      </c>
      <c r="E626" s="32">
        <v>0</v>
      </c>
      <c r="F626" s="24">
        <v>0</v>
      </c>
      <c r="G626" s="24">
        <v>0</v>
      </c>
      <c r="H626" s="37">
        <v>0</v>
      </c>
      <c r="I626" s="23">
        <v>0</v>
      </c>
      <c r="J626" s="37">
        <v>0</v>
      </c>
      <c r="K626" s="24">
        <v>0</v>
      </c>
      <c r="L626" s="24">
        <v>0</v>
      </c>
      <c r="M626" s="32">
        <v>0</v>
      </c>
      <c r="N626" s="22">
        <v>0</v>
      </c>
      <c r="O626">
        <v>9130986</v>
      </c>
      <c r="R626" s="22">
        <v>0</v>
      </c>
      <c r="T626" s="4"/>
      <c r="V626" s="4"/>
      <c r="Y626" s="28"/>
    </row>
    <row r="627" spans="1:25" ht="14.25" customHeight="1" x14ac:dyDescent="0.4">
      <c r="A627">
        <v>622</v>
      </c>
      <c r="D627" s="34">
        <v>0</v>
      </c>
      <c r="E627" s="32">
        <v>0</v>
      </c>
      <c r="F627" s="24">
        <v>0</v>
      </c>
      <c r="G627" s="24">
        <v>0</v>
      </c>
      <c r="H627" s="37">
        <v>0</v>
      </c>
      <c r="I627" s="23">
        <v>0</v>
      </c>
      <c r="J627" s="37">
        <v>0</v>
      </c>
      <c r="K627" s="24">
        <v>0</v>
      </c>
      <c r="L627" s="24">
        <v>0</v>
      </c>
      <c r="M627" s="32">
        <v>0</v>
      </c>
      <c r="N627" s="22">
        <v>0</v>
      </c>
      <c r="O627">
        <v>9130987</v>
      </c>
      <c r="R627" s="22">
        <v>0</v>
      </c>
      <c r="T627" s="4"/>
      <c r="V627" s="4"/>
      <c r="Y627" s="28"/>
    </row>
    <row r="628" spans="1:25" ht="14.25" customHeight="1" x14ac:dyDescent="0.4">
      <c r="A628">
        <v>623</v>
      </c>
      <c r="D628" s="34">
        <v>0</v>
      </c>
      <c r="E628" s="32">
        <v>0</v>
      </c>
      <c r="F628" s="24">
        <v>0</v>
      </c>
      <c r="G628" s="24">
        <v>0</v>
      </c>
      <c r="H628" s="37">
        <v>0</v>
      </c>
      <c r="I628" s="23">
        <v>0</v>
      </c>
      <c r="J628" s="37">
        <v>0</v>
      </c>
      <c r="K628" s="24">
        <v>0</v>
      </c>
      <c r="L628" s="24">
        <v>0</v>
      </c>
      <c r="M628" s="32">
        <v>0</v>
      </c>
      <c r="N628" s="22">
        <v>0</v>
      </c>
      <c r="O628">
        <v>9130989</v>
      </c>
      <c r="R628" s="22">
        <v>0</v>
      </c>
      <c r="T628" s="4"/>
      <c r="V628" s="4"/>
      <c r="Y628" s="28"/>
    </row>
    <row r="629" spans="1:25" ht="14.25" customHeight="1" x14ac:dyDescent="0.4">
      <c r="A629">
        <v>624</v>
      </c>
      <c r="D629" s="34">
        <v>0</v>
      </c>
      <c r="E629" s="32">
        <v>0</v>
      </c>
      <c r="F629" s="24">
        <v>0</v>
      </c>
      <c r="G629" s="24">
        <v>0</v>
      </c>
      <c r="H629" s="37">
        <v>0</v>
      </c>
      <c r="I629" s="23">
        <v>0</v>
      </c>
      <c r="J629" s="37">
        <v>0</v>
      </c>
      <c r="K629" s="24">
        <v>0</v>
      </c>
      <c r="L629" s="24">
        <v>0</v>
      </c>
      <c r="M629" s="32">
        <v>0</v>
      </c>
      <c r="N629" s="22">
        <v>0</v>
      </c>
      <c r="O629">
        <v>9130991</v>
      </c>
      <c r="R629" s="22">
        <v>0</v>
      </c>
      <c r="T629" s="4"/>
      <c r="V629" s="4"/>
      <c r="Y629" s="28"/>
    </row>
    <row r="630" spans="1:25" ht="14.25" customHeight="1" x14ac:dyDescent="0.4">
      <c r="A630">
        <v>625</v>
      </c>
      <c r="D630" s="34">
        <v>0</v>
      </c>
      <c r="E630" s="32">
        <v>0</v>
      </c>
      <c r="F630" s="24">
        <v>0</v>
      </c>
      <c r="G630" s="24">
        <v>0</v>
      </c>
      <c r="H630" s="37">
        <v>0</v>
      </c>
      <c r="I630" s="23">
        <v>0</v>
      </c>
      <c r="J630" s="37">
        <v>0</v>
      </c>
      <c r="K630" s="24">
        <v>0</v>
      </c>
      <c r="L630" s="24">
        <v>0</v>
      </c>
      <c r="M630" s="32">
        <v>0</v>
      </c>
      <c r="N630" s="22">
        <v>0</v>
      </c>
      <c r="O630">
        <v>9130994</v>
      </c>
      <c r="R630" s="22">
        <v>0</v>
      </c>
      <c r="T630" s="4"/>
      <c r="V630" s="4"/>
      <c r="Y630" s="28"/>
    </row>
    <row r="631" spans="1:25" ht="14.25" customHeight="1" x14ac:dyDescent="0.4">
      <c r="A631">
        <v>626</v>
      </c>
      <c r="D631" s="34">
        <v>0</v>
      </c>
      <c r="E631" s="32">
        <v>0</v>
      </c>
      <c r="F631" s="24">
        <v>0</v>
      </c>
      <c r="G631" s="24">
        <v>0</v>
      </c>
      <c r="H631" s="37">
        <v>0</v>
      </c>
      <c r="I631" s="23">
        <v>0</v>
      </c>
      <c r="J631" s="37">
        <v>0</v>
      </c>
      <c r="K631" s="24">
        <v>0</v>
      </c>
      <c r="L631" s="24">
        <v>0</v>
      </c>
      <c r="M631" s="32">
        <v>0</v>
      </c>
      <c r="N631" s="22">
        <v>0</v>
      </c>
      <c r="O631">
        <v>9130995</v>
      </c>
      <c r="R631" s="22">
        <v>0</v>
      </c>
      <c r="T631" s="4"/>
      <c r="V631" s="4"/>
    </row>
    <row r="632" spans="1:25" ht="14.25" customHeight="1" x14ac:dyDescent="0.4">
      <c r="A632">
        <v>627</v>
      </c>
      <c r="D632" s="34">
        <v>0</v>
      </c>
      <c r="E632" s="32">
        <v>0</v>
      </c>
      <c r="F632" s="24">
        <v>0</v>
      </c>
      <c r="G632" s="24">
        <v>0</v>
      </c>
      <c r="H632" s="37">
        <v>0</v>
      </c>
      <c r="I632" s="23">
        <v>0</v>
      </c>
      <c r="J632" s="37">
        <v>0</v>
      </c>
      <c r="K632" s="24">
        <v>0</v>
      </c>
      <c r="L632" s="24">
        <v>0</v>
      </c>
      <c r="M632" s="32">
        <v>0</v>
      </c>
      <c r="N632" s="22">
        <v>0</v>
      </c>
      <c r="O632">
        <v>9130996</v>
      </c>
      <c r="R632" s="22">
        <v>0</v>
      </c>
      <c r="T632" s="4"/>
      <c r="V632" s="4"/>
    </row>
    <row r="633" spans="1:25" ht="14.25" customHeight="1" x14ac:dyDescent="0.4">
      <c r="A633">
        <v>628</v>
      </c>
      <c r="D633" s="34">
        <v>0</v>
      </c>
      <c r="E633" s="32">
        <v>0</v>
      </c>
      <c r="F633" s="24">
        <v>0</v>
      </c>
      <c r="G633" s="24">
        <v>0</v>
      </c>
      <c r="H633" s="37">
        <v>0</v>
      </c>
      <c r="I633" s="23">
        <v>0</v>
      </c>
      <c r="J633" s="37">
        <v>0</v>
      </c>
      <c r="K633" s="24">
        <v>0</v>
      </c>
      <c r="L633" s="24">
        <v>0</v>
      </c>
      <c r="M633" s="32">
        <v>0</v>
      </c>
      <c r="N633" s="22">
        <v>0</v>
      </c>
      <c r="O633">
        <v>9130998</v>
      </c>
      <c r="R633" s="22">
        <v>0</v>
      </c>
      <c r="T633" s="4"/>
      <c r="V633" s="4"/>
    </row>
    <row r="634" spans="1:25" ht="14.25" customHeight="1" x14ac:dyDescent="0.4">
      <c r="A634">
        <v>629</v>
      </c>
      <c r="D634" s="34">
        <v>0</v>
      </c>
      <c r="E634" s="32">
        <v>0</v>
      </c>
      <c r="F634" s="24">
        <v>0</v>
      </c>
      <c r="G634" s="24">
        <v>0</v>
      </c>
      <c r="H634" s="37">
        <v>0</v>
      </c>
      <c r="I634" s="23">
        <v>0</v>
      </c>
      <c r="J634" s="37">
        <v>0</v>
      </c>
      <c r="K634" s="24">
        <v>0</v>
      </c>
      <c r="L634" s="24">
        <v>0</v>
      </c>
      <c r="M634" s="32">
        <v>0</v>
      </c>
      <c r="N634" s="22">
        <v>0</v>
      </c>
      <c r="O634">
        <v>9131001</v>
      </c>
      <c r="R634" s="22">
        <v>0</v>
      </c>
      <c r="T634" s="4"/>
      <c r="V634" s="4"/>
    </row>
    <row r="635" spans="1:25" ht="14.25" customHeight="1" x14ac:dyDescent="0.4">
      <c r="A635">
        <v>630</v>
      </c>
      <c r="D635" s="34">
        <v>0</v>
      </c>
      <c r="E635" s="32">
        <v>0</v>
      </c>
      <c r="F635" s="24">
        <v>0</v>
      </c>
      <c r="G635" s="24">
        <v>0</v>
      </c>
      <c r="H635" s="37">
        <v>0</v>
      </c>
      <c r="I635" s="23">
        <v>0</v>
      </c>
      <c r="J635" s="37">
        <v>0</v>
      </c>
      <c r="K635" s="24">
        <v>0</v>
      </c>
      <c r="L635" s="24">
        <v>0</v>
      </c>
      <c r="M635" s="32">
        <v>0</v>
      </c>
      <c r="N635" s="22">
        <v>0</v>
      </c>
      <c r="O635">
        <v>9131002</v>
      </c>
      <c r="R635" s="22">
        <v>0</v>
      </c>
      <c r="T635" s="4"/>
      <c r="V635" s="4"/>
    </row>
    <row r="636" spans="1:25" ht="14.25" customHeight="1" x14ac:dyDescent="0.4">
      <c r="A636">
        <v>631</v>
      </c>
      <c r="D636" s="34">
        <v>0</v>
      </c>
      <c r="E636" s="32">
        <v>0</v>
      </c>
      <c r="F636" s="24">
        <v>0</v>
      </c>
      <c r="G636" s="24">
        <v>0</v>
      </c>
      <c r="H636" s="37">
        <v>0</v>
      </c>
      <c r="I636" s="23">
        <v>0</v>
      </c>
      <c r="J636" s="37">
        <v>0</v>
      </c>
      <c r="K636" s="24">
        <v>0</v>
      </c>
      <c r="L636" s="24">
        <v>0</v>
      </c>
      <c r="M636" s="32">
        <v>0</v>
      </c>
      <c r="N636" s="22">
        <v>0</v>
      </c>
      <c r="O636">
        <v>9131004</v>
      </c>
      <c r="R636" s="22">
        <v>0</v>
      </c>
      <c r="T636" s="4"/>
      <c r="V636" s="4"/>
    </row>
    <row r="637" spans="1:25" ht="14.25" customHeight="1" x14ac:dyDescent="0.4">
      <c r="A637">
        <v>632</v>
      </c>
      <c r="D637" s="34">
        <v>0</v>
      </c>
      <c r="E637" s="32">
        <v>0</v>
      </c>
      <c r="F637" s="24">
        <v>0</v>
      </c>
      <c r="G637" s="24">
        <v>0</v>
      </c>
      <c r="H637" s="37">
        <v>0</v>
      </c>
      <c r="I637" s="23">
        <v>0</v>
      </c>
      <c r="J637" s="37">
        <v>0</v>
      </c>
      <c r="K637" s="24">
        <v>0</v>
      </c>
      <c r="L637" s="24">
        <v>0</v>
      </c>
      <c r="M637" s="32">
        <v>0</v>
      </c>
      <c r="N637" s="22">
        <v>0</v>
      </c>
      <c r="O637">
        <v>9131005</v>
      </c>
      <c r="R637" s="22">
        <v>0</v>
      </c>
      <c r="T637" s="4"/>
      <c r="V637" s="4"/>
    </row>
    <row r="638" spans="1:25" ht="14.25" customHeight="1" x14ac:dyDescent="0.4">
      <c r="A638">
        <v>633</v>
      </c>
      <c r="D638" s="34">
        <v>0</v>
      </c>
      <c r="E638" s="32">
        <v>0</v>
      </c>
      <c r="F638" s="24">
        <v>0</v>
      </c>
      <c r="G638" s="24">
        <v>0</v>
      </c>
      <c r="H638" s="37">
        <v>0</v>
      </c>
      <c r="I638" s="23">
        <v>0</v>
      </c>
      <c r="J638" s="37">
        <v>0</v>
      </c>
      <c r="K638" s="24">
        <v>0</v>
      </c>
      <c r="L638" s="24">
        <v>0</v>
      </c>
      <c r="M638" s="32">
        <v>0</v>
      </c>
      <c r="N638" s="22">
        <v>0</v>
      </c>
      <c r="O638">
        <v>9131007</v>
      </c>
      <c r="R638" s="22">
        <v>0</v>
      </c>
      <c r="T638" s="4"/>
      <c r="V638" s="4"/>
    </row>
    <row r="639" spans="1:25" ht="14.25" customHeight="1" x14ac:dyDescent="0.4">
      <c r="A639">
        <v>634</v>
      </c>
      <c r="D639" s="34">
        <v>0</v>
      </c>
      <c r="E639" s="32">
        <v>0</v>
      </c>
      <c r="F639" s="24">
        <v>0</v>
      </c>
      <c r="G639" s="24">
        <v>0</v>
      </c>
      <c r="H639" s="37">
        <v>0</v>
      </c>
      <c r="I639" s="23">
        <v>0</v>
      </c>
      <c r="J639" s="37">
        <v>0</v>
      </c>
      <c r="K639" s="24">
        <v>0</v>
      </c>
      <c r="L639" s="24">
        <v>0</v>
      </c>
      <c r="M639" s="32">
        <v>0</v>
      </c>
      <c r="N639" s="22">
        <v>0</v>
      </c>
      <c r="O639">
        <v>9131009</v>
      </c>
      <c r="R639" s="22">
        <v>0</v>
      </c>
      <c r="T639" s="4"/>
      <c r="V639" s="4"/>
    </row>
    <row r="640" spans="1:25" ht="14.25" customHeight="1" x14ac:dyDescent="0.4">
      <c r="A640">
        <v>635</v>
      </c>
      <c r="D640" s="34">
        <v>0</v>
      </c>
      <c r="E640" s="32">
        <v>0</v>
      </c>
      <c r="F640" s="24">
        <v>0</v>
      </c>
      <c r="G640" s="24">
        <v>0</v>
      </c>
      <c r="H640" s="37">
        <v>0</v>
      </c>
      <c r="I640" s="23">
        <v>0</v>
      </c>
      <c r="J640" s="37">
        <v>0</v>
      </c>
      <c r="K640" s="24">
        <v>0</v>
      </c>
      <c r="L640" s="24">
        <v>0</v>
      </c>
      <c r="M640" s="32">
        <v>0</v>
      </c>
      <c r="N640" s="22">
        <v>0</v>
      </c>
      <c r="O640">
        <v>9131011</v>
      </c>
      <c r="R640" s="22">
        <v>0</v>
      </c>
      <c r="T640" s="4"/>
      <c r="V640" s="4"/>
    </row>
    <row r="641" spans="1:27" ht="14.25" customHeight="1" x14ac:dyDescent="0.4">
      <c r="A641">
        <v>636</v>
      </c>
      <c r="D641" s="34">
        <v>0</v>
      </c>
      <c r="E641" s="32">
        <v>0</v>
      </c>
      <c r="F641" s="24">
        <v>0</v>
      </c>
      <c r="G641" s="24">
        <v>0</v>
      </c>
      <c r="H641" s="37">
        <v>0</v>
      </c>
      <c r="I641" s="23">
        <v>0</v>
      </c>
      <c r="J641" s="37">
        <v>0</v>
      </c>
      <c r="K641" s="24">
        <v>0</v>
      </c>
      <c r="L641" s="24">
        <v>0</v>
      </c>
      <c r="M641" s="32">
        <v>0</v>
      </c>
      <c r="N641" s="22">
        <v>0</v>
      </c>
      <c r="O641">
        <v>9131012</v>
      </c>
      <c r="R641" s="22">
        <v>0</v>
      </c>
      <c r="T641" s="4"/>
      <c r="V641" s="4"/>
    </row>
    <row r="642" spans="1:27" ht="14.25" customHeight="1" x14ac:dyDescent="0.4">
      <c r="A642">
        <v>637</v>
      </c>
      <c r="D642" s="34" t="s">
        <v>23</v>
      </c>
      <c r="E642" s="32">
        <v>0</v>
      </c>
      <c r="F642" s="24">
        <v>0</v>
      </c>
      <c r="G642" s="24">
        <v>0</v>
      </c>
      <c r="H642" s="37">
        <v>0</v>
      </c>
      <c r="I642" s="23">
        <v>0</v>
      </c>
      <c r="J642" s="37">
        <v>0</v>
      </c>
      <c r="K642" s="24">
        <v>0</v>
      </c>
      <c r="L642" s="24">
        <v>0</v>
      </c>
      <c r="M642" s="32">
        <v>0</v>
      </c>
      <c r="N642" s="22">
        <v>0</v>
      </c>
      <c r="O642">
        <v>9131013</v>
      </c>
      <c r="R642" s="22">
        <v>0</v>
      </c>
      <c r="T642" s="4"/>
      <c r="V642" s="4"/>
    </row>
    <row r="643" spans="1:27" ht="14.25" customHeight="1" x14ac:dyDescent="0.4">
      <c r="A643">
        <v>638</v>
      </c>
      <c r="D643" s="34">
        <v>0</v>
      </c>
      <c r="E643" s="32">
        <v>0</v>
      </c>
      <c r="F643" s="24">
        <v>0</v>
      </c>
      <c r="G643" s="24">
        <v>0</v>
      </c>
      <c r="H643" s="37">
        <v>0</v>
      </c>
      <c r="I643" s="23">
        <v>0</v>
      </c>
      <c r="J643" s="37">
        <v>0</v>
      </c>
      <c r="K643" s="24">
        <v>0</v>
      </c>
      <c r="L643" s="24">
        <v>0</v>
      </c>
      <c r="M643" s="32">
        <v>0</v>
      </c>
      <c r="N643" s="22">
        <v>0</v>
      </c>
      <c r="O643">
        <v>9131014</v>
      </c>
      <c r="R643" s="22">
        <v>0</v>
      </c>
      <c r="T643" s="4"/>
      <c r="V643" s="4"/>
    </row>
    <row r="644" spans="1:27" ht="14.25" customHeight="1" x14ac:dyDescent="0.4">
      <c r="A644">
        <v>639</v>
      </c>
      <c r="D644" s="34">
        <v>0</v>
      </c>
      <c r="E644" s="32">
        <v>0</v>
      </c>
      <c r="F644" s="24">
        <v>0</v>
      </c>
      <c r="G644" s="24">
        <v>0</v>
      </c>
      <c r="H644" s="37">
        <v>0</v>
      </c>
      <c r="I644" s="23">
        <v>0</v>
      </c>
      <c r="J644" s="37">
        <v>0</v>
      </c>
      <c r="K644" s="24">
        <v>0</v>
      </c>
      <c r="L644" s="24">
        <v>0</v>
      </c>
      <c r="M644" s="32">
        <v>0</v>
      </c>
      <c r="N644" s="22">
        <v>0</v>
      </c>
      <c r="O644">
        <v>9131015</v>
      </c>
      <c r="R644" s="22">
        <v>0</v>
      </c>
      <c r="T644" s="4"/>
      <c r="V644" s="4"/>
    </row>
    <row r="645" spans="1:27" ht="14.25" customHeight="1" x14ac:dyDescent="0.4">
      <c r="A645">
        <v>640</v>
      </c>
      <c r="D645" s="34">
        <v>0</v>
      </c>
      <c r="E645" s="32">
        <v>0</v>
      </c>
      <c r="F645" s="24">
        <v>0</v>
      </c>
      <c r="G645" s="24">
        <v>0</v>
      </c>
      <c r="H645" s="37">
        <v>0</v>
      </c>
      <c r="I645" s="23">
        <v>0</v>
      </c>
      <c r="J645" s="37">
        <v>0</v>
      </c>
      <c r="K645" s="24">
        <v>0</v>
      </c>
      <c r="L645" s="24">
        <v>0</v>
      </c>
      <c r="M645" s="32">
        <v>0</v>
      </c>
      <c r="N645" s="22">
        <v>0</v>
      </c>
      <c r="O645">
        <v>9131017</v>
      </c>
      <c r="R645" s="22">
        <v>0</v>
      </c>
      <c r="T645" s="4"/>
      <c r="V645" s="4"/>
    </row>
    <row r="646" spans="1:27" ht="14.25" customHeight="1" x14ac:dyDescent="0.4">
      <c r="A646">
        <v>641</v>
      </c>
      <c r="D646" s="34">
        <v>0</v>
      </c>
      <c r="E646" s="32">
        <v>0</v>
      </c>
      <c r="F646" s="24">
        <v>0</v>
      </c>
      <c r="G646" s="24">
        <v>0</v>
      </c>
      <c r="H646" s="37">
        <v>0</v>
      </c>
      <c r="I646" s="23">
        <v>0</v>
      </c>
      <c r="J646" s="37">
        <v>0</v>
      </c>
      <c r="K646" s="24">
        <v>0</v>
      </c>
      <c r="L646" s="24">
        <v>0</v>
      </c>
      <c r="M646" s="32">
        <v>0</v>
      </c>
      <c r="N646" s="22">
        <v>0</v>
      </c>
      <c r="O646">
        <v>9131019</v>
      </c>
      <c r="R646" s="22">
        <v>0</v>
      </c>
      <c r="T646" s="4"/>
      <c r="V646" s="4"/>
    </row>
    <row r="647" spans="1:27" ht="14.25" customHeight="1" x14ac:dyDescent="0.4">
      <c r="A647">
        <v>642</v>
      </c>
      <c r="D647" s="34">
        <v>0</v>
      </c>
      <c r="E647" s="32">
        <v>0</v>
      </c>
      <c r="F647" s="24">
        <v>0</v>
      </c>
      <c r="G647" s="24">
        <v>0</v>
      </c>
      <c r="H647" s="37">
        <v>0</v>
      </c>
      <c r="I647" s="23">
        <v>0</v>
      </c>
      <c r="J647" s="37">
        <v>0</v>
      </c>
      <c r="K647" s="24">
        <v>0</v>
      </c>
      <c r="L647" s="24">
        <v>0</v>
      </c>
      <c r="M647" s="32">
        <v>0</v>
      </c>
      <c r="N647" s="22">
        <v>0</v>
      </c>
      <c r="O647">
        <v>9131020</v>
      </c>
      <c r="R647" s="22">
        <v>0</v>
      </c>
      <c r="T647" s="4"/>
      <c r="V647" s="4"/>
    </row>
    <row r="648" spans="1:27" ht="14.25" customHeight="1" x14ac:dyDescent="0.4">
      <c r="A648">
        <v>643</v>
      </c>
      <c r="D648" s="34">
        <v>0</v>
      </c>
      <c r="E648" s="32">
        <v>0</v>
      </c>
      <c r="F648" s="24">
        <v>0</v>
      </c>
      <c r="G648" s="24">
        <v>0</v>
      </c>
      <c r="H648" s="37">
        <v>0</v>
      </c>
      <c r="I648" s="23">
        <v>0</v>
      </c>
      <c r="J648" s="37">
        <v>0</v>
      </c>
      <c r="K648" s="24">
        <v>0</v>
      </c>
      <c r="L648" s="24">
        <v>0</v>
      </c>
      <c r="M648" s="32">
        <v>0</v>
      </c>
      <c r="N648" s="22">
        <v>0</v>
      </c>
      <c r="O648">
        <v>9131022</v>
      </c>
      <c r="R648" s="22">
        <v>0</v>
      </c>
      <c r="T648" s="4"/>
      <c r="V648" s="4"/>
    </row>
    <row r="649" spans="1:27" ht="14.25" customHeight="1" x14ac:dyDescent="0.4">
      <c r="A649">
        <v>644</v>
      </c>
      <c r="D649" s="34">
        <v>0</v>
      </c>
      <c r="E649" s="32">
        <v>0</v>
      </c>
      <c r="F649" s="24">
        <v>0</v>
      </c>
      <c r="G649" s="24">
        <v>0</v>
      </c>
      <c r="H649" s="37">
        <v>0</v>
      </c>
      <c r="I649" s="23">
        <v>0</v>
      </c>
      <c r="J649" s="37">
        <v>0</v>
      </c>
      <c r="K649" s="24">
        <v>0</v>
      </c>
      <c r="L649" s="24">
        <v>0</v>
      </c>
      <c r="M649" s="32">
        <v>0</v>
      </c>
      <c r="N649" s="22">
        <v>0</v>
      </c>
      <c r="O649">
        <v>9131023</v>
      </c>
      <c r="R649" s="22">
        <v>0</v>
      </c>
      <c r="T649" s="4"/>
      <c r="V649" s="4"/>
    </row>
    <row r="650" spans="1:27" ht="14.25" customHeight="1" x14ac:dyDescent="0.4">
      <c r="B650" s="34"/>
      <c r="C650" s="34">
        <v>0</v>
      </c>
      <c r="D650" s="34"/>
      <c r="E650" s="32"/>
      <c r="F650" s="24"/>
      <c r="G650" s="24"/>
      <c r="H650" s="37"/>
      <c r="I650" s="23"/>
      <c r="J650" s="37"/>
      <c r="K650" s="24"/>
      <c r="L650" s="24"/>
      <c r="M650" s="32"/>
      <c r="N650" s="22"/>
      <c r="O650" s="64">
        <v>9130264</v>
      </c>
      <c r="P650" s="34"/>
      <c r="Q650" s="34"/>
      <c r="R650" s="65" t="s">
        <v>47</v>
      </c>
      <c r="S650" s="102"/>
      <c r="T650" s="4"/>
      <c r="U650" s="94"/>
      <c r="V650" s="4"/>
      <c r="W650" s="95"/>
      <c r="X650" s="74"/>
      <c r="Y650" s="28"/>
      <c r="Z650" s="9"/>
      <c r="AA650" s="32"/>
    </row>
    <row r="651" spans="1:27" ht="14.25" customHeight="1" x14ac:dyDescent="0.4">
      <c r="A651">
        <v>645</v>
      </c>
      <c r="D651" s="34">
        <v>0</v>
      </c>
      <c r="E651" s="32">
        <v>0</v>
      </c>
      <c r="F651" s="24">
        <v>0</v>
      </c>
      <c r="G651" s="24">
        <v>0</v>
      </c>
      <c r="H651" s="37">
        <v>0</v>
      </c>
      <c r="I651" s="23">
        <v>0</v>
      </c>
      <c r="J651" s="37">
        <v>0</v>
      </c>
      <c r="K651" s="24">
        <v>0</v>
      </c>
      <c r="L651" s="24">
        <v>0</v>
      </c>
      <c r="M651" s="32">
        <v>0</v>
      </c>
      <c r="N651" s="22">
        <v>0</v>
      </c>
      <c r="O651">
        <v>9131024</v>
      </c>
      <c r="R651" s="22">
        <v>0</v>
      </c>
      <c r="T651" s="4"/>
      <c r="V651" s="4"/>
    </row>
    <row r="652" spans="1:27" ht="14.25" customHeight="1" x14ac:dyDescent="0.4">
      <c r="A652">
        <v>646</v>
      </c>
      <c r="D652" s="34">
        <v>0</v>
      </c>
      <c r="E652" s="32">
        <v>0</v>
      </c>
      <c r="F652" s="24">
        <v>0</v>
      </c>
      <c r="G652" s="24">
        <v>0</v>
      </c>
      <c r="H652" s="134">
        <v>0</v>
      </c>
      <c r="I652" s="23">
        <v>0</v>
      </c>
      <c r="J652" s="37">
        <v>0</v>
      </c>
      <c r="K652" s="24">
        <v>0</v>
      </c>
      <c r="L652" s="24">
        <v>0</v>
      </c>
      <c r="M652" s="32">
        <v>0</v>
      </c>
      <c r="N652" s="22">
        <v>0</v>
      </c>
      <c r="O652">
        <v>9131025</v>
      </c>
      <c r="R652" s="22">
        <v>0</v>
      </c>
      <c r="T652" s="4"/>
      <c r="V652" s="4"/>
    </row>
    <row r="653" spans="1:27" ht="14.25" customHeight="1" x14ac:dyDescent="0.4">
      <c r="A653">
        <v>647</v>
      </c>
      <c r="D653" s="34">
        <v>0</v>
      </c>
      <c r="E653" s="32">
        <v>0</v>
      </c>
      <c r="F653" s="24">
        <v>0</v>
      </c>
      <c r="G653" s="24">
        <v>0</v>
      </c>
      <c r="H653" s="134">
        <v>0</v>
      </c>
      <c r="I653" s="23">
        <v>0</v>
      </c>
      <c r="J653" s="37">
        <v>0</v>
      </c>
      <c r="K653" s="24">
        <v>0</v>
      </c>
      <c r="L653" s="24">
        <v>0</v>
      </c>
      <c r="M653" s="32">
        <v>0</v>
      </c>
      <c r="N653" s="22">
        <v>0</v>
      </c>
      <c r="O653">
        <v>9131027</v>
      </c>
      <c r="R653" s="22">
        <v>0</v>
      </c>
      <c r="T653" s="4"/>
      <c r="V653" s="4"/>
    </row>
    <row r="654" spans="1:27" ht="14.25" customHeight="1" x14ac:dyDescent="0.4">
      <c r="A654">
        <v>648</v>
      </c>
      <c r="D654" s="34">
        <v>0</v>
      </c>
      <c r="E654" s="32">
        <v>0</v>
      </c>
      <c r="F654" s="24">
        <v>0</v>
      </c>
      <c r="G654" s="24">
        <v>0</v>
      </c>
      <c r="H654" s="134">
        <v>0</v>
      </c>
      <c r="I654" s="23">
        <v>0</v>
      </c>
      <c r="J654" s="37">
        <v>0</v>
      </c>
      <c r="K654" s="24">
        <v>0</v>
      </c>
      <c r="L654" s="24">
        <v>0</v>
      </c>
      <c r="M654" s="32">
        <v>0</v>
      </c>
      <c r="N654" s="22">
        <v>0</v>
      </c>
      <c r="O654">
        <v>9131028</v>
      </c>
      <c r="T654" s="4"/>
      <c r="V654" s="4"/>
    </row>
    <row r="655" spans="1:27" ht="14.25" customHeight="1" x14ac:dyDescent="0.4">
      <c r="A655">
        <v>649</v>
      </c>
      <c r="D655" s="34">
        <v>0</v>
      </c>
      <c r="E655" s="32">
        <v>0</v>
      </c>
      <c r="F655" s="24">
        <v>0</v>
      </c>
      <c r="G655" s="24">
        <v>0</v>
      </c>
      <c r="H655" s="134">
        <v>0</v>
      </c>
      <c r="I655" s="23">
        <v>0</v>
      </c>
      <c r="J655" s="37">
        <v>0</v>
      </c>
      <c r="K655" s="24">
        <v>0</v>
      </c>
      <c r="L655" s="24">
        <v>0</v>
      </c>
      <c r="M655" s="32">
        <v>0</v>
      </c>
      <c r="N655" s="22">
        <v>0</v>
      </c>
      <c r="O655">
        <v>9131029</v>
      </c>
      <c r="T655" s="4"/>
      <c r="V655" s="4"/>
    </row>
    <row r="656" spans="1:27" ht="14.25" customHeight="1" x14ac:dyDescent="0.4">
      <c r="A656">
        <v>650</v>
      </c>
      <c r="D656" s="34">
        <v>0</v>
      </c>
      <c r="E656" s="32">
        <v>0</v>
      </c>
      <c r="F656" s="24">
        <v>0</v>
      </c>
      <c r="G656" s="24">
        <v>0</v>
      </c>
      <c r="H656" s="134">
        <v>0</v>
      </c>
      <c r="I656" s="23">
        <v>0</v>
      </c>
      <c r="J656" s="37">
        <v>0</v>
      </c>
      <c r="K656" s="24">
        <v>0</v>
      </c>
      <c r="L656" s="24">
        <v>0</v>
      </c>
      <c r="M656" s="32">
        <v>0</v>
      </c>
      <c r="N656" s="22">
        <v>0</v>
      </c>
      <c r="O656">
        <v>9131030</v>
      </c>
      <c r="T656" s="4"/>
      <c r="V656" s="4"/>
    </row>
    <row r="657" spans="1:22" ht="14.25" customHeight="1" x14ac:dyDescent="0.4">
      <c r="A657">
        <v>651</v>
      </c>
      <c r="D657" s="34">
        <v>0</v>
      </c>
      <c r="E657" s="32">
        <v>0</v>
      </c>
      <c r="F657" s="24">
        <v>0</v>
      </c>
      <c r="G657" s="24">
        <v>0</v>
      </c>
      <c r="H657" s="134">
        <v>0</v>
      </c>
      <c r="I657" s="23">
        <v>0</v>
      </c>
      <c r="J657" s="37">
        <v>0</v>
      </c>
      <c r="K657" s="24">
        <v>0</v>
      </c>
      <c r="L657" s="24">
        <v>0</v>
      </c>
      <c r="M657" s="32">
        <v>0</v>
      </c>
      <c r="N657" s="22">
        <v>0</v>
      </c>
      <c r="O657">
        <v>9131031</v>
      </c>
      <c r="T657" s="4"/>
      <c r="V657" s="4"/>
    </row>
    <row r="658" spans="1:22" ht="14.25" customHeight="1" x14ac:dyDescent="0.4">
      <c r="A658">
        <v>652</v>
      </c>
      <c r="D658" s="34">
        <v>0</v>
      </c>
      <c r="E658" s="32">
        <v>0</v>
      </c>
      <c r="F658" s="24">
        <v>0</v>
      </c>
      <c r="G658" s="24">
        <v>0</v>
      </c>
      <c r="H658" s="134">
        <v>0</v>
      </c>
      <c r="I658" s="23">
        <v>0</v>
      </c>
      <c r="J658" s="37">
        <v>0</v>
      </c>
      <c r="K658" s="24">
        <v>0</v>
      </c>
      <c r="L658" s="24">
        <v>0</v>
      </c>
      <c r="M658" s="32">
        <v>0</v>
      </c>
      <c r="N658" s="22">
        <v>0</v>
      </c>
      <c r="O658">
        <v>9131032</v>
      </c>
      <c r="T658" s="4"/>
      <c r="V658" s="4"/>
    </row>
    <row r="659" spans="1:22" ht="14.25" customHeight="1" x14ac:dyDescent="0.4">
      <c r="A659">
        <v>653</v>
      </c>
      <c r="D659" s="34">
        <v>0</v>
      </c>
      <c r="E659" s="32">
        <v>0</v>
      </c>
      <c r="F659" s="24">
        <v>0</v>
      </c>
      <c r="G659" s="24">
        <v>0</v>
      </c>
      <c r="H659" s="134">
        <v>0</v>
      </c>
      <c r="I659" s="23">
        <v>0</v>
      </c>
      <c r="J659" s="37">
        <v>0</v>
      </c>
      <c r="K659" s="24">
        <v>0</v>
      </c>
      <c r="L659" s="24">
        <v>0</v>
      </c>
      <c r="M659" s="32">
        <v>0</v>
      </c>
      <c r="N659" s="22">
        <v>0</v>
      </c>
      <c r="O659">
        <v>9131033</v>
      </c>
      <c r="T659" s="4"/>
      <c r="V659" s="4"/>
    </row>
    <row r="660" spans="1:22" ht="14.25" customHeight="1" x14ac:dyDescent="0.4">
      <c r="A660">
        <v>654</v>
      </c>
      <c r="D660" s="34">
        <v>0</v>
      </c>
      <c r="E660" s="32">
        <v>0</v>
      </c>
      <c r="F660" s="24">
        <v>0</v>
      </c>
      <c r="G660" s="24">
        <v>0</v>
      </c>
      <c r="H660" s="134">
        <v>0</v>
      </c>
      <c r="I660" s="23">
        <v>0</v>
      </c>
      <c r="J660" s="37">
        <v>0</v>
      </c>
      <c r="K660" s="24">
        <v>0</v>
      </c>
      <c r="L660" s="24">
        <v>0</v>
      </c>
      <c r="M660" s="32">
        <v>0</v>
      </c>
      <c r="N660" s="22">
        <v>0</v>
      </c>
      <c r="O660">
        <v>9131034</v>
      </c>
      <c r="T660" s="4"/>
      <c r="V660" s="4"/>
    </row>
    <row r="661" spans="1:22" ht="14.25" customHeight="1" x14ac:dyDescent="0.4">
      <c r="A661">
        <v>655</v>
      </c>
      <c r="D661" s="34">
        <v>0</v>
      </c>
      <c r="E661" s="32">
        <v>0</v>
      </c>
      <c r="F661" s="24">
        <v>0</v>
      </c>
      <c r="G661" s="24">
        <v>0</v>
      </c>
      <c r="H661" s="134">
        <v>0</v>
      </c>
      <c r="I661" s="23">
        <v>0</v>
      </c>
      <c r="J661" s="37">
        <v>0</v>
      </c>
      <c r="K661" s="24">
        <v>0</v>
      </c>
      <c r="L661" s="24">
        <v>0</v>
      </c>
      <c r="M661" s="32">
        <v>0</v>
      </c>
      <c r="N661" s="22">
        <v>0</v>
      </c>
      <c r="O661">
        <v>9131036</v>
      </c>
      <c r="T661" s="4"/>
      <c r="V661" s="4"/>
    </row>
    <row r="662" spans="1:22" ht="14.25" customHeight="1" x14ac:dyDescent="0.4">
      <c r="A662">
        <v>656</v>
      </c>
      <c r="D662" s="34">
        <v>0</v>
      </c>
      <c r="E662" s="32">
        <v>0</v>
      </c>
      <c r="F662" s="24">
        <v>0</v>
      </c>
      <c r="G662" s="24">
        <v>0</v>
      </c>
      <c r="H662" s="134">
        <v>0</v>
      </c>
      <c r="I662" s="23">
        <v>0</v>
      </c>
      <c r="J662" s="37">
        <v>0</v>
      </c>
      <c r="K662" s="24">
        <v>0</v>
      </c>
      <c r="L662" s="24">
        <v>0</v>
      </c>
      <c r="M662" s="32">
        <v>0</v>
      </c>
      <c r="N662" s="22">
        <v>0</v>
      </c>
      <c r="O662">
        <v>9131037</v>
      </c>
      <c r="T662" s="4"/>
      <c r="V662" s="4"/>
    </row>
    <row r="663" spans="1:22" ht="14.25" customHeight="1" x14ac:dyDescent="0.4">
      <c r="A663">
        <v>657</v>
      </c>
      <c r="D663" s="34">
        <v>0</v>
      </c>
      <c r="E663" s="32">
        <v>0</v>
      </c>
      <c r="F663" s="24">
        <v>0</v>
      </c>
      <c r="G663" s="24">
        <v>0</v>
      </c>
      <c r="H663" s="134">
        <v>0</v>
      </c>
      <c r="I663" s="23">
        <v>0</v>
      </c>
      <c r="J663" s="37">
        <v>0</v>
      </c>
      <c r="K663" s="24">
        <v>0</v>
      </c>
      <c r="L663" s="24">
        <v>0</v>
      </c>
      <c r="M663" s="32">
        <v>0</v>
      </c>
      <c r="N663" s="22">
        <v>0</v>
      </c>
      <c r="O663">
        <v>9131038</v>
      </c>
      <c r="T663" s="4"/>
      <c r="V663" s="4"/>
    </row>
    <row r="664" spans="1:22" ht="14.25" customHeight="1" x14ac:dyDescent="0.4">
      <c r="A664">
        <v>658</v>
      </c>
      <c r="D664" s="34">
        <v>0</v>
      </c>
      <c r="E664" s="32">
        <v>0</v>
      </c>
      <c r="F664" s="24">
        <v>0</v>
      </c>
      <c r="G664" s="24">
        <v>0</v>
      </c>
      <c r="H664" s="134">
        <v>0</v>
      </c>
      <c r="I664" s="23">
        <v>0</v>
      </c>
      <c r="J664" s="37">
        <v>0</v>
      </c>
      <c r="K664" s="24">
        <v>0</v>
      </c>
      <c r="L664" s="24">
        <v>0</v>
      </c>
      <c r="M664" s="32">
        <v>0</v>
      </c>
      <c r="N664" s="22">
        <v>0</v>
      </c>
      <c r="O664">
        <v>9131041</v>
      </c>
      <c r="T664" s="4"/>
      <c r="V664" s="4"/>
    </row>
    <row r="665" spans="1:22" ht="14.25" customHeight="1" x14ac:dyDescent="0.4">
      <c r="A665">
        <v>659</v>
      </c>
      <c r="D665" s="34">
        <v>0</v>
      </c>
      <c r="E665" s="32">
        <v>0</v>
      </c>
      <c r="F665" s="24">
        <v>0</v>
      </c>
      <c r="G665" s="24">
        <v>0</v>
      </c>
      <c r="H665" s="134">
        <v>0</v>
      </c>
      <c r="I665" s="23">
        <v>0</v>
      </c>
      <c r="J665" s="37">
        <v>0</v>
      </c>
      <c r="K665" s="24">
        <v>0</v>
      </c>
      <c r="L665" s="24">
        <v>0</v>
      </c>
      <c r="M665" s="32">
        <v>0</v>
      </c>
      <c r="N665" s="22">
        <v>0</v>
      </c>
      <c r="O665">
        <v>9131042</v>
      </c>
      <c r="T665" s="4"/>
      <c r="V665" s="4"/>
    </row>
    <row r="666" spans="1:22" ht="14.25" customHeight="1" x14ac:dyDescent="0.4">
      <c r="A666">
        <v>660</v>
      </c>
      <c r="D666" s="34">
        <v>0</v>
      </c>
      <c r="E666" s="32">
        <v>0</v>
      </c>
      <c r="F666" s="24">
        <v>0</v>
      </c>
      <c r="G666" s="24">
        <v>0</v>
      </c>
      <c r="H666" s="134">
        <v>0</v>
      </c>
      <c r="I666" s="23">
        <v>0</v>
      </c>
      <c r="J666" s="37">
        <v>0</v>
      </c>
      <c r="K666" s="24">
        <v>0</v>
      </c>
      <c r="L666" s="24">
        <v>0</v>
      </c>
      <c r="M666" s="32">
        <v>0</v>
      </c>
      <c r="N666" s="22">
        <v>0</v>
      </c>
      <c r="O666">
        <v>9131043</v>
      </c>
      <c r="T666" s="4"/>
      <c r="V666" s="4"/>
    </row>
    <row r="667" spans="1:22" ht="14.25" customHeight="1" x14ac:dyDescent="0.4">
      <c r="A667">
        <v>661</v>
      </c>
      <c r="D667" s="34">
        <v>0</v>
      </c>
      <c r="E667" s="32">
        <v>0</v>
      </c>
      <c r="F667" s="24">
        <v>0</v>
      </c>
      <c r="G667" s="24">
        <v>0</v>
      </c>
      <c r="H667" s="134">
        <v>0</v>
      </c>
      <c r="I667" s="23">
        <v>0</v>
      </c>
      <c r="J667" s="37">
        <v>0</v>
      </c>
      <c r="K667" s="24">
        <v>0</v>
      </c>
      <c r="L667" s="24">
        <v>0</v>
      </c>
      <c r="M667" s="32">
        <v>0</v>
      </c>
      <c r="N667" s="22">
        <v>0</v>
      </c>
      <c r="O667">
        <v>9131044</v>
      </c>
      <c r="T667" s="4"/>
      <c r="V667" s="4"/>
    </row>
    <row r="668" spans="1:22" ht="14.25" customHeight="1" x14ac:dyDescent="0.4">
      <c r="A668">
        <v>662</v>
      </c>
      <c r="D668" s="34">
        <v>0</v>
      </c>
      <c r="E668" s="32">
        <v>0</v>
      </c>
      <c r="F668" s="24">
        <v>0</v>
      </c>
      <c r="G668" s="24">
        <v>0</v>
      </c>
      <c r="H668" s="134">
        <v>0</v>
      </c>
      <c r="I668" s="23">
        <v>0</v>
      </c>
      <c r="J668" s="37">
        <v>0</v>
      </c>
      <c r="K668" s="24">
        <v>0</v>
      </c>
      <c r="L668" s="24">
        <v>0</v>
      </c>
      <c r="M668" s="32">
        <v>0</v>
      </c>
      <c r="N668" s="22">
        <v>0</v>
      </c>
      <c r="O668">
        <v>9131045</v>
      </c>
      <c r="T668" s="4"/>
      <c r="V668" s="4"/>
    </row>
    <row r="669" spans="1:22" ht="14.25" customHeight="1" x14ac:dyDescent="0.4">
      <c r="A669">
        <v>663</v>
      </c>
      <c r="D669" s="34">
        <v>0</v>
      </c>
      <c r="E669" s="32">
        <v>0</v>
      </c>
      <c r="F669" s="24">
        <v>0</v>
      </c>
      <c r="G669" s="24">
        <v>0</v>
      </c>
      <c r="H669" s="134">
        <v>0</v>
      </c>
      <c r="I669" s="23">
        <v>0</v>
      </c>
      <c r="J669" s="37">
        <v>0</v>
      </c>
      <c r="K669" s="24">
        <v>0</v>
      </c>
      <c r="L669" s="24">
        <v>0</v>
      </c>
      <c r="M669" s="32">
        <v>0</v>
      </c>
      <c r="N669" s="22">
        <v>0</v>
      </c>
      <c r="O669">
        <v>9131047</v>
      </c>
      <c r="T669" s="4"/>
      <c r="V669" s="4"/>
    </row>
    <row r="670" spans="1:22" ht="14.25" customHeight="1" x14ac:dyDescent="0.4">
      <c r="A670">
        <v>664</v>
      </c>
      <c r="D670" s="34">
        <v>0</v>
      </c>
      <c r="E670" s="32">
        <v>0</v>
      </c>
      <c r="F670" s="24">
        <v>0</v>
      </c>
      <c r="G670" s="24">
        <v>0</v>
      </c>
      <c r="H670" s="134">
        <v>0</v>
      </c>
      <c r="I670" s="23">
        <v>0</v>
      </c>
      <c r="J670" s="37">
        <v>0</v>
      </c>
      <c r="K670" s="24">
        <v>0</v>
      </c>
      <c r="L670" s="24">
        <v>0</v>
      </c>
      <c r="M670" s="32">
        <v>0</v>
      </c>
      <c r="N670" s="22">
        <v>0</v>
      </c>
      <c r="O670">
        <v>9131048</v>
      </c>
      <c r="T670" s="4"/>
      <c r="V670" s="4"/>
    </row>
    <row r="671" spans="1:22" ht="14.25" customHeight="1" x14ac:dyDescent="0.4">
      <c r="A671">
        <v>665</v>
      </c>
      <c r="D671" s="34">
        <v>0</v>
      </c>
      <c r="E671" s="32">
        <v>0</v>
      </c>
      <c r="F671" s="24">
        <v>0</v>
      </c>
      <c r="G671" s="24">
        <v>0</v>
      </c>
      <c r="H671" s="134">
        <v>0</v>
      </c>
      <c r="I671" s="23">
        <v>0</v>
      </c>
      <c r="J671" s="37">
        <v>0</v>
      </c>
      <c r="K671" s="24">
        <v>0</v>
      </c>
      <c r="L671" s="24">
        <v>0</v>
      </c>
      <c r="M671" s="32">
        <v>0</v>
      </c>
      <c r="N671" s="22">
        <v>0</v>
      </c>
      <c r="O671">
        <v>9131049</v>
      </c>
      <c r="T671" s="4"/>
      <c r="V671" s="4"/>
    </row>
    <row r="672" spans="1:22" ht="14.25" customHeight="1" x14ac:dyDescent="0.4">
      <c r="A672">
        <v>666</v>
      </c>
      <c r="D672" s="34">
        <v>0</v>
      </c>
      <c r="E672" s="32">
        <v>0</v>
      </c>
      <c r="F672" s="24">
        <v>0</v>
      </c>
      <c r="G672" s="24">
        <v>0</v>
      </c>
      <c r="H672" s="134">
        <v>0</v>
      </c>
      <c r="I672" s="23">
        <v>0</v>
      </c>
      <c r="J672" s="37">
        <v>0</v>
      </c>
      <c r="K672" s="24">
        <v>0</v>
      </c>
      <c r="L672" s="24">
        <v>0</v>
      </c>
      <c r="M672" s="32">
        <v>0</v>
      </c>
      <c r="N672" s="22">
        <v>0</v>
      </c>
      <c r="O672">
        <v>9131051</v>
      </c>
      <c r="T672" s="4"/>
      <c r="V672" s="4"/>
    </row>
    <row r="673" spans="1:22" ht="14.25" customHeight="1" x14ac:dyDescent="0.4">
      <c r="A673">
        <v>667</v>
      </c>
      <c r="D673" s="34">
        <v>0</v>
      </c>
      <c r="E673" s="32">
        <v>0</v>
      </c>
      <c r="F673" s="24">
        <v>0</v>
      </c>
      <c r="G673" s="24">
        <v>0</v>
      </c>
      <c r="H673" s="134">
        <v>0</v>
      </c>
      <c r="I673" s="23">
        <v>0</v>
      </c>
      <c r="J673" s="37">
        <v>0</v>
      </c>
      <c r="K673" s="24">
        <v>0</v>
      </c>
      <c r="L673" s="24">
        <v>0</v>
      </c>
      <c r="M673" s="32">
        <v>0</v>
      </c>
      <c r="N673" s="22">
        <v>0</v>
      </c>
      <c r="O673">
        <v>9131053</v>
      </c>
      <c r="T673" s="4"/>
      <c r="V673" s="4"/>
    </row>
    <row r="674" spans="1:22" ht="14.25" customHeight="1" x14ac:dyDescent="0.4">
      <c r="A674">
        <v>668</v>
      </c>
      <c r="D674" s="34">
        <v>0</v>
      </c>
      <c r="E674" s="32">
        <v>0</v>
      </c>
      <c r="F674" s="24">
        <v>0</v>
      </c>
      <c r="G674" s="24">
        <v>0</v>
      </c>
      <c r="H674" s="134">
        <v>0</v>
      </c>
      <c r="I674" s="23">
        <v>0</v>
      </c>
      <c r="J674" s="37">
        <v>0</v>
      </c>
      <c r="K674" s="24">
        <v>0</v>
      </c>
      <c r="L674" s="24">
        <v>0</v>
      </c>
      <c r="M674" s="32">
        <v>0</v>
      </c>
      <c r="N674" s="22">
        <v>0</v>
      </c>
      <c r="O674">
        <v>9131054</v>
      </c>
      <c r="T674" s="4"/>
      <c r="V674" s="4"/>
    </row>
    <row r="675" spans="1:22" ht="14.25" customHeight="1" x14ac:dyDescent="0.4">
      <c r="A675">
        <v>669</v>
      </c>
      <c r="D675" s="34">
        <v>0</v>
      </c>
      <c r="E675" s="32">
        <v>0</v>
      </c>
      <c r="F675" s="24">
        <v>0</v>
      </c>
      <c r="G675" s="24">
        <v>0</v>
      </c>
      <c r="H675" s="134">
        <v>0</v>
      </c>
      <c r="I675" s="23">
        <v>0</v>
      </c>
      <c r="J675" s="37">
        <v>0</v>
      </c>
      <c r="K675" s="24">
        <v>0</v>
      </c>
      <c r="L675" s="24">
        <v>0</v>
      </c>
      <c r="M675" s="32">
        <v>0</v>
      </c>
      <c r="N675" s="22">
        <v>0</v>
      </c>
      <c r="O675">
        <v>9131055</v>
      </c>
      <c r="T675" s="4"/>
      <c r="V675" s="4"/>
    </row>
    <row r="676" spans="1:22" ht="14.25" customHeight="1" x14ac:dyDescent="0.4">
      <c r="A676">
        <v>670</v>
      </c>
      <c r="D676" s="34">
        <v>0</v>
      </c>
      <c r="E676" s="32">
        <v>0</v>
      </c>
      <c r="F676" s="24">
        <v>0</v>
      </c>
      <c r="G676" s="24">
        <v>0</v>
      </c>
      <c r="H676" s="134">
        <v>0</v>
      </c>
      <c r="I676" s="23">
        <v>0</v>
      </c>
      <c r="J676" s="37">
        <v>0</v>
      </c>
      <c r="K676" s="24">
        <v>0</v>
      </c>
      <c r="L676" s="24">
        <v>0</v>
      </c>
      <c r="M676" s="32">
        <v>0</v>
      </c>
      <c r="N676" s="22">
        <v>0</v>
      </c>
      <c r="O676">
        <v>9131056</v>
      </c>
      <c r="T676" s="4"/>
      <c r="V676" s="4"/>
    </row>
    <row r="677" spans="1:22" ht="14.25" customHeight="1" x14ac:dyDescent="0.4">
      <c r="A677">
        <v>671</v>
      </c>
      <c r="D677" s="34">
        <v>0</v>
      </c>
      <c r="E677" s="32">
        <v>0</v>
      </c>
      <c r="F677" s="24">
        <v>0</v>
      </c>
      <c r="G677" s="24">
        <v>0</v>
      </c>
      <c r="H677" s="134">
        <v>0</v>
      </c>
      <c r="I677" s="23">
        <v>0</v>
      </c>
      <c r="J677" s="37">
        <v>0</v>
      </c>
      <c r="K677" s="24">
        <v>0</v>
      </c>
      <c r="L677" s="24">
        <v>0</v>
      </c>
      <c r="M677" s="32">
        <v>0</v>
      </c>
      <c r="N677" s="22">
        <v>0</v>
      </c>
      <c r="O677">
        <v>9131058</v>
      </c>
      <c r="T677" s="4"/>
      <c r="V677" s="4"/>
    </row>
    <row r="678" spans="1:22" ht="14.25" customHeight="1" x14ac:dyDescent="0.4">
      <c r="A678">
        <v>672</v>
      </c>
      <c r="D678" s="34">
        <v>0</v>
      </c>
      <c r="E678" s="32">
        <v>0</v>
      </c>
      <c r="F678" s="24">
        <v>0</v>
      </c>
      <c r="G678" s="24">
        <v>0</v>
      </c>
      <c r="H678" s="134">
        <v>0</v>
      </c>
      <c r="I678" s="23">
        <v>0</v>
      </c>
      <c r="J678" s="37">
        <v>0</v>
      </c>
      <c r="K678" s="24">
        <v>0</v>
      </c>
      <c r="L678" s="24">
        <v>0</v>
      </c>
      <c r="M678" s="32">
        <v>0</v>
      </c>
      <c r="N678" s="22">
        <v>0</v>
      </c>
      <c r="O678">
        <v>9131059</v>
      </c>
      <c r="T678" s="4"/>
      <c r="V678" s="4"/>
    </row>
    <row r="679" spans="1:22" ht="14.25" customHeight="1" x14ac:dyDescent="0.4">
      <c r="A679">
        <v>673</v>
      </c>
      <c r="D679" s="34">
        <v>0</v>
      </c>
      <c r="E679" s="32">
        <v>0</v>
      </c>
      <c r="F679" s="24">
        <v>0</v>
      </c>
      <c r="G679" s="24">
        <v>0</v>
      </c>
      <c r="H679" s="134">
        <v>0</v>
      </c>
      <c r="I679" s="23">
        <v>0</v>
      </c>
      <c r="J679" s="37">
        <v>0</v>
      </c>
      <c r="K679" s="24">
        <v>0</v>
      </c>
      <c r="L679" s="24">
        <v>0</v>
      </c>
      <c r="M679" s="32">
        <v>0</v>
      </c>
      <c r="N679" s="22">
        <v>0</v>
      </c>
      <c r="O679">
        <v>9131060</v>
      </c>
      <c r="T679" s="4"/>
      <c r="V679" s="4"/>
    </row>
    <row r="680" spans="1:22" ht="14.25" customHeight="1" x14ac:dyDescent="0.4">
      <c r="A680">
        <v>674</v>
      </c>
      <c r="D680" s="34">
        <v>0</v>
      </c>
      <c r="E680" s="32">
        <v>0</v>
      </c>
      <c r="F680" s="24">
        <v>0</v>
      </c>
      <c r="G680" s="24">
        <v>0</v>
      </c>
      <c r="H680" s="134">
        <v>0</v>
      </c>
      <c r="I680" s="23">
        <v>0</v>
      </c>
      <c r="J680" s="37">
        <v>0</v>
      </c>
      <c r="K680" s="24">
        <v>0</v>
      </c>
      <c r="L680" s="24">
        <v>0</v>
      </c>
      <c r="M680" s="32">
        <v>0</v>
      </c>
      <c r="N680" s="22">
        <v>0</v>
      </c>
      <c r="O680">
        <v>9131062</v>
      </c>
      <c r="T680" s="4"/>
      <c r="V680" s="4"/>
    </row>
    <row r="681" spans="1:22" ht="14.25" customHeight="1" x14ac:dyDescent="0.4">
      <c r="A681">
        <v>675</v>
      </c>
      <c r="D681" s="34">
        <v>0</v>
      </c>
      <c r="E681" s="32">
        <v>0</v>
      </c>
      <c r="F681" s="24">
        <v>0</v>
      </c>
      <c r="G681" s="24">
        <v>0</v>
      </c>
      <c r="H681" s="134">
        <v>0</v>
      </c>
      <c r="I681" s="23">
        <v>0</v>
      </c>
      <c r="J681" s="37">
        <v>0</v>
      </c>
      <c r="K681" s="24">
        <v>0</v>
      </c>
      <c r="L681" s="24">
        <v>0</v>
      </c>
      <c r="M681" s="32">
        <v>0</v>
      </c>
      <c r="N681" s="22">
        <v>0</v>
      </c>
      <c r="O681">
        <v>9131063</v>
      </c>
      <c r="T681" s="4"/>
      <c r="V681" s="4"/>
    </row>
    <row r="682" spans="1:22" ht="14.25" customHeight="1" x14ac:dyDescent="0.4">
      <c r="A682">
        <v>676</v>
      </c>
      <c r="D682" s="34">
        <v>0</v>
      </c>
      <c r="E682" s="32">
        <v>0</v>
      </c>
      <c r="F682" s="24">
        <v>0</v>
      </c>
      <c r="G682" s="24">
        <v>0</v>
      </c>
      <c r="H682" s="134">
        <v>0</v>
      </c>
      <c r="I682" s="23">
        <v>0</v>
      </c>
      <c r="J682" s="37">
        <v>0</v>
      </c>
      <c r="K682" s="24">
        <v>0</v>
      </c>
      <c r="L682" s="24">
        <v>0</v>
      </c>
      <c r="M682" s="32">
        <v>0</v>
      </c>
      <c r="N682" s="22">
        <v>0</v>
      </c>
      <c r="O682">
        <v>9131064</v>
      </c>
      <c r="T682" s="4"/>
      <c r="V682" s="4"/>
    </row>
    <row r="683" spans="1:22" ht="14.25" customHeight="1" x14ac:dyDescent="0.4">
      <c r="A683">
        <v>677</v>
      </c>
      <c r="D683" s="34">
        <v>0</v>
      </c>
      <c r="E683" s="32">
        <v>0</v>
      </c>
      <c r="F683" s="24">
        <v>0</v>
      </c>
      <c r="G683" s="24">
        <v>0</v>
      </c>
      <c r="H683" s="134">
        <v>0</v>
      </c>
      <c r="I683" s="23">
        <v>0</v>
      </c>
      <c r="J683" s="37">
        <v>0</v>
      </c>
      <c r="K683" s="24">
        <v>0</v>
      </c>
      <c r="L683" s="24">
        <v>0</v>
      </c>
      <c r="M683" s="32">
        <v>0</v>
      </c>
      <c r="N683" s="22">
        <v>0</v>
      </c>
      <c r="O683">
        <v>9131066</v>
      </c>
      <c r="T683" s="4"/>
      <c r="V683" s="4"/>
    </row>
    <row r="684" spans="1:22" ht="14.25" customHeight="1" x14ac:dyDescent="0.4">
      <c r="A684">
        <v>678</v>
      </c>
      <c r="D684" s="34">
        <v>0</v>
      </c>
      <c r="E684" s="32">
        <v>0</v>
      </c>
      <c r="F684" s="24">
        <v>0</v>
      </c>
      <c r="G684" s="24">
        <v>0</v>
      </c>
      <c r="H684" s="134">
        <v>0</v>
      </c>
      <c r="I684" s="23">
        <v>0</v>
      </c>
      <c r="J684" s="37">
        <v>0</v>
      </c>
      <c r="K684" s="24">
        <v>0</v>
      </c>
      <c r="L684" s="24">
        <v>0</v>
      </c>
      <c r="M684" s="32">
        <v>0</v>
      </c>
      <c r="N684" s="22">
        <v>0</v>
      </c>
      <c r="O684">
        <v>9131068</v>
      </c>
      <c r="T684" s="4"/>
      <c r="V684" s="4"/>
    </row>
    <row r="685" spans="1:22" ht="14.25" customHeight="1" x14ac:dyDescent="0.4">
      <c r="A685">
        <v>679</v>
      </c>
      <c r="D685" s="34">
        <v>0</v>
      </c>
      <c r="E685" s="32">
        <v>0</v>
      </c>
      <c r="F685" s="24">
        <v>0</v>
      </c>
      <c r="G685" s="24">
        <v>0</v>
      </c>
      <c r="H685" s="134">
        <v>0</v>
      </c>
      <c r="I685" s="23">
        <v>0</v>
      </c>
      <c r="J685" s="37">
        <v>0</v>
      </c>
      <c r="K685" s="24">
        <v>0</v>
      </c>
      <c r="L685" s="24">
        <v>0</v>
      </c>
      <c r="M685" s="32">
        <v>0</v>
      </c>
      <c r="N685" s="22">
        <v>0</v>
      </c>
      <c r="O685">
        <v>9131069</v>
      </c>
      <c r="T685" s="4"/>
      <c r="V685" s="4"/>
    </row>
    <row r="686" spans="1:22" ht="14.25" customHeight="1" x14ac:dyDescent="0.4">
      <c r="A686">
        <v>680</v>
      </c>
      <c r="D686" s="34">
        <v>0</v>
      </c>
      <c r="E686" s="32">
        <v>0</v>
      </c>
      <c r="F686" s="24">
        <v>0</v>
      </c>
      <c r="G686" s="24">
        <v>0</v>
      </c>
      <c r="H686" s="134">
        <v>0</v>
      </c>
      <c r="I686" s="23">
        <v>0</v>
      </c>
      <c r="J686" s="37">
        <v>0</v>
      </c>
      <c r="K686" s="24">
        <v>0</v>
      </c>
      <c r="L686" s="24">
        <v>0</v>
      </c>
      <c r="M686" s="32">
        <v>0</v>
      </c>
      <c r="N686" s="22">
        <v>0</v>
      </c>
      <c r="O686">
        <v>9131070</v>
      </c>
      <c r="T686" s="4"/>
      <c r="V686" s="4"/>
    </row>
    <row r="687" spans="1:22" ht="14.25" customHeight="1" x14ac:dyDescent="0.4">
      <c r="A687">
        <v>681</v>
      </c>
      <c r="D687" s="34">
        <v>0</v>
      </c>
      <c r="E687" s="32">
        <v>0</v>
      </c>
      <c r="F687" s="24">
        <v>0</v>
      </c>
      <c r="G687" s="24">
        <v>0</v>
      </c>
      <c r="H687" s="134">
        <v>0</v>
      </c>
      <c r="I687" s="23">
        <v>0</v>
      </c>
      <c r="J687" s="37">
        <v>0</v>
      </c>
      <c r="K687" s="24">
        <v>0</v>
      </c>
      <c r="L687" s="24">
        <v>0</v>
      </c>
      <c r="M687" s="32">
        <v>0</v>
      </c>
      <c r="N687" s="22">
        <v>0</v>
      </c>
      <c r="O687">
        <v>9131072</v>
      </c>
      <c r="T687" s="4"/>
      <c r="V687" s="4"/>
    </row>
    <row r="688" spans="1:22" ht="14.25" customHeight="1" x14ac:dyDescent="0.4">
      <c r="A688">
        <v>682</v>
      </c>
      <c r="D688" s="34">
        <v>0</v>
      </c>
      <c r="E688" s="32">
        <v>0</v>
      </c>
      <c r="F688" s="24">
        <v>0</v>
      </c>
      <c r="G688" s="24">
        <v>0</v>
      </c>
      <c r="H688" s="134">
        <v>0</v>
      </c>
      <c r="I688" s="23">
        <v>0</v>
      </c>
      <c r="J688" s="37">
        <v>0</v>
      </c>
      <c r="K688" s="24">
        <v>0</v>
      </c>
      <c r="L688" s="24">
        <v>0</v>
      </c>
      <c r="M688" s="32">
        <v>0</v>
      </c>
      <c r="N688" s="22">
        <v>0</v>
      </c>
      <c r="O688">
        <v>9131074</v>
      </c>
      <c r="T688" s="4"/>
      <c r="V688" s="4"/>
    </row>
    <row r="689" spans="1:22" ht="14.25" customHeight="1" x14ac:dyDescent="0.4">
      <c r="A689">
        <v>683</v>
      </c>
      <c r="D689" s="34">
        <v>0</v>
      </c>
      <c r="E689" s="32">
        <v>0</v>
      </c>
      <c r="F689" s="24">
        <v>0</v>
      </c>
      <c r="G689" s="24">
        <v>0</v>
      </c>
      <c r="H689" s="134">
        <v>0</v>
      </c>
      <c r="I689" s="23">
        <v>0</v>
      </c>
      <c r="J689" s="37">
        <v>0</v>
      </c>
      <c r="K689" s="24">
        <v>0</v>
      </c>
      <c r="L689" s="24">
        <v>0</v>
      </c>
      <c r="M689" s="32">
        <v>0</v>
      </c>
      <c r="N689" s="22">
        <v>0</v>
      </c>
      <c r="O689">
        <v>9131076</v>
      </c>
      <c r="T689" s="4"/>
      <c r="V689" s="4"/>
    </row>
    <row r="690" spans="1:22" ht="14.25" customHeight="1" x14ac:dyDescent="0.4">
      <c r="A690">
        <v>684</v>
      </c>
      <c r="D690" s="34">
        <v>0</v>
      </c>
      <c r="E690" s="32">
        <v>0</v>
      </c>
      <c r="F690" s="24">
        <v>0</v>
      </c>
      <c r="G690" s="24">
        <v>0</v>
      </c>
      <c r="H690" s="134">
        <v>0</v>
      </c>
      <c r="I690" s="23">
        <v>0</v>
      </c>
      <c r="J690" s="37">
        <v>0</v>
      </c>
      <c r="K690" s="24">
        <v>0</v>
      </c>
      <c r="L690" s="24">
        <v>0</v>
      </c>
      <c r="M690" s="32">
        <v>0</v>
      </c>
      <c r="N690" s="22">
        <v>0</v>
      </c>
      <c r="O690">
        <v>9131079</v>
      </c>
      <c r="T690" s="4"/>
      <c r="V690" s="4"/>
    </row>
    <row r="691" spans="1:22" ht="14.25" customHeight="1" x14ac:dyDescent="0.4">
      <c r="A691">
        <v>685</v>
      </c>
      <c r="D691" s="34">
        <v>0</v>
      </c>
      <c r="E691" s="32">
        <v>0</v>
      </c>
      <c r="F691" s="24">
        <v>0</v>
      </c>
      <c r="G691" s="24">
        <v>0</v>
      </c>
      <c r="H691" s="134">
        <v>0</v>
      </c>
      <c r="I691" s="23">
        <v>0</v>
      </c>
      <c r="J691" s="37">
        <v>0</v>
      </c>
      <c r="K691" s="24">
        <v>0</v>
      </c>
      <c r="L691" s="24">
        <v>0</v>
      </c>
      <c r="M691" s="32">
        <v>0</v>
      </c>
      <c r="N691" s="22">
        <v>0</v>
      </c>
      <c r="O691">
        <v>9131080</v>
      </c>
      <c r="T691" s="4"/>
      <c r="V691" s="4"/>
    </row>
    <row r="692" spans="1:22" ht="14.25" customHeight="1" x14ac:dyDescent="0.4">
      <c r="A692">
        <v>686</v>
      </c>
      <c r="D692" s="34">
        <v>0</v>
      </c>
      <c r="E692" s="32">
        <v>0</v>
      </c>
      <c r="F692" s="24">
        <v>0</v>
      </c>
      <c r="G692" s="24">
        <v>0</v>
      </c>
      <c r="H692" s="134">
        <v>0</v>
      </c>
      <c r="I692" s="23">
        <v>0</v>
      </c>
      <c r="J692" s="37">
        <v>0</v>
      </c>
      <c r="K692" s="24">
        <v>0</v>
      </c>
      <c r="L692" s="24">
        <v>0</v>
      </c>
      <c r="M692" s="32">
        <v>0</v>
      </c>
      <c r="N692" s="22">
        <v>0</v>
      </c>
      <c r="O692">
        <v>9131081</v>
      </c>
      <c r="T692" s="4"/>
      <c r="V692" s="4"/>
    </row>
    <row r="693" spans="1:22" ht="14.25" customHeight="1" x14ac:dyDescent="0.4">
      <c r="A693">
        <v>687</v>
      </c>
      <c r="D693" s="34">
        <v>0</v>
      </c>
      <c r="E693" s="32">
        <v>0</v>
      </c>
      <c r="F693" s="24">
        <v>0</v>
      </c>
      <c r="G693" s="24">
        <v>0</v>
      </c>
      <c r="H693" s="134">
        <v>0</v>
      </c>
      <c r="I693" s="23">
        <v>0</v>
      </c>
      <c r="J693" s="37">
        <v>0</v>
      </c>
      <c r="K693" s="24">
        <v>0</v>
      </c>
      <c r="L693" s="24">
        <v>0</v>
      </c>
      <c r="M693" s="32">
        <v>0</v>
      </c>
      <c r="N693" s="22">
        <v>0</v>
      </c>
      <c r="O693">
        <v>9131082</v>
      </c>
      <c r="T693" s="4"/>
      <c r="V693" s="4"/>
    </row>
    <row r="694" spans="1:22" ht="14.25" customHeight="1" x14ac:dyDescent="0.4">
      <c r="A694">
        <v>688</v>
      </c>
      <c r="D694" s="34">
        <v>0</v>
      </c>
      <c r="E694" s="32">
        <v>0</v>
      </c>
      <c r="F694" s="24">
        <v>0</v>
      </c>
      <c r="G694" s="24">
        <v>0</v>
      </c>
      <c r="H694" s="134">
        <v>0</v>
      </c>
      <c r="I694" s="23">
        <v>0</v>
      </c>
      <c r="J694" s="37">
        <v>0</v>
      </c>
      <c r="K694" s="24">
        <v>0</v>
      </c>
      <c r="L694" s="24">
        <v>0</v>
      </c>
      <c r="M694" s="32">
        <v>0</v>
      </c>
      <c r="N694" s="22">
        <v>0</v>
      </c>
      <c r="O694">
        <v>9131083</v>
      </c>
      <c r="T694" s="4"/>
      <c r="V694" s="4"/>
    </row>
    <row r="695" spans="1:22" ht="14.25" customHeight="1" x14ac:dyDescent="0.4">
      <c r="A695">
        <v>689</v>
      </c>
      <c r="D695" s="34">
        <v>0</v>
      </c>
      <c r="E695" s="32">
        <v>0</v>
      </c>
      <c r="F695" s="24">
        <v>0</v>
      </c>
      <c r="G695" s="24">
        <v>0</v>
      </c>
      <c r="H695" s="134">
        <v>0</v>
      </c>
      <c r="I695" s="23">
        <v>0</v>
      </c>
      <c r="J695" s="37">
        <v>0</v>
      </c>
      <c r="K695" s="24">
        <v>0</v>
      </c>
      <c r="L695" s="24">
        <v>0</v>
      </c>
      <c r="M695" s="32">
        <v>0</v>
      </c>
      <c r="N695" s="22">
        <v>0</v>
      </c>
      <c r="O695">
        <v>9131084</v>
      </c>
      <c r="T695" s="4"/>
      <c r="V695" s="4"/>
    </row>
    <row r="696" spans="1:22" ht="14.25" customHeight="1" x14ac:dyDescent="0.4">
      <c r="A696">
        <v>690</v>
      </c>
      <c r="D696" s="34">
        <v>0</v>
      </c>
      <c r="E696" s="32">
        <v>0</v>
      </c>
      <c r="F696" s="24">
        <v>0</v>
      </c>
      <c r="G696" s="24">
        <v>0</v>
      </c>
      <c r="H696" s="134">
        <v>0</v>
      </c>
      <c r="I696" s="23">
        <v>0</v>
      </c>
      <c r="J696" s="37">
        <v>0</v>
      </c>
      <c r="K696" s="24">
        <v>0</v>
      </c>
      <c r="L696" s="24">
        <v>0</v>
      </c>
      <c r="M696" s="32">
        <v>0</v>
      </c>
      <c r="N696" s="22">
        <v>0</v>
      </c>
      <c r="O696">
        <v>9131085</v>
      </c>
      <c r="T696" s="4"/>
      <c r="V696" s="4"/>
    </row>
    <row r="697" spans="1:22" ht="14.25" customHeight="1" x14ac:dyDescent="0.4">
      <c r="A697">
        <v>691</v>
      </c>
      <c r="D697" s="34">
        <v>0</v>
      </c>
      <c r="E697" s="32">
        <v>0</v>
      </c>
      <c r="F697" s="24">
        <v>0</v>
      </c>
      <c r="G697" s="24">
        <v>0</v>
      </c>
      <c r="H697" s="134">
        <v>0</v>
      </c>
      <c r="I697" s="23">
        <v>0</v>
      </c>
      <c r="J697" s="37">
        <v>0</v>
      </c>
      <c r="K697" s="24">
        <v>0</v>
      </c>
      <c r="L697" s="24">
        <v>0</v>
      </c>
      <c r="M697" s="32">
        <v>0</v>
      </c>
      <c r="N697" s="22">
        <v>0</v>
      </c>
      <c r="O697">
        <v>9131088</v>
      </c>
      <c r="T697" s="4"/>
      <c r="V697" s="4"/>
    </row>
    <row r="698" spans="1:22" ht="14.25" customHeight="1" x14ac:dyDescent="0.4">
      <c r="A698">
        <v>692</v>
      </c>
      <c r="D698" s="34">
        <v>0</v>
      </c>
      <c r="E698" s="32">
        <v>0</v>
      </c>
      <c r="F698" s="24">
        <v>0</v>
      </c>
      <c r="G698" s="24">
        <v>0</v>
      </c>
      <c r="H698" s="134">
        <v>0</v>
      </c>
      <c r="I698" s="23">
        <v>0</v>
      </c>
      <c r="J698" s="37">
        <v>0</v>
      </c>
      <c r="K698" s="24">
        <v>0</v>
      </c>
      <c r="L698" s="24">
        <v>0</v>
      </c>
      <c r="M698" s="32">
        <v>0</v>
      </c>
      <c r="N698" s="22">
        <v>0</v>
      </c>
      <c r="O698">
        <v>9131089</v>
      </c>
      <c r="T698" s="4"/>
      <c r="V698" s="4"/>
    </row>
    <row r="699" spans="1:22" ht="14.25" customHeight="1" x14ac:dyDescent="0.4">
      <c r="A699">
        <v>693</v>
      </c>
      <c r="D699" s="34">
        <v>0</v>
      </c>
      <c r="E699" s="32">
        <v>0</v>
      </c>
      <c r="F699" s="24">
        <v>0</v>
      </c>
      <c r="G699" s="24">
        <v>0</v>
      </c>
      <c r="H699" s="134">
        <v>0</v>
      </c>
      <c r="I699" s="23">
        <v>0</v>
      </c>
      <c r="J699" s="37">
        <v>0</v>
      </c>
      <c r="K699" s="24">
        <v>0</v>
      </c>
      <c r="L699" s="24">
        <v>0</v>
      </c>
      <c r="M699" s="32">
        <v>0</v>
      </c>
      <c r="N699" s="22">
        <v>0</v>
      </c>
      <c r="O699">
        <v>9131091</v>
      </c>
      <c r="T699" s="4"/>
      <c r="V699" s="4"/>
    </row>
    <row r="700" spans="1:22" ht="14.25" customHeight="1" x14ac:dyDescent="0.4">
      <c r="A700">
        <v>694</v>
      </c>
      <c r="D700" s="34">
        <v>0</v>
      </c>
      <c r="E700" s="32">
        <v>0</v>
      </c>
      <c r="F700" s="24">
        <v>0</v>
      </c>
      <c r="G700" s="24">
        <v>0</v>
      </c>
      <c r="H700" s="134">
        <v>0</v>
      </c>
      <c r="I700" s="23">
        <v>0</v>
      </c>
      <c r="J700" s="37">
        <v>0</v>
      </c>
      <c r="K700" s="24">
        <v>0</v>
      </c>
      <c r="L700" s="24">
        <v>0</v>
      </c>
      <c r="M700" s="32">
        <v>0</v>
      </c>
      <c r="N700" s="22">
        <v>0</v>
      </c>
      <c r="O700">
        <v>9131092</v>
      </c>
      <c r="T700" s="4"/>
      <c r="V700" s="4"/>
    </row>
    <row r="701" spans="1:22" ht="14.25" customHeight="1" x14ac:dyDescent="0.4">
      <c r="A701">
        <v>695</v>
      </c>
      <c r="D701" s="34">
        <v>0</v>
      </c>
      <c r="E701" s="32">
        <v>0</v>
      </c>
      <c r="F701" s="24">
        <v>0</v>
      </c>
      <c r="G701" s="24">
        <v>0</v>
      </c>
      <c r="H701" s="134">
        <v>0</v>
      </c>
      <c r="I701" s="23">
        <v>0</v>
      </c>
      <c r="J701" s="37">
        <v>0</v>
      </c>
      <c r="K701" s="24">
        <v>0</v>
      </c>
      <c r="L701" s="24">
        <v>0</v>
      </c>
      <c r="M701" s="32">
        <v>0</v>
      </c>
      <c r="N701" s="22">
        <v>0</v>
      </c>
      <c r="O701">
        <v>9131095</v>
      </c>
      <c r="T701" s="4"/>
      <c r="V701" s="4"/>
    </row>
    <row r="702" spans="1:22" ht="14.25" customHeight="1" x14ac:dyDescent="0.4">
      <c r="A702">
        <v>696</v>
      </c>
      <c r="D702" s="34">
        <v>0</v>
      </c>
      <c r="E702" s="32">
        <v>0</v>
      </c>
      <c r="F702" s="24">
        <v>0</v>
      </c>
      <c r="G702" s="24">
        <v>0</v>
      </c>
      <c r="H702" s="134">
        <v>0</v>
      </c>
      <c r="I702" s="23">
        <v>0</v>
      </c>
      <c r="J702" s="37">
        <v>0</v>
      </c>
      <c r="K702" s="24">
        <v>0</v>
      </c>
      <c r="L702" s="24">
        <v>0</v>
      </c>
      <c r="M702" s="32">
        <v>0</v>
      </c>
      <c r="N702" s="22">
        <v>0</v>
      </c>
      <c r="O702">
        <v>9131096</v>
      </c>
      <c r="T702" s="4"/>
      <c r="V702" s="4"/>
    </row>
    <row r="703" spans="1:22" ht="14.25" customHeight="1" x14ac:dyDescent="0.4">
      <c r="A703">
        <v>697</v>
      </c>
      <c r="D703" s="34">
        <v>0</v>
      </c>
      <c r="E703" s="32">
        <v>0</v>
      </c>
      <c r="F703" s="24">
        <v>0</v>
      </c>
      <c r="G703" s="24">
        <v>0</v>
      </c>
      <c r="H703" s="134">
        <v>0</v>
      </c>
      <c r="I703" s="23">
        <v>0</v>
      </c>
      <c r="J703" s="37">
        <v>0</v>
      </c>
      <c r="K703" s="24">
        <v>0</v>
      </c>
      <c r="L703" s="24">
        <v>0</v>
      </c>
      <c r="M703" s="32">
        <v>0</v>
      </c>
      <c r="N703" s="22">
        <v>0</v>
      </c>
      <c r="O703">
        <v>9131097</v>
      </c>
      <c r="T703" s="4"/>
      <c r="V703" s="4"/>
    </row>
    <row r="704" spans="1:22" ht="14.25" customHeight="1" x14ac:dyDescent="0.4">
      <c r="A704">
        <v>698</v>
      </c>
      <c r="D704" s="34">
        <v>0</v>
      </c>
      <c r="E704" s="32">
        <v>0</v>
      </c>
      <c r="F704" s="24">
        <v>0</v>
      </c>
      <c r="G704" s="24">
        <v>0</v>
      </c>
      <c r="H704" s="134">
        <v>0</v>
      </c>
      <c r="I704" s="23">
        <v>0</v>
      </c>
      <c r="J704" s="37">
        <v>0</v>
      </c>
      <c r="K704" s="24">
        <v>0</v>
      </c>
      <c r="L704" s="24">
        <v>0</v>
      </c>
      <c r="M704" s="32">
        <v>0</v>
      </c>
      <c r="N704" s="22">
        <v>0</v>
      </c>
      <c r="O704">
        <v>9131098</v>
      </c>
      <c r="T704" s="4"/>
      <c r="V704" s="4"/>
    </row>
    <row r="705" spans="1:22" ht="14.25" customHeight="1" x14ac:dyDescent="0.4">
      <c r="A705">
        <v>699</v>
      </c>
      <c r="D705" s="34">
        <v>0</v>
      </c>
      <c r="E705" s="32">
        <v>0</v>
      </c>
      <c r="F705" s="24">
        <v>0</v>
      </c>
      <c r="G705" s="24">
        <v>0</v>
      </c>
      <c r="H705" s="134">
        <v>0</v>
      </c>
      <c r="I705" s="23">
        <v>0</v>
      </c>
      <c r="J705" s="37">
        <v>0</v>
      </c>
      <c r="K705" s="24">
        <v>0</v>
      </c>
      <c r="L705" s="24">
        <v>0</v>
      </c>
      <c r="M705" s="32">
        <v>0</v>
      </c>
      <c r="N705" s="22">
        <v>0</v>
      </c>
      <c r="O705">
        <v>9131099</v>
      </c>
      <c r="T705" s="4"/>
      <c r="V705" s="4"/>
    </row>
    <row r="706" spans="1:22" ht="14.25" customHeight="1" x14ac:dyDescent="0.4">
      <c r="A706">
        <v>700</v>
      </c>
      <c r="D706" s="34">
        <v>0</v>
      </c>
      <c r="E706" s="32">
        <v>0</v>
      </c>
      <c r="F706" s="24">
        <v>0</v>
      </c>
      <c r="G706" s="24">
        <v>0</v>
      </c>
      <c r="H706" s="134">
        <v>0</v>
      </c>
      <c r="I706" s="23">
        <v>0</v>
      </c>
      <c r="J706" s="37">
        <v>0</v>
      </c>
      <c r="K706" s="24">
        <v>0</v>
      </c>
      <c r="L706" s="24">
        <v>0</v>
      </c>
      <c r="M706" s="32">
        <v>0</v>
      </c>
      <c r="N706" s="22">
        <v>0</v>
      </c>
      <c r="O706">
        <v>9131100</v>
      </c>
      <c r="T706" s="4"/>
      <c r="V706" s="4"/>
    </row>
    <row r="707" spans="1:22" ht="14.25" customHeight="1" x14ac:dyDescent="0.4">
      <c r="A707">
        <v>701</v>
      </c>
      <c r="O707" s="4"/>
      <c r="T707" s="4"/>
      <c r="V707" s="4"/>
    </row>
    <row r="708" spans="1:22" ht="14.25" customHeight="1" x14ac:dyDescent="0.4">
      <c r="A708">
        <v>702</v>
      </c>
      <c r="O708" s="4"/>
      <c r="T708" s="4"/>
      <c r="V708" s="4"/>
    </row>
    <row r="709" spans="1:22" ht="14.25" customHeight="1" x14ac:dyDescent="0.4">
      <c r="A709">
        <v>703</v>
      </c>
      <c r="O709" s="4"/>
      <c r="T709" s="4"/>
      <c r="V709" s="4"/>
    </row>
    <row r="710" spans="1:22" ht="14.25" customHeight="1" x14ac:dyDescent="0.4">
      <c r="A710">
        <v>704</v>
      </c>
      <c r="O710" s="4"/>
      <c r="T710" s="4"/>
      <c r="V710" s="4"/>
    </row>
    <row r="711" spans="1:22" ht="14.25" customHeight="1" x14ac:dyDescent="0.4">
      <c r="A711">
        <v>705</v>
      </c>
      <c r="O711" s="4"/>
      <c r="T711" s="4"/>
      <c r="V711" s="4"/>
    </row>
    <row r="712" spans="1:22" ht="14.25" customHeight="1" x14ac:dyDescent="0.4">
      <c r="A712">
        <v>706</v>
      </c>
      <c r="O712" s="4"/>
      <c r="T712" s="4"/>
      <c r="V712" s="4"/>
    </row>
    <row r="713" spans="1:22" ht="14.25" customHeight="1" x14ac:dyDescent="0.4">
      <c r="A713">
        <v>707</v>
      </c>
      <c r="O713" s="4"/>
      <c r="T713" s="4"/>
      <c r="V713" s="4"/>
    </row>
    <row r="714" spans="1:22" ht="14.25" customHeight="1" x14ac:dyDescent="0.4">
      <c r="A714">
        <v>708</v>
      </c>
      <c r="O714" s="4"/>
      <c r="V714" s="4"/>
    </row>
    <row r="715" spans="1:22" ht="14.25" customHeight="1" x14ac:dyDescent="0.4">
      <c r="A715">
        <v>709</v>
      </c>
      <c r="O715" s="4"/>
      <c r="V715" s="4"/>
    </row>
    <row r="716" spans="1:22" ht="14.25" customHeight="1" x14ac:dyDescent="0.4">
      <c r="A716">
        <v>710</v>
      </c>
      <c r="O716" s="4"/>
      <c r="V716" s="4"/>
    </row>
    <row r="717" spans="1:22" ht="14.25" customHeight="1" x14ac:dyDescent="0.4">
      <c r="A717">
        <v>711</v>
      </c>
      <c r="O717" s="4"/>
      <c r="V717" s="4"/>
    </row>
    <row r="718" spans="1:22" ht="14.25" customHeight="1" x14ac:dyDescent="0.4">
      <c r="A718">
        <v>712</v>
      </c>
      <c r="O718" s="4"/>
      <c r="V718" s="4"/>
    </row>
    <row r="719" spans="1:22" ht="14.25" customHeight="1" x14ac:dyDescent="0.4">
      <c r="A719">
        <v>713</v>
      </c>
      <c r="O719" s="4"/>
      <c r="V719" s="4"/>
    </row>
    <row r="720" spans="1:22" ht="14.25" customHeight="1" x14ac:dyDescent="0.4">
      <c r="A720">
        <v>714</v>
      </c>
      <c r="O720" s="4"/>
      <c r="V720" s="4"/>
    </row>
    <row r="721" spans="1:22" ht="14.25" customHeight="1" x14ac:dyDescent="0.4">
      <c r="A721">
        <v>715</v>
      </c>
      <c r="O721" s="4"/>
      <c r="V721" s="4"/>
    </row>
    <row r="722" spans="1:22" ht="14.25" customHeight="1" x14ac:dyDescent="0.4">
      <c r="A722">
        <v>716</v>
      </c>
      <c r="O722" s="4"/>
      <c r="V722" s="4"/>
    </row>
    <row r="723" spans="1:22" ht="14.25" customHeight="1" x14ac:dyDescent="0.4">
      <c r="A723">
        <v>717</v>
      </c>
      <c r="O723" s="4"/>
      <c r="V723" s="4"/>
    </row>
    <row r="724" spans="1:22" ht="14.25" customHeight="1" x14ac:dyDescent="0.4">
      <c r="A724">
        <v>718</v>
      </c>
      <c r="O724" s="4"/>
      <c r="V724" s="4"/>
    </row>
    <row r="725" spans="1:22" ht="14.25" customHeight="1" x14ac:dyDescent="0.4">
      <c r="A725">
        <v>719</v>
      </c>
      <c r="O725" s="4"/>
      <c r="V725" s="4"/>
    </row>
    <row r="726" spans="1:22" ht="14.25" customHeight="1" x14ac:dyDescent="0.4">
      <c r="A726">
        <v>720</v>
      </c>
      <c r="O726" s="4"/>
      <c r="V726" s="4"/>
    </row>
    <row r="727" spans="1:22" ht="14.25" customHeight="1" x14ac:dyDescent="0.4">
      <c r="A727">
        <v>721</v>
      </c>
      <c r="O727" s="4"/>
      <c r="V727" s="4"/>
    </row>
    <row r="728" spans="1:22" ht="14.25" customHeight="1" x14ac:dyDescent="0.4">
      <c r="A728">
        <v>722</v>
      </c>
      <c r="O728" s="4"/>
      <c r="V728" s="4"/>
    </row>
    <row r="729" spans="1:22" ht="14.25" customHeight="1" x14ac:dyDescent="0.4">
      <c r="A729">
        <v>723</v>
      </c>
      <c r="O729" s="4"/>
      <c r="V729" s="4"/>
    </row>
    <row r="730" spans="1:22" ht="14.25" customHeight="1" x14ac:dyDescent="0.4">
      <c r="A730">
        <v>724</v>
      </c>
      <c r="O730" s="4"/>
      <c r="V730" s="4"/>
    </row>
    <row r="731" spans="1:22" ht="14.25" customHeight="1" x14ac:dyDescent="0.4">
      <c r="A731">
        <v>725</v>
      </c>
      <c r="O731" s="4"/>
      <c r="V731" s="4"/>
    </row>
    <row r="732" spans="1:22" ht="14.25" customHeight="1" x14ac:dyDescent="0.4">
      <c r="A732">
        <v>726</v>
      </c>
      <c r="O732" s="4"/>
      <c r="V732" s="4"/>
    </row>
    <row r="733" spans="1:22" ht="14.25" customHeight="1" x14ac:dyDescent="0.4">
      <c r="A733">
        <v>727</v>
      </c>
      <c r="O733" s="4"/>
      <c r="V733" s="4"/>
    </row>
    <row r="734" spans="1:22" ht="14.25" customHeight="1" x14ac:dyDescent="0.4">
      <c r="A734">
        <v>728</v>
      </c>
      <c r="O734" s="4"/>
      <c r="V734" s="4"/>
    </row>
    <row r="735" spans="1:22" ht="14.25" customHeight="1" x14ac:dyDescent="0.4">
      <c r="A735">
        <v>729</v>
      </c>
      <c r="O735" s="4"/>
      <c r="V735" s="4"/>
    </row>
    <row r="736" spans="1:22" ht="14.25" customHeight="1" x14ac:dyDescent="0.4">
      <c r="A736">
        <v>730</v>
      </c>
      <c r="O736" s="4"/>
      <c r="V736" s="4"/>
    </row>
    <row r="737" spans="1:22" ht="14.25" customHeight="1" x14ac:dyDescent="0.4">
      <c r="A737">
        <v>731</v>
      </c>
      <c r="O737" s="4"/>
      <c r="V737" s="4"/>
    </row>
    <row r="738" spans="1:22" ht="14.25" customHeight="1" x14ac:dyDescent="0.4">
      <c r="A738">
        <v>732</v>
      </c>
      <c r="O738" s="4"/>
      <c r="V738" s="4"/>
    </row>
    <row r="739" spans="1:22" ht="14.25" customHeight="1" x14ac:dyDescent="0.4">
      <c r="A739">
        <v>733</v>
      </c>
      <c r="O739" s="4"/>
      <c r="V739" s="4"/>
    </row>
    <row r="740" spans="1:22" ht="14.25" customHeight="1" x14ac:dyDescent="0.4">
      <c r="A740">
        <v>734</v>
      </c>
      <c r="O740" s="4"/>
      <c r="V740" s="4"/>
    </row>
    <row r="741" spans="1:22" ht="14.25" customHeight="1" x14ac:dyDescent="0.4">
      <c r="A741">
        <v>735</v>
      </c>
      <c r="O741" s="4"/>
      <c r="V741" s="4"/>
    </row>
    <row r="742" spans="1:22" ht="14.25" customHeight="1" x14ac:dyDescent="0.4">
      <c r="A742">
        <v>736</v>
      </c>
      <c r="O742" s="4"/>
      <c r="V742" s="4"/>
    </row>
    <row r="743" spans="1:22" ht="14.25" customHeight="1" x14ac:dyDescent="0.4">
      <c r="A743">
        <v>737</v>
      </c>
      <c r="O743" s="4"/>
      <c r="V743" s="4"/>
    </row>
    <row r="744" spans="1:22" ht="14.25" customHeight="1" x14ac:dyDescent="0.4">
      <c r="A744">
        <v>738</v>
      </c>
      <c r="O744" s="4"/>
      <c r="V744" s="4"/>
    </row>
    <row r="745" spans="1:22" ht="14.25" customHeight="1" x14ac:dyDescent="0.4">
      <c r="A745">
        <v>739</v>
      </c>
      <c r="O745" s="4"/>
      <c r="V745" s="4"/>
    </row>
    <row r="746" spans="1:22" ht="14.25" customHeight="1" x14ac:dyDescent="0.4">
      <c r="A746">
        <v>740</v>
      </c>
      <c r="O746" s="4"/>
      <c r="V746" s="4"/>
    </row>
    <row r="747" spans="1:22" ht="14.25" customHeight="1" x14ac:dyDescent="0.4">
      <c r="A747">
        <v>741</v>
      </c>
      <c r="O747" s="4"/>
      <c r="V747" s="4"/>
    </row>
    <row r="748" spans="1:22" ht="14.25" customHeight="1" x14ac:dyDescent="0.4">
      <c r="A748">
        <v>742</v>
      </c>
      <c r="O748" s="4"/>
      <c r="V748" s="4"/>
    </row>
    <row r="749" spans="1:22" ht="14.25" customHeight="1" x14ac:dyDescent="0.4">
      <c r="A749">
        <v>743</v>
      </c>
      <c r="O749" s="4"/>
      <c r="V749" s="4"/>
    </row>
    <row r="750" spans="1:22" ht="14.25" customHeight="1" x14ac:dyDescent="0.4">
      <c r="A750">
        <v>744</v>
      </c>
      <c r="O750" s="4"/>
    </row>
    <row r="751" spans="1:22" ht="14.25" customHeight="1" x14ac:dyDescent="0.4">
      <c r="A751">
        <v>745</v>
      </c>
      <c r="O751" s="4"/>
    </row>
    <row r="752" spans="1:22" ht="14.25" customHeight="1" x14ac:dyDescent="0.4">
      <c r="A752">
        <v>746</v>
      </c>
      <c r="O752" s="4"/>
    </row>
    <row r="753" spans="1:15" ht="14.25" customHeight="1" x14ac:dyDescent="0.4">
      <c r="A753">
        <v>747</v>
      </c>
      <c r="O753" s="4"/>
    </row>
    <row r="754" spans="1:15" ht="14.25" customHeight="1" x14ac:dyDescent="0.4">
      <c r="A754">
        <v>748</v>
      </c>
      <c r="O754" s="4"/>
    </row>
    <row r="755" spans="1:15" ht="14.25" customHeight="1" x14ac:dyDescent="0.4">
      <c r="A755">
        <v>749</v>
      </c>
      <c r="O755" s="4"/>
    </row>
    <row r="756" spans="1:15" ht="14.25" customHeight="1" x14ac:dyDescent="0.4">
      <c r="A756">
        <v>750</v>
      </c>
      <c r="O756" s="4"/>
    </row>
    <row r="757" spans="1:15" ht="14.25" customHeight="1" x14ac:dyDescent="0.4">
      <c r="A757">
        <v>751</v>
      </c>
      <c r="O757" s="4"/>
    </row>
    <row r="758" spans="1:15" ht="14.25" customHeight="1" x14ac:dyDescent="0.4">
      <c r="A758">
        <v>752</v>
      </c>
      <c r="O758" s="4"/>
    </row>
    <row r="759" spans="1:15" ht="14.25" customHeight="1" x14ac:dyDescent="0.4">
      <c r="A759">
        <v>753</v>
      </c>
      <c r="O759" s="4"/>
    </row>
    <row r="760" spans="1:15" ht="14.25" customHeight="1" x14ac:dyDescent="0.4">
      <c r="A760">
        <v>754</v>
      </c>
      <c r="O760" s="4"/>
    </row>
    <row r="761" spans="1:15" ht="14.25" customHeight="1" x14ac:dyDescent="0.4">
      <c r="A761">
        <v>755</v>
      </c>
      <c r="O761" s="4"/>
    </row>
    <row r="762" spans="1:15" ht="14.25" customHeight="1" x14ac:dyDescent="0.4">
      <c r="A762">
        <v>756</v>
      </c>
      <c r="O762" s="4"/>
    </row>
    <row r="763" spans="1:15" ht="14.25" customHeight="1" x14ac:dyDescent="0.4">
      <c r="A763">
        <v>757</v>
      </c>
      <c r="O763" s="4"/>
    </row>
    <row r="764" spans="1:15" ht="14.25" customHeight="1" x14ac:dyDescent="0.4">
      <c r="A764">
        <v>758</v>
      </c>
      <c r="O764" s="4"/>
    </row>
    <row r="765" spans="1:15" ht="14.25" customHeight="1" x14ac:dyDescent="0.4">
      <c r="A765">
        <v>759</v>
      </c>
      <c r="O765" s="4"/>
    </row>
    <row r="766" spans="1:15" ht="14.25" customHeight="1" x14ac:dyDescent="0.4">
      <c r="A766">
        <v>760</v>
      </c>
      <c r="O766" s="4"/>
    </row>
    <row r="767" spans="1:15" ht="14.25" customHeight="1" x14ac:dyDescent="0.4">
      <c r="A767">
        <v>761</v>
      </c>
      <c r="O767" s="4"/>
    </row>
  </sheetData>
  <sheetProtection autoFilter="0"/>
  <phoneticPr fontId="0" type="noConversion"/>
  <conditionalFormatting sqref="X473:X525">
    <cfRule type="expression" dxfId="4" priority="1" stopIfTrue="1">
      <formula>SEARCH("demo",R473,1)&gt;0</formula>
    </cfRule>
  </conditionalFormatting>
  <conditionalFormatting sqref="X460:X472">
    <cfRule type="expression" dxfId="3" priority="2" stopIfTrue="1">
      <formula>SEARCH("demo",R460,1)&gt;0</formula>
    </cfRule>
  </conditionalFormatting>
  <conditionalFormatting sqref="X155:X190 X283:X459 X153 X7:X70 X83:X96">
    <cfRule type="expression" dxfId="2" priority="3" stopIfTrue="1">
      <formula>SEARCH("demo",R7,1)&gt;0</formula>
    </cfRule>
  </conditionalFormatting>
  <conditionalFormatting sqref="J1 B6:W6 AX6 AA7:AA582 AC6:AU6 AB6:AB582 Z6:AA6 M7:M604 AA583:AB609 N7:N706 D610:G706 S63:S150 S188 S184 S192 S182 S195 S200:S233 Y7:Y631 S263:T298 S235 S237:S241 S251:S262 S248:S249 S244:S246 S177:S180 S308:S390 S171:T176 S154:S170 T177:T262 H7:L706 B7:G609 T299:T713 T7:T170 S301:S306 V7:V749 S7:S27 S29:S61 AC50 AC61:AC63">
    <cfRule type="cellIs" dxfId="1" priority="4" stopIfTrue="1" operator="equal">
      <formula>0</formula>
    </cfRule>
  </conditionalFormatting>
  <conditionalFormatting sqref="X137:X152 X154 X71:X82 X97:X135">
    <cfRule type="expression" dxfId="0" priority="5" stopIfTrue="1">
      <formula>SEARCH("demo",#REF!,1)&gt;0</formula>
    </cfRule>
  </conditionalFormatting>
  <dataValidations count="2">
    <dataValidation type="list" allowBlank="1" showInputMessage="1" showErrorMessage="1" sqref="T7:T713 V7:V749" xr:uid="{00000000-0002-0000-0500-000000000000}">
      <formula1>Yes_No</formula1>
    </dataValidation>
    <dataValidation type="list" allowBlank="1" showInputMessage="1" showErrorMessage="1" sqref="J2" xr:uid="{00000000-0002-0000-0500-000001000000}">
      <formula1>SalesRep</formula1>
    </dataValidation>
  </dataValidations>
  <printOptions horizontalCentered="1" gridLines="1"/>
  <pageMargins left="0" right="0" top="0" bottom="0" header="0" footer="0"/>
  <pageSetup paperSize="3" scale="14" pageOrder="overThenDown" orientation="landscape" r:id="rId1"/>
  <headerFooter alignWithMargins="0"/>
  <colBreaks count="1" manualBreakCount="1">
    <brk id="2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1" r:id="rId4" name="Button 5">
              <controlPr defaultSize="0" print="0" autoFill="0" autoPict="0" macro="[0]!Filter2013">
                <anchor moveWithCells="1" sizeWithCells="1">
                  <from>
                    <xdr:col>6</xdr:col>
                    <xdr:colOff>163830</xdr:colOff>
                    <xdr:row>0</xdr:row>
                    <xdr:rowOff>87630</xdr:rowOff>
                  </from>
                  <to>
                    <xdr:col>8</xdr:col>
                    <xdr:colOff>419100</xdr:colOff>
                    <xdr:row>3</xdr:row>
                    <xdr:rowOff>49530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5" name="Button 6">
              <controlPr defaultSize="0" print="0" autoFill="0" autoPict="0" macro="[0]!LogSort2012">
                <anchor moveWithCells="1" sizeWithCells="1">
                  <from>
                    <xdr:col>1</xdr:col>
                    <xdr:colOff>419100</xdr:colOff>
                    <xdr:row>1</xdr:row>
                    <xdr:rowOff>0</xdr:rowOff>
                  </from>
                  <to>
                    <xdr:col>4</xdr:col>
                    <xdr:colOff>259080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363</vt:i4>
      </vt:variant>
    </vt:vector>
  </HeadingPairs>
  <TitlesOfParts>
    <vt:vector size="369" baseType="lpstr">
      <vt:lpstr>Tables</vt:lpstr>
      <vt:lpstr>2009 data</vt:lpstr>
      <vt:lpstr>Current2010</vt:lpstr>
      <vt:lpstr>Current2011</vt:lpstr>
      <vt:lpstr>Current2012</vt:lpstr>
      <vt:lpstr>Current2013</vt:lpstr>
      <vt:lpstr>_rep2009</vt:lpstr>
      <vt:lpstr>ABOOM</vt:lpstr>
      <vt:lpstr>Current2011!Actual_Date_to_QC</vt:lpstr>
      <vt:lpstr>Current2012!Actual_Date_to_QC</vt:lpstr>
      <vt:lpstr>Current2013!Actual_Date_to_QC</vt:lpstr>
      <vt:lpstr>Actual_Date_to_QC</vt:lpstr>
      <vt:lpstr>ANT</vt:lpstr>
      <vt:lpstr>begin.date</vt:lpstr>
      <vt:lpstr>Begin2011</vt:lpstr>
      <vt:lpstr>Boom_Size</vt:lpstr>
      <vt:lpstr>Current2011!build_month</vt:lpstr>
      <vt:lpstr>Current2012!build_month</vt:lpstr>
      <vt:lpstr>Current2013!build_month</vt:lpstr>
      <vt:lpstr>build_month</vt:lpstr>
      <vt:lpstr>Current2012!build_month_2011</vt:lpstr>
      <vt:lpstr>Current2013!build_month_2011</vt:lpstr>
      <vt:lpstr>build_month_2011</vt:lpstr>
      <vt:lpstr>Current2013!build_month_2012</vt:lpstr>
      <vt:lpstr>build_month_2012</vt:lpstr>
      <vt:lpstr>build_month_2013</vt:lpstr>
      <vt:lpstr>cashflow</vt:lpstr>
      <vt:lpstr>Ccomponents</vt:lpstr>
      <vt:lpstr>Clear</vt:lpstr>
      <vt:lpstr>Clear1010</vt:lpstr>
      <vt:lpstr>Clear1210</vt:lpstr>
      <vt:lpstr>Current2012!Clearance_2011</vt:lpstr>
      <vt:lpstr>Current2013!Clearance_2011</vt:lpstr>
      <vt:lpstr>Clearance_2011</vt:lpstr>
      <vt:lpstr>Current2013!Clearance_2012</vt:lpstr>
      <vt:lpstr>Clearance_2012</vt:lpstr>
      <vt:lpstr>Clearance_2013</vt:lpstr>
      <vt:lpstr>Current2011!Committed_For</vt:lpstr>
      <vt:lpstr>Current2012!Committed_For</vt:lpstr>
      <vt:lpstr>Current2013!Committed_For</vt:lpstr>
      <vt:lpstr>Committed_For</vt:lpstr>
      <vt:lpstr>Current2012!Committed_For_2011</vt:lpstr>
      <vt:lpstr>Current2013!Committed_For_2011</vt:lpstr>
      <vt:lpstr>Committed_For_2011</vt:lpstr>
      <vt:lpstr>Current2013!Committed_For_2012</vt:lpstr>
      <vt:lpstr>Committed_For_2012</vt:lpstr>
      <vt:lpstr>Committed_For_2013</vt:lpstr>
      <vt:lpstr>Committed_For2009</vt:lpstr>
      <vt:lpstr>controller</vt:lpstr>
      <vt:lpstr>Current2011!count</vt:lpstr>
      <vt:lpstr>Current2012!count</vt:lpstr>
      <vt:lpstr>Current2013!count</vt:lpstr>
      <vt:lpstr>count</vt:lpstr>
      <vt:lpstr>Current2012!count_2011</vt:lpstr>
      <vt:lpstr>Current2013!count_2011</vt:lpstr>
      <vt:lpstr>count_2011</vt:lpstr>
      <vt:lpstr>Current2013!count_2012</vt:lpstr>
      <vt:lpstr>count_2012</vt:lpstr>
      <vt:lpstr>count_2013</vt:lpstr>
      <vt:lpstr>Current2010!Criteria</vt:lpstr>
      <vt:lpstr>Current2011!Criteria</vt:lpstr>
      <vt:lpstr>Current2012!Criteria</vt:lpstr>
      <vt:lpstr>Current2013!Criteria</vt:lpstr>
      <vt:lpstr>Current2011!Customer_PO</vt:lpstr>
      <vt:lpstr>Current2012!Customer_PO</vt:lpstr>
      <vt:lpstr>Current2013!Customer_PO</vt:lpstr>
      <vt:lpstr>Customer_PO</vt:lpstr>
      <vt:lpstr>Current2012!Customer_PO___2011</vt:lpstr>
      <vt:lpstr>Current2013!Customer_PO___2011</vt:lpstr>
      <vt:lpstr>Customer_PO___2011</vt:lpstr>
      <vt:lpstr>Current2013!Customer_PO___2012</vt:lpstr>
      <vt:lpstr>Customer_PO___2012</vt:lpstr>
      <vt:lpstr>Customer_PO___2013</vt:lpstr>
      <vt:lpstr>Customer_PO__2009</vt:lpstr>
      <vt:lpstr>Current2011!data</vt:lpstr>
      <vt:lpstr>Current2012!data</vt:lpstr>
      <vt:lpstr>Current2013!data</vt:lpstr>
      <vt:lpstr>data</vt:lpstr>
      <vt:lpstr>Current2013!Data2012</vt:lpstr>
      <vt:lpstr>Data2012</vt:lpstr>
      <vt:lpstr>data2013</vt:lpstr>
      <vt:lpstr>Current2011!Date_Committed</vt:lpstr>
      <vt:lpstr>Current2012!Date_Committed</vt:lpstr>
      <vt:lpstr>Current2013!Date_Committed</vt:lpstr>
      <vt:lpstr>Date_Committed</vt:lpstr>
      <vt:lpstr>Current2012!Date_Committed_2011</vt:lpstr>
      <vt:lpstr>Current2013!Date_Committed_2011</vt:lpstr>
      <vt:lpstr>Date_Committed_2011</vt:lpstr>
      <vt:lpstr>Current2013!Date_Committed_2012</vt:lpstr>
      <vt:lpstr>Date_Committed_2012</vt:lpstr>
      <vt:lpstr>Date_Committed_2013</vt:lpstr>
      <vt:lpstr>Date_Committed2009</vt:lpstr>
      <vt:lpstr>Current2011!Date_of_last_Physical_Inspection_by_Rep</vt:lpstr>
      <vt:lpstr>Current2012!Date_of_last_Physical_Inspection_by_Rep</vt:lpstr>
      <vt:lpstr>Current2013!Date_of_last_Physical_Inspection_by_Rep</vt:lpstr>
      <vt:lpstr>Date_of_last_Physical_Inspection_by_Rep</vt:lpstr>
      <vt:lpstr>Current2012!Date_of_last_Physical_Inspection_by_Rep_2011</vt:lpstr>
      <vt:lpstr>Current2013!Date_of_last_Physical_Inspection_by_Rep_2011</vt:lpstr>
      <vt:lpstr>Date_of_last_Physical_Inspection_by_Rep_2011</vt:lpstr>
      <vt:lpstr>Current2013!Date_of_last_Physical_Inspection_by_Rep_2012</vt:lpstr>
      <vt:lpstr>Date_of_last_Physical_Inspection_by_Rep_2012</vt:lpstr>
      <vt:lpstr>Date_of_last_Physical_Inspection_by_Rep_2013</vt:lpstr>
      <vt:lpstr>Current2011!Date_out_of_QC</vt:lpstr>
      <vt:lpstr>Current2012!Date_out_of_QC</vt:lpstr>
      <vt:lpstr>Current2013!Date_out_of_QC</vt:lpstr>
      <vt:lpstr>Date_out_of_QC</vt:lpstr>
      <vt:lpstr>Current2012!Date_out_of_QC_2011</vt:lpstr>
      <vt:lpstr>Current2013!Date_out_of_QC_2011</vt:lpstr>
      <vt:lpstr>Date_out_of_QC_2011</vt:lpstr>
      <vt:lpstr>Current2013!Date_out_of_QC_2012</vt:lpstr>
      <vt:lpstr>Date_out_of_QC_2012</vt:lpstr>
      <vt:lpstr>Date_out_of_QC_2013</vt:lpstr>
      <vt:lpstr>Date_PO</vt:lpstr>
      <vt:lpstr>Current2011!Date_Retailed</vt:lpstr>
      <vt:lpstr>Current2012!Date_Retailed</vt:lpstr>
      <vt:lpstr>Current2013!Date_Retailed</vt:lpstr>
      <vt:lpstr>Date_Retailed</vt:lpstr>
      <vt:lpstr>Current2012!Date_Retailed_2011</vt:lpstr>
      <vt:lpstr>Current2013!Date_Retailed_2011</vt:lpstr>
      <vt:lpstr>Date_Retailed_2011</vt:lpstr>
      <vt:lpstr>Current2013!Date_Retailed_2012</vt:lpstr>
      <vt:lpstr>Date_Retailed_2012</vt:lpstr>
      <vt:lpstr>Date_Retailed_2013</vt:lpstr>
      <vt:lpstr>Date_Retailed2009</vt:lpstr>
      <vt:lpstr>dates2009</vt:lpstr>
      <vt:lpstr>DBFender</vt:lpstr>
      <vt:lpstr>Current2011!Dealer_Request_Date</vt:lpstr>
      <vt:lpstr>Current2012!Dealer_Request_Date</vt:lpstr>
      <vt:lpstr>Current2013!Dealer_Request_Date</vt:lpstr>
      <vt:lpstr>Dealer_Request_Date</vt:lpstr>
      <vt:lpstr>Current2012!Dealer_Request_Date_2011</vt:lpstr>
      <vt:lpstr>Current2013!Dealer_Request_Date_2011</vt:lpstr>
      <vt:lpstr>Dealer_Request_Date_2011</vt:lpstr>
      <vt:lpstr>Current2013!Dealer_Request_Date_2012</vt:lpstr>
      <vt:lpstr>Dealer_Request_Date_2012</vt:lpstr>
      <vt:lpstr>Dealer_Request_Date_2013</vt:lpstr>
      <vt:lpstr>Dealer_Request_Date2009</vt:lpstr>
      <vt:lpstr>Current2013!Due_Date</vt:lpstr>
      <vt:lpstr>Due_Date</vt:lpstr>
      <vt:lpstr>FA_Rest</vt:lpstr>
      <vt:lpstr>FA1210_</vt:lpstr>
      <vt:lpstr>Fence</vt:lpstr>
      <vt:lpstr>Ffender</vt:lpstr>
      <vt:lpstr>Current2011!Fill</vt:lpstr>
      <vt:lpstr>Current2012!Fill</vt:lpstr>
      <vt:lpstr>Current2013!Fill</vt:lpstr>
      <vt:lpstr>Fill</vt:lpstr>
      <vt:lpstr>Current2012!Fill_2011</vt:lpstr>
      <vt:lpstr>Current2013!Fill_2011</vt:lpstr>
      <vt:lpstr>Fill_2011</vt:lpstr>
      <vt:lpstr>Current2013!Fill_2012</vt:lpstr>
      <vt:lpstr>Fill_2012</vt:lpstr>
      <vt:lpstr>Fill_2013</vt:lpstr>
      <vt:lpstr>Foam</vt:lpstr>
      <vt:lpstr>Front_Tire</vt:lpstr>
      <vt:lpstr>Holdover</vt:lpstr>
      <vt:lpstr>Holdover_Dealer2009</vt:lpstr>
      <vt:lpstr>Current2011!Hours_on_Demo</vt:lpstr>
      <vt:lpstr>Current2012!Hours_on_Demo</vt:lpstr>
      <vt:lpstr>Current2013!Hours_on_Demo</vt:lpstr>
      <vt:lpstr>Hours_on_Demo</vt:lpstr>
      <vt:lpstr>Current2012!Hours_on_Demo_2011</vt:lpstr>
      <vt:lpstr>Current2013!Hours_on_Demo_2011</vt:lpstr>
      <vt:lpstr>Hours_on_Demo_2011</vt:lpstr>
      <vt:lpstr>Current2013!Hours_on_Demo_2012</vt:lpstr>
      <vt:lpstr>Hours_on_Demo_2012</vt:lpstr>
      <vt:lpstr>Hours_on_Demo_2013</vt:lpstr>
      <vt:lpstr>INV_2010_in_MY_2011</vt:lpstr>
      <vt:lpstr>INV_2011_in_MY_2011</vt:lpstr>
      <vt:lpstr>ISC_Deleted_3_16_09</vt:lpstr>
      <vt:lpstr>Current2011!Location</vt:lpstr>
      <vt:lpstr>Current2012!Location</vt:lpstr>
      <vt:lpstr>Current2013!Location</vt:lpstr>
      <vt:lpstr>Location</vt:lpstr>
      <vt:lpstr>Current2012!Location_2011</vt:lpstr>
      <vt:lpstr>Current2013!Location_2011</vt:lpstr>
      <vt:lpstr>Location_2011</vt:lpstr>
      <vt:lpstr>Current2013!Location_2012</vt:lpstr>
      <vt:lpstr>Location_2012</vt:lpstr>
      <vt:lpstr>Location_2013</vt:lpstr>
      <vt:lpstr>Location2009</vt:lpstr>
      <vt:lpstr>Month_due</vt:lpstr>
      <vt:lpstr>Current2011!Monthly_Projections</vt:lpstr>
      <vt:lpstr>Current2012!Monthly_Projections</vt:lpstr>
      <vt:lpstr>Current2013!Monthly_Projections</vt:lpstr>
      <vt:lpstr>Monthly_Projections</vt:lpstr>
      <vt:lpstr>Current2012!Monthly_Projections_2011</vt:lpstr>
      <vt:lpstr>Current2013!Monthly_Projections_2011</vt:lpstr>
      <vt:lpstr>Monthly_Projections_2011</vt:lpstr>
      <vt:lpstr>Current2013!Monthly_Projections_2012</vt:lpstr>
      <vt:lpstr>Monthly_Projections_2012</vt:lpstr>
      <vt:lpstr>Monthly_Projections_2013</vt:lpstr>
      <vt:lpstr>motor</vt:lpstr>
      <vt:lpstr>MY_2011_Start</vt:lpstr>
      <vt:lpstr>MY_2012_Start</vt:lpstr>
      <vt:lpstr>NB</vt:lpstr>
      <vt:lpstr>new_2009_data</vt:lpstr>
      <vt:lpstr>Current2011!new_order</vt:lpstr>
      <vt:lpstr>Current2012!new_order</vt:lpstr>
      <vt:lpstr>Current2013!new_order</vt:lpstr>
      <vt:lpstr>new_order</vt:lpstr>
      <vt:lpstr>Current2012!new_order_2011</vt:lpstr>
      <vt:lpstr>Current2013!new_order_2011</vt:lpstr>
      <vt:lpstr>new_order_2011</vt:lpstr>
      <vt:lpstr>new_order_2011_by_Month</vt:lpstr>
      <vt:lpstr>Current2013!new_order_2012_by_Month</vt:lpstr>
      <vt:lpstr>new_order_2012_by_Month</vt:lpstr>
      <vt:lpstr>new_order_2013_by_Month</vt:lpstr>
      <vt:lpstr>No</vt:lpstr>
      <vt:lpstr>NotRep</vt:lpstr>
      <vt:lpstr>OtherFT</vt:lpstr>
      <vt:lpstr>out</vt:lpstr>
      <vt:lpstr>Current2011!Paid_For__Date</vt:lpstr>
      <vt:lpstr>Current2012!Paid_For__Date</vt:lpstr>
      <vt:lpstr>Current2013!Paid_For__Date</vt:lpstr>
      <vt:lpstr>Paid_For__Date</vt:lpstr>
      <vt:lpstr>Current2012!Paid_For__Date__2011</vt:lpstr>
      <vt:lpstr>Current2013!Paid_For__Date__2011</vt:lpstr>
      <vt:lpstr>Paid_For__Date__2011</vt:lpstr>
      <vt:lpstr>Current2013!Paid_For__Date__2012</vt:lpstr>
      <vt:lpstr>Paid_For__Date__2012</vt:lpstr>
      <vt:lpstr>Paid_For__Date__2013</vt:lpstr>
      <vt:lpstr>Paid_For__Date_2009</vt:lpstr>
      <vt:lpstr>Tables!Pickup</vt:lpstr>
      <vt:lpstr>Pickup1</vt:lpstr>
      <vt:lpstr>Plumb1</vt:lpstr>
      <vt:lpstr>Plumb2</vt:lpstr>
      <vt:lpstr>Plumbing</vt:lpstr>
      <vt:lpstr>Current2011!PO_Date</vt:lpstr>
      <vt:lpstr>Current2012!PO_Date</vt:lpstr>
      <vt:lpstr>Current2013!PO_Date</vt:lpstr>
      <vt:lpstr>PO_Date</vt:lpstr>
      <vt:lpstr>Current2012!PO_Date_2011</vt:lpstr>
      <vt:lpstr>Current2013!PO_Date_2011</vt:lpstr>
      <vt:lpstr>PO_Date_2011</vt:lpstr>
      <vt:lpstr>Current2013!PO_Date_2012</vt:lpstr>
      <vt:lpstr>PO_Date_2012</vt:lpstr>
      <vt:lpstr>PO_Date_2013</vt:lpstr>
      <vt:lpstr>PO_Date2009</vt:lpstr>
      <vt:lpstr>PO_Dates2009</vt:lpstr>
      <vt:lpstr>Current2010!Print_Area</vt:lpstr>
      <vt:lpstr>Current2011!Print_Area</vt:lpstr>
      <vt:lpstr>Current2012!Print_Area</vt:lpstr>
      <vt:lpstr>Current2013!Print_Area</vt:lpstr>
      <vt:lpstr>Current2010!Print_Titles</vt:lpstr>
      <vt:lpstr>Current2011!Print_Titles</vt:lpstr>
      <vt:lpstr>Current2012!Print_Titles</vt:lpstr>
      <vt:lpstr>Current2013!Print_Titles</vt:lpstr>
      <vt:lpstr>production</vt:lpstr>
      <vt:lpstr>Current2011!Production_Completion_date</vt:lpstr>
      <vt:lpstr>Current2012!Production_Completion_date</vt:lpstr>
      <vt:lpstr>Current2013!Production_Completion_date</vt:lpstr>
      <vt:lpstr>Production_Completion_date</vt:lpstr>
      <vt:lpstr>Current2012!Production_Completion_date_2011</vt:lpstr>
      <vt:lpstr>Current2013!Production_Completion_date_2011</vt:lpstr>
      <vt:lpstr>Production_Completion_date_2011</vt:lpstr>
      <vt:lpstr>Current2013!Production_Completion_date_2012</vt:lpstr>
      <vt:lpstr>Production_Completion_date_2012</vt:lpstr>
      <vt:lpstr>Production_Completion_date_2013</vt:lpstr>
      <vt:lpstr>Current2013!Projected_Retail_Date</vt:lpstr>
      <vt:lpstr>Projected_Retail_Date</vt:lpstr>
      <vt:lpstr>rear</vt:lpstr>
      <vt:lpstr>Rear_Tire</vt:lpstr>
      <vt:lpstr>Current2011!rep</vt:lpstr>
      <vt:lpstr>Current2012!rep</vt:lpstr>
      <vt:lpstr>Current2013!rep</vt:lpstr>
      <vt:lpstr>rep</vt:lpstr>
      <vt:lpstr>Current2012!rep_2011</vt:lpstr>
      <vt:lpstr>Current2013!rep_2011</vt:lpstr>
      <vt:lpstr>rep_2011</vt:lpstr>
      <vt:lpstr>Current2013!rep_2012</vt:lpstr>
      <vt:lpstr>rep_2012</vt:lpstr>
      <vt:lpstr>rep_2013</vt:lpstr>
      <vt:lpstr>Current2011!Retailed</vt:lpstr>
      <vt:lpstr>Current2012!Retailed</vt:lpstr>
      <vt:lpstr>Current2013!Retailed</vt:lpstr>
      <vt:lpstr>Retailed</vt:lpstr>
      <vt:lpstr>Current2012!Retailed_2011</vt:lpstr>
      <vt:lpstr>Current2013!Retailed_2011</vt:lpstr>
      <vt:lpstr>Retailed_2011</vt:lpstr>
      <vt:lpstr>Current2013!Retailed_2012</vt:lpstr>
      <vt:lpstr>Retailed_2012</vt:lpstr>
      <vt:lpstr>Retailed_2013</vt:lpstr>
      <vt:lpstr>Retailed2009</vt:lpstr>
      <vt:lpstr>Tables!Rfend</vt:lpstr>
      <vt:lpstr>Rfender</vt:lpstr>
      <vt:lpstr>Current2013!Salesman</vt:lpstr>
      <vt:lpstr>Salesman</vt:lpstr>
      <vt:lpstr>SalesRep</vt:lpstr>
      <vt:lpstr>Current2011!Serial</vt:lpstr>
      <vt:lpstr>Current2012!Serial</vt:lpstr>
      <vt:lpstr>Current2013!Serial</vt:lpstr>
      <vt:lpstr>Serial</vt:lpstr>
      <vt:lpstr>Current2012!Serial___2011</vt:lpstr>
      <vt:lpstr>Current2013!Serial___2011</vt:lpstr>
      <vt:lpstr>Serial___2011</vt:lpstr>
      <vt:lpstr>Current2013!Serial___2012</vt:lpstr>
      <vt:lpstr>Serial___2012</vt:lpstr>
      <vt:lpstr>Serial___2013</vt:lpstr>
      <vt:lpstr>Serial__2009</vt:lpstr>
      <vt:lpstr>Current2011!Series</vt:lpstr>
      <vt:lpstr>Current2012!Series</vt:lpstr>
      <vt:lpstr>Current2013!Series</vt:lpstr>
      <vt:lpstr>Tables!series</vt:lpstr>
      <vt:lpstr>Series</vt:lpstr>
      <vt:lpstr>Current2012!Series_2011</vt:lpstr>
      <vt:lpstr>Current2013!Series_2011</vt:lpstr>
      <vt:lpstr>Series_2011</vt:lpstr>
      <vt:lpstr>Current2013!Series_2012</vt:lpstr>
      <vt:lpstr>Series_2012</vt:lpstr>
      <vt:lpstr>Series_2013</vt:lpstr>
      <vt:lpstr>series1</vt:lpstr>
      <vt:lpstr>Series2009</vt:lpstr>
      <vt:lpstr>Current2011!Sold_to</vt:lpstr>
      <vt:lpstr>Current2012!Sold_to</vt:lpstr>
      <vt:lpstr>Current2013!Sold_to</vt:lpstr>
      <vt:lpstr>Sold_to</vt:lpstr>
      <vt:lpstr>Current2012!Sold_to_2011</vt:lpstr>
      <vt:lpstr>Current2013!Sold_to_2011</vt:lpstr>
      <vt:lpstr>Sold_to_2011</vt:lpstr>
      <vt:lpstr>Current2013!Sold_to_2012</vt:lpstr>
      <vt:lpstr>Sold_to_2012</vt:lpstr>
      <vt:lpstr>Sold_to_2013</vt:lpstr>
      <vt:lpstr>Sold_to2009</vt:lpstr>
      <vt:lpstr>Spacing</vt:lpstr>
      <vt:lpstr>Current2011!Status</vt:lpstr>
      <vt:lpstr>Current2012!Status</vt:lpstr>
      <vt:lpstr>Current2013!Status</vt:lpstr>
      <vt:lpstr>Tables!Status</vt:lpstr>
      <vt:lpstr>Status</vt:lpstr>
      <vt:lpstr>Current2012!Status_2011</vt:lpstr>
      <vt:lpstr>Current2013!Status_2011</vt:lpstr>
      <vt:lpstr>Status_2011</vt:lpstr>
      <vt:lpstr>Current2013!Status_2012</vt:lpstr>
      <vt:lpstr>Status_2012</vt:lpstr>
      <vt:lpstr>Status_2013</vt:lpstr>
      <vt:lpstr>Status1</vt:lpstr>
      <vt:lpstr>Tank1010</vt:lpstr>
      <vt:lpstr>Tank1210</vt:lpstr>
      <vt:lpstr>Tank715</vt:lpstr>
      <vt:lpstr>To_Build_2012</vt:lpstr>
      <vt:lpstr>To_Build_2013</vt:lpstr>
      <vt:lpstr>trans_1010</vt:lpstr>
      <vt:lpstr>trans_1210</vt:lpstr>
      <vt:lpstr>trans_715</vt:lpstr>
      <vt:lpstr>Current2011!TStatus</vt:lpstr>
      <vt:lpstr>Current2012!TStatus</vt:lpstr>
      <vt:lpstr>Current2013!TStatus</vt:lpstr>
      <vt:lpstr>TStatus</vt:lpstr>
      <vt:lpstr>Current2012!TStatus_2011</vt:lpstr>
      <vt:lpstr>Current2013!TStatus_2011</vt:lpstr>
      <vt:lpstr>TStatus_2011</vt:lpstr>
      <vt:lpstr>Current2013!TStatus_2012</vt:lpstr>
      <vt:lpstr>TStatus_2012</vt:lpstr>
      <vt:lpstr>TStatus_2013</vt:lpstr>
      <vt:lpstr>Current2011!Unit</vt:lpstr>
      <vt:lpstr>Current2012!Unit</vt:lpstr>
      <vt:lpstr>Current2013!Unit</vt:lpstr>
      <vt:lpstr>Unit</vt:lpstr>
      <vt:lpstr>Current2012!Unit_2011</vt:lpstr>
      <vt:lpstr>Current2013!Unit_2011</vt:lpstr>
      <vt:lpstr>Unit_2011</vt:lpstr>
      <vt:lpstr>Current2013!Unit_2012</vt:lpstr>
      <vt:lpstr>Unit_2012</vt:lpstr>
      <vt:lpstr>Unit_2013</vt:lpstr>
      <vt:lpstr>WIDTH</vt:lpstr>
      <vt:lpstr>Width1210</vt:lpstr>
      <vt:lpstr>Yes</vt:lpstr>
      <vt:lpstr>Yes_No</vt:lpstr>
    </vt:vector>
  </TitlesOfParts>
  <Company>Equipment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2</dc:title>
  <dc:subject>K327</dc:subject>
  <dc:creator>Paul Serex</dc:creator>
  <dc:description>Sales Data 2009-2013</dc:description>
  <cp:lastModifiedBy>Michael Zelenka</cp:lastModifiedBy>
  <cp:lastPrinted>2015-03-03T22:18:41Z</cp:lastPrinted>
  <dcterms:created xsi:type="dcterms:W3CDTF">2002-01-03T16:28:20Z</dcterms:created>
  <dcterms:modified xsi:type="dcterms:W3CDTF">2018-03-01T20:54:49Z</dcterms:modified>
</cp:coreProperties>
</file>